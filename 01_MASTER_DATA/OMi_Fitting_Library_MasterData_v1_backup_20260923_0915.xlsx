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README" sheetId="1" state="visible" r:id="rId1"/>
    <sheet xmlns:r="http://schemas.openxmlformats.org/officeDocument/2006/relationships" name="CarbonSteel_Scope" sheetId="2" state="visible" r:id="rId2"/>
    <sheet xmlns:r="http://schemas.openxmlformats.org/officeDocument/2006/relationships" name="Parts_v2" sheetId="3" state="visible" r:id="rId3"/>
    <sheet xmlns:r="http://schemas.openxmlformats.org/officeDocument/2006/relationships" name="Topologies" sheetId="4" state="visible" r:id="rId4"/>
    <sheet xmlns:r="http://schemas.openxmlformats.org/officeDocument/2006/relationships" name="StandardsData" sheetId="5" state="visible" r:id="rId5"/>
    <sheet xmlns:r="http://schemas.openxmlformats.org/officeDocument/2006/relationships" name="EndGeometry" sheetId="6" state="visible" r:id="rId6"/>
    <sheet xmlns:r="http://schemas.openxmlformats.org/officeDocument/2006/relationships" name="DimensionMap" sheetId="7" state="visible" r:id="rId7"/>
    <sheet xmlns:r="http://schemas.openxmlformats.org/officeDocument/2006/relationships" name="DimensionNaming" sheetId="8" state="visible" r:id="rId8"/>
    <sheet xmlns:r="http://schemas.openxmlformats.org/officeDocument/2006/relationships" name="Parts" sheetId="9" state="visible" r:id="rId9"/>
    <sheet xmlns:r="http://schemas.openxmlformats.org/officeDocument/2006/relationships" name="Scope" sheetId="10" state="visible" r:id="rId10"/>
    <sheet xmlns:r="http://schemas.openxmlformats.org/officeDocument/2006/relationships" name="DashSizes" sheetId="11" state="visible" r:id="rId11"/>
    <sheet xmlns:r="http://schemas.openxmlformats.org/officeDocument/2006/relationships" name="PipeThreads" sheetId="12" state="visible" r:id="rId12"/>
    <sheet xmlns:r="http://schemas.openxmlformats.org/officeDocument/2006/relationships" name="Standards" sheetId="13" state="visible" r:id="rId13"/>
    <sheet xmlns:r="http://schemas.openxmlformats.org/officeDocument/2006/relationships" name="QA_Log" sheetId="14" state="visible" r:id="rId14"/>
    <sheet xmlns:r="http://schemas.openxmlformats.org/officeDocument/2006/relationships" name="Series" sheetId="15" state="visible" r:id="rId15"/>
  </sheets>
  <definedNames>
    <definedName name="_xlnm._FilterDatabase" localSheetId="2" hidden="1">'Parts_v2'!$A$2:$AH$293</definedName>
    <definedName name="_xlnm._FilterDatabase" localSheetId="3" hidden="1">'Topologies'!$A$1:$E$127</definedName>
    <definedName name="_xlnm._FilterDatabase" localSheetId="8" hidden="1">'Parts'!$A$2:$BE$60</definedName>
    <definedName name="_xlnm._FilterDatabase" localSheetId="14" hidden="1">'Series'!$A$1:$K$411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sz val="10"/>
    </font>
    <font>
      <name val="Arial"/>
      <charset val="1"/>
      <family val="0"/>
      <b val="1"/>
      <color rgb="FFFFFFFF"/>
      <sz val="10"/>
    </font>
    <font>
      <name val="Arial"/>
      <charset val="1"/>
      <family val="0"/>
      <b val="1"/>
      <color rgb="FFFFFFFF"/>
      <sz val="9"/>
    </font>
    <font>
      <name val="Arial"/>
      <family val="2"/>
      <sz val="10"/>
    </font>
    <font>
      <name val="Arial"/>
      <charset val="1"/>
      <family val="0"/>
      <color rgb="FF008000"/>
      <sz val="10"/>
    </font>
  </fonts>
  <fills count="12">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8EA9DB"/>
        <bgColor rgb="FF969696"/>
      </patternFill>
    </fill>
    <fill>
      <patternFill patternType="solid">
        <fgColor rgb="FF548235"/>
        <bgColor rgb="FF339966"/>
      </patternFill>
    </fill>
    <fill>
      <patternFill patternType="solid">
        <fgColor rgb="FFC6EFCE"/>
        <bgColor rgb="FFCCFFFF"/>
      </patternFill>
    </fill>
    <fill>
      <patternFill patternType="solid">
        <fgColor rgb="FFFFD9B3"/>
        <bgColor rgb="FFFFC7CE"/>
      </patternFill>
    </fill>
    <fill>
      <patternFill patternType="solid">
        <fgColor rgb="FFFFC7CE"/>
        <bgColor rgb="FFFFD9B3"/>
      </patternFill>
    </fill>
    <fill>
      <patternFill patternType="solid">
        <fgColor rgb="FFC00000"/>
        <bgColor rgb="FF800000"/>
      </patternFill>
    </fill>
    <fill>
      <patternFill patternType="solid">
        <fgColor rgb="00FFEB9C"/>
      </patternFill>
    </fill>
    <fill>
      <patternFill patternType="solid">
        <fgColor rgb="00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3" borderId="0" applyAlignment="1" pivotButton="0" quotePrefix="0" xfId="0">
      <alignment horizontal="general" vertical="bottom"/>
    </xf>
    <xf numFmtId="0" fontId="8" fillId="4" borderId="0" applyAlignment="1" pivotButton="0" quotePrefix="0" xfId="0">
      <alignment horizontal="center" vertical="bottom"/>
    </xf>
    <xf numFmtId="0" fontId="8" fillId="5" borderId="0" applyAlignment="1" pivotButton="0" quotePrefix="0" xfId="0">
      <alignment horizontal="center" vertical="bottom"/>
    </xf>
    <xf numFmtId="0" fontId="8" fillId="2" borderId="0" applyAlignment="1" pivotButton="0" quotePrefix="0" xfId="0">
      <alignment horizontal="center" vertical="center" wrapText="1"/>
    </xf>
    <xf numFmtId="0" fontId="5" fillId="3" borderId="0" applyAlignment="1" pivotButton="0" quotePrefix="0" xfId="0">
      <alignment horizontal="general" vertical="bottom"/>
    </xf>
    <xf numFmtId="0" fontId="5" fillId="6" borderId="0" applyAlignment="1" pivotButton="0" quotePrefix="0" xfId="0">
      <alignment horizontal="general" vertical="bottom"/>
    </xf>
    <xf numFmtId="0" fontId="5" fillId="7" borderId="0" applyAlignment="1" pivotButton="0" quotePrefix="0" xfId="0">
      <alignment horizontal="general" vertical="bottom"/>
    </xf>
    <xf numFmtId="0" fontId="5" fillId="8"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0" fillId="3" borderId="0" applyAlignment="1" pivotButton="0" quotePrefix="0" xfId="0">
      <alignment horizontal="general" vertical="bottom"/>
    </xf>
    <xf numFmtId="0" fontId="8" fillId="2" borderId="0" applyAlignment="1" pivotButton="0" quotePrefix="0" xfId="0">
      <alignment horizontal="general" vertical="bottom"/>
    </xf>
    <xf numFmtId="0" fontId="8" fillId="9" borderId="0" applyAlignment="1" pivotButton="0" quotePrefix="0" xfId="0">
      <alignment horizontal="center" vertical="bottom"/>
    </xf>
    <xf numFmtId="0" fontId="10" fillId="0" borderId="1" applyAlignment="1" pivotButton="0" quotePrefix="0" xfId="0">
      <alignment horizontal="general" vertical="bottom"/>
    </xf>
    <xf numFmtId="0" fontId="5" fillId="0" borderId="1" applyAlignment="1" pivotButton="0" quotePrefix="0" xfId="0">
      <alignment horizontal="general" vertical="bottom"/>
    </xf>
    <xf numFmtId="0" fontId="5" fillId="3" borderId="1" applyAlignment="1" pivotButton="0" quotePrefix="0" xfId="0">
      <alignment horizontal="general" vertical="bottom"/>
    </xf>
    <xf numFmtId="0" fontId="5" fillId="6" borderId="1" applyAlignment="1" pivotButton="0" quotePrefix="0" xfId="0">
      <alignment horizontal="general" vertical="bottom"/>
    </xf>
    <xf numFmtId="0" fontId="10" fillId="7" borderId="0" applyAlignment="1" pivotButton="0" quotePrefix="0" xfId="0">
      <alignment horizontal="general" vertical="bottom"/>
    </xf>
    <xf numFmtId="0" fontId="7" fillId="2" borderId="0" applyAlignment="1" pivotButton="0" quotePrefix="0" xfId="0">
      <alignment horizontal="general" vertical="center" wrapText="1"/>
    </xf>
    <xf numFmtId="0" fontId="5" fillId="0" borderId="0" applyAlignment="1" pivotButton="0" quotePrefix="0" xfId="0">
      <alignment horizontal="general" vertical="top" wrapText="1"/>
    </xf>
    <xf numFmtId="0" fontId="5" fillId="3" borderId="0" applyAlignment="1" pivotButton="0" quotePrefix="0" xfId="0">
      <alignment horizontal="general" vertical="top" wrapText="1"/>
    </xf>
    <xf numFmtId="0" fontId="5" fillId="6" borderId="0" applyAlignment="1" pivotButton="0" quotePrefix="0" xfId="0">
      <alignment horizontal="general" vertical="top" wrapText="1"/>
    </xf>
    <xf numFmtId="0" fontId="5" fillId="8"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3" borderId="0" applyAlignment="1" pivotButton="0" quotePrefix="0" xfId="0">
      <alignment horizontal="general" vertical="bottom"/>
    </xf>
    <xf numFmtId="0" fontId="8" fillId="4" borderId="0" applyAlignment="1" pivotButton="0" quotePrefix="0" xfId="0">
      <alignment horizontal="center" vertical="bottom"/>
    </xf>
    <xf numFmtId="0" fontId="8" fillId="5" borderId="0" applyAlignment="1" pivotButton="0" quotePrefix="0" xfId="0">
      <alignment horizontal="center" vertical="bottom"/>
    </xf>
    <xf numFmtId="0" fontId="8" fillId="2" borderId="0" applyAlignment="1" pivotButton="0" quotePrefix="0" xfId="0">
      <alignment horizontal="center" vertical="center" wrapText="1"/>
    </xf>
    <xf numFmtId="0" fontId="5" fillId="3" borderId="0" applyAlignment="1" pivotButton="0" quotePrefix="0" xfId="0">
      <alignment horizontal="general" vertical="bottom"/>
    </xf>
    <xf numFmtId="0" fontId="5" fillId="6" borderId="0" applyAlignment="1" pivotButton="0" quotePrefix="0" xfId="0">
      <alignment horizontal="general" vertical="bottom"/>
    </xf>
    <xf numFmtId="0" fontId="5" fillId="7" borderId="0" applyAlignment="1" pivotButton="0" quotePrefix="0" xfId="0">
      <alignment horizontal="general" vertical="bottom"/>
    </xf>
    <xf numFmtId="0" fontId="5" fillId="8"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8" fillId="2" borderId="0" applyAlignment="1" pivotButton="0" quotePrefix="0" xfId="0">
      <alignment horizontal="general" vertical="bottom"/>
    </xf>
    <xf numFmtId="0" fontId="8" fillId="9" borderId="0" applyAlignment="1" pivotButton="0" quotePrefix="0" xfId="0">
      <alignment horizontal="center" vertical="bottom"/>
    </xf>
    <xf numFmtId="0" fontId="10" fillId="0" borderId="1" applyAlignment="1" pivotButton="0" quotePrefix="0" xfId="0">
      <alignment horizontal="general" vertical="bottom"/>
    </xf>
    <xf numFmtId="0" fontId="5" fillId="0" borderId="1" applyAlignment="1" pivotButton="0" quotePrefix="0" xfId="0">
      <alignment horizontal="general" vertical="bottom"/>
    </xf>
    <xf numFmtId="0" fontId="5" fillId="3" borderId="1" applyAlignment="1" pivotButton="0" quotePrefix="0" xfId="0">
      <alignment horizontal="general" vertical="bottom"/>
    </xf>
    <xf numFmtId="0" fontId="5" fillId="6" borderId="1" applyAlignment="1" pivotButton="0" quotePrefix="0" xfId="0">
      <alignment horizontal="general" vertical="bottom"/>
    </xf>
    <xf numFmtId="0" fontId="10" fillId="7" borderId="0" applyAlignment="1" pivotButton="0" quotePrefix="0" xfId="0">
      <alignment horizontal="general" vertical="bottom"/>
    </xf>
    <xf numFmtId="0" fontId="7" fillId="2" borderId="0" applyAlignment="1" pivotButton="0" quotePrefix="0" xfId="0">
      <alignment horizontal="general" vertical="center" wrapText="1"/>
    </xf>
    <xf numFmtId="0" fontId="5" fillId="0" borderId="0" applyAlignment="1" pivotButton="0" quotePrefix="0" xfId="0">
      <alignment horizontal="general" vertical="top" wrapText="1"/>
    </xf>
    <xf numFmtId="0" fontId="5" fillId="3" borderId="0" applyAlignment="1" pivotButton="0" quotePrefix="0" xfId="0">
      <alignment horizontal="general" vertical="top" wrapText="1"/>
    </xf>
    <xf numFmtId="0" fontId="5" fillId="6" borderId="0" applyAlignment="1" pivotButton="0" quotePrefix="0" xfId="0">
      <alignment horizontal="general" vertical="top" wrapText="1"/>
    </xf>
    <xf numFmtId="0" fontId="5" fillId="8" borderId="0" applyAlignment="1" pivotButton="0" quotePrefix="0" xfId="0">
      <alignment horizontal="general" vertical="top" wrapText="1"/>
    </xf>
    <xf numFmtId="0" fontId="0" fillId="10" borderId="0" applyAlignment="1" pivotButton="0" quotePrefix="0" xfId="0">
      <alignment horizontal="general" vertical="bottom"/>
    </xf>
    <xf numFmtId="0" fontId="0" fillId="11"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FF00"/>
          <bgColor rgb="FF000000"/>
        </patternFill>
      </fill>
    </dxf>
    <dxf>
      <fill>
        <patternFill patternType="solid">
          <fgColor rgb="FFFFC7CE"/>
          <bgColor rgb="FF000000"/>
        </patternFill>
      </fill>
    </dxf>
    <dxf>
      <fill>
        <patternFill patternType="solid">
          <fgColor rgb="FF000000"/>
          <bgColor rgb="FF000000"/>
        </patternFill>
      </fill>
    </dxf>
    <dxf>
      <fill>
        <patternFill patternType="solid">
          <fgColor rgb="FFFFD9B3"/>
          <bgColor rgb="FF000000"/>
        </patternFill>
      </fill>
    </dxf>
    <dxf>
      <fill>
        <patternFill patternType="solid">
          <fgColor rgb="FF008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8EA9DB"/>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D9B3"/>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Unknown Author</author>
  </authors>
  <commentList>
    <comment ref="L2" authorId="0" shapeId="0">
      <text>
        <t>Generic slot D1. Meaning varies by topology - see DimensionMap sheet.
Design-table header: D1@DRIVE</t>
      </text>
    </comment>
    <comment ref="M2" authorId="0" shapeId="0">
      <text>
        <t>Generic slot D2. Meaning varies by topology - see DimensionMap sheet.
Design-table header: D2@DRIVE</t>
      </text>
    </comment>
    <comment ref="N2" authorId="0" shapeId="0">
      <text>
        <t>Generic slot D3. Meaning varies by topology - see DimensionMap sheet.
Design-table header: D3@DRIVE</t>
      </text>
    </comment>
    <comment ref="O2" authorId="0" shapeId="0">
      <text>
        <t>Generic slot D4. Meaning varies by topology - see DimensionMap sheet.
Design-table header: D4@DRIVE</t>
      </text>
    </comment>
    <comment ref="P2" authorId="0" shapeId="0">
      <text>
        <t>Generic slot D5. Meaning varies by topology - see DimensionMap sheet.
Design-table header: D5@DRIVE</t>
      </text>
    </comment>
    <comment ref="Q2" authorId="0" shapeId="0">
      <text>
        <t>Generic slot D6. Meaning varies by topology - see DimensionMap sheet.
Design-table header: D6@DRIVE</t>
      </text>
    </comment>
    <comment ref="Z2" authorId="0" shapeId="0">
      <text>
        <t>ASTM A108 12L14 (bar stock). Parker Cat.4300 grade. J514 mandates 'carbon steel' class only.</t>
      </text>
    </comment>
    <comment ref="AA2" authorId="0" shapeId="0">
      <text>
        <t>Governing material standard.</t>
      </text>
    </comment>
    <comment ref="AB2" authorId="0" shapeId="0">
      <text>
        <t>Trivalent Cr3 zinc - current industry mainstream, RoHS compliant.</t>
      </text>
    </comment>
    <comment ref="AC2" authorId="0" shapeId="0">
      <text>
        <t>ASTM B633 Type V/VI (non-chromate passivate).</t>
      </text>
    </comment>
    <comment ref="AD2" authorId="0" shapeId="0">
      <text>
        <t>Working pressure, psi. DERIVED: generic SAE-style table at the LARGER dash (governing end).</t>
      </text>
    </comment>
    <comment ref="AE2" authorId="0" shapeId="0">
      <text>
        <t>How the figure was arrived at.</t>
      </text>
    </comment>
    <comment ref="AF2" authorId="0" shapeId="0">
      <text>
        <t>Metal-to-metal flare joint only. Does NOT apply to ORB ends.</t>
      </text>
    </comment>
    <comment ref="AG2" authorId="0" shapeId="0">
      <text>
        <t>Same caveat.</t>
      </text>
    </comment>
    <comment ref="AH2" authorId="0" shapeId="0">
      <text>
        <t>Where the spec values came from.</t>
      </text>
    </comment>
  </commentList>
</comments>
</file>

<file path=xl/comments/comment2.xml><?xml version="1.0" encoding="utf-8"?>
<comments xmlns="http://schemas.openxmlformats.org/spreadsheetml/2006/main">
  <authors>
    <author>Unknown Author</author>
  </authors>
  <commentList>
    <comment ref="A2" authorId="0" shapeId="0">
      <text>
        <t>OM Industrial part number. FORMULA - generated, do not type over.
Type: formula</t>
      </text>
    </comment>
    <comment ref="B2" authorId="0" shapeId="0">
      <text>
        <t>Air-Way catalog number, verbatim. Cross-reference only.
Type: text</t>
      </text>
    </comment>
    <comment ref="C2" authorId="0" shapeId="0">
      <text>
        <t>SolidWorks configuration name. Must equal PartNumber_OMi.
Type: formula</t>
      </text>
    </comment>
    <comment ref="D2" authorId="0" shapeId="0">
      <text>
        <t>Shared topology key. One master model per root.
Type: text</t>
      </text>
    </comment>
    <comment ref="E2" authorId="0" shapeId="0">
      <text>
        <t>Air-Way internal series ID, for traceability.
Type: int</t>
      </text>
    </comment>
    <comment ref="F2" authorId="0" shapeId="0">
      <text>
        <t>Exact page the dimensions were read from.
Type: text</t>
      </text>
    </comment>
    <comment ref="G2" authorId="0" shapeId="0">
      <text>
        <t>Drawing/ERP description. FORMULA.
Type: formula</t>
      </text>
    </comment>
    <comment ref="H2" authorId="0" shapeId="0">
      <text>
        <t>Air-Way product family.
Type: text</t>
      </text>
    </comment>
    <comment ref="I2" authorId="0" shapeId="0">
      <text>
        <t>Carbon Steel / Stainless / Brass / FLARE-O / ORFS / Metric.
Type: text</t>
      </text>
    </comment>
    <comment ref="J2" authorId="0" shapeId="0">
      <text>
        <t>Straight / 90 / 45 / Tee / Cross / Nut / Sleeve.
Type: text</t>
      </text>
    </comment>
    <comment ref="K2" authorId="0" shapeId="0">
      <text>
        <t>Number of ports. Drives how many End blocks are used.
Type: int</t>
      </text>
    </comment>
    <comment ref="L2" authorId="0" shapeId="0">
      <text>
        <t>Air-Way column 'A'. Port role.
Type: text</t>
      </text>
    </comment>
    <comment ref="M2" authorId="0" shapeId="0">
      <text>
        <t>End style, e.g. Male Pipe NPTF.
Type: text</t>
      </text>
    </comment>
    <comment ref="N2" authorId="0" shapeId="0">
      <text>
        <t>Dash size for end A.
Type: int</t>
      </text>
    </comment>
    <comment ref="O2" authorId="0" shapeId="0">
      <text>
        <t>Full thread callout, verbatim from source.
Type: text</t>
      </text>
    </comment>
    <comment ref="P2" authorId="0" shapeId="0">
      <text>
        <t>Thread form/class.
Type: text</t>
      </text>
    </comment>
    <comment ref="Q2" authorId="0" shapeId="0">
      <text>
        <t>Governing standard for this thread.
Type: text</t>
      </text>
    </comment>
    <comment ref="R2" authorId="0" shapeId="0">
      <text>
        <t>Seat half-angle, or N/A for tapered-thread seal.
Type: text</t>
      </text>
    </comment>
    <comment ref="S2" authorId="0" shapeId="0">
      <text>
        <t>Air-Way column 'B'. Port role.
Type: text</t>
      </text>
    </comment>
    <comment ref="T2" authorId="0" shapeId="0">
      <text>
        <t>End style, e.g. Male 37 deg Flare JIC.
Type: text</t>
      </text>
    </comment>
    <comment ref="U2" authorId="0" shapeId="0">
      <text>
        <t>Dash size for end B. Equals tube OD dash.
Type: int</t>
      </text>
    </comment>
    <comment ref="V2" authorId="0" shapeId="0">
      <text>
        <t>Full thread callout, verbatim from source.
Type: text</t>
      </text>
    </comment>
    <comment ref="W2" authorId="0" shapeId="0">
      <text>
        <t>Thread form/class.
Type: text</t>
      </text>
    </comment>
    <comment ref="X2" authorId="0" shapeId="0">
      <text>
        <t>Governing standard for this thread.
Type: text</t>
      </text>
    </comment>
    <comment ref="Y2" authorId="0" shapeId="0">
      <text>
        <t>Seat half-angle in degrees.
Type: num</t>
      </text>
    </comment>
    <comment ref="Z2" authorId="0" shapeId="0">
      <text>
        <t>Overall length. Maps to dimension L@DRIVE.
Type: num</t>
      </text>
    </comment>
    <comment ref="AA2" authorId="0" shapeId="0">
      <text>
        <t>Hex across flats / catalog dim C. Maps to C@DRIVE.
Type: num</t>
      </text>
    </comment>
    <comment ref="AB2" authorId="0" shapeId="0">
      <text>
        <t>Catalog dim D. Maps to D@DRIVE.
Type: num</t>
      </text>
    </comment>
    <comment ref="AC2" authorId="0" shapeId="0">
      <text>
        <t>Catalog dim D1. Maps to D1@DRIVE.
Type: num</t>
      </text>
    </comment>
    <comment ref="AD2" authorId="0" shapeId="0">
      <text>
        <t>Hex across flats, end A. NOT PUBLISHED by source.
Type: num</t>
      </text>
    </comment>
    <comment ref="AE2" authorId="0" shapeId="0">
      <text>
        <t>Hex across flats, end B. NOT PUBLISHED by source.
Type: num</t>
      </text>
    </comment>
    <comment ref="AF2" authorId="0" shapeId="0">
      <text>
        <t>0 for straight, 90/45 for elbows.
Type: num</t>
      </text>
    </comment>
    <comment ref="AG2" authorId="0" shapeId="0">
      <text>
        <t>Nominal tube OD, decimal inches.
Type: num</t>
      </text>
    </comment>
    <comment ref="AH2" authorId="0" shapeId="0">
      <text>
        <t>Tube OD as printed in catalog.
Type: text</t>
      </text>
    </comment>
    <comment ref="AI2" authorId="0" shapeId="0">
      <text>
        <t>REQUIRED INPUT - not published by any source.
Type: text</t>
      </text>
    </comment>
    <comment ref="AJ2" authorId="0" shapeId="0">
      <text>
        <t>REQUIRED INPUT - e.g. ASTM A108 Gr 12L14.
Type: text</t>
      </text>
    </comment>
    <comment ref="AK2" authorId="0" shapeId="0">
      <text>
        <t>REQUIRED INPUT - e.g. Zinc-Nickel.
Type: text</t>
      </text>
    </comment>
    <comment ref="AL2" authorId="0" shapeId="0">
      <text>
        <t>REQUIRED INPUT - e.g. ASTM F1941.
Type: text</t>
      </text>
    </comment>
    <comment ref="AM2" authorId="0" shapeId="0">
      <text>
        <t>REQUIRED INPUT - not published by any source.
Type: num</t>
      </text>
    </comment>
    <comment ref="AN2" authorId="0" shapeId="0">
      <text>
        <t>psi / bar / MPa.
Type: text</t>
      </text>
    </comment>
    <comment ref="AO2" authorId="0" shapeId="0">
      <text>
        <t>REQUIRED INPUT.
Type: num</t>
      </text>
    </comment>
    <comment ref="AP2" authorId="0" shapeId="0">
      <text>
        <t>REQUIRED INPUT.
Type: num</t>
      </text>
    </comment>
    <comment ref="AQ2" authorId="0" shapeId="0">
      <text>
        <t>Base filename for all exports. FORMULA.
Type: formula</t>
      </text>
    </comment>
    <comment ref="AR2" authorId="0" shapeId="0">
      <text>
        <t>Target PDF filename. FORMULA.
Type: formula</t>
      </text>
    </comment>
    <comment ref="AS2" authorId="0" shapeId="0">
      <text>
        <t>Target STEP filename. FORMULA.
Type: formula</t>
      </text>
    </comment>
    <comment ref="AT2" authorId="0" shapeId="0">
      <text>
        <t>VERIFIED / ASSUMED / MISSING. Governs whether a row may be released.
Type: text</t>
      </text>
    </comment>
    <comment ref="AU2" authorId="0" shapeId="0">
      <text>
        <t>MATCH / DIVERGENT / UNVERIFIABLE / N-A.
Type: text</t>
      </text>
    </comment>
    <comment ref="AV2" authorId="0" shapeId="0">
      <text>
        <t>What the value was checked against.
Type: text</t>
      </text>
    </comment>
    <comment ref="AW2" authorId="0" shapeId="0">
      <text>
        <t>Free text. Record every assumption here.
Type: text</t>
      </text>
    </comment>
    <comment ref="AX2" authorId="0" shapeId="0">
      <text>
        <t>Hex across flats from Parker Catalog 4300 Triple-Lok, FTX table, p.B15.</t>
      </text>
    </comment>
    <comment ref="AY2" authorId="0" shapeId="0">
      <text>
        <t>Hex from Applied.com Brennan 2404 product pages, field 'Hex Size (Across Flats)'.</t>
      </text>
    </comment>
    <comment ref="AZ2" authorId="0" shapeId="0">
      <text>
        <t>Hex from PressureConnections.com 2404 pages.</t>
      </text>
    </comment>
    <comment ref="BA2" authorId="0" shapeId="0">
      <text>
        <t>AGREE / CONFLICT / SINGLE SOURCE / NO DATA.</t>
      </text>
    </comment>
    <comment ref="BB2" authorId="0" shapeId="0">
      <text>
        <t>Overall length from the same Parker FTX table.</t>
      </text>
    </comment>
    <comment ref="BC2" authorId="0" shapeId="0">
      <text>
        <t>MATCH = Air-Way L equals Parker L. DIVERGENT = they differ.</t>
      </text>
    </comment>
    <comment ref="BD2" authorId="0" shapeId="0">
      <text>
        <t>Y = part exists in the OM Industrial carbon steel catalog. N = Air-Way only, OUT OF SCOPE.</t>
      </text>
    </comment>
    <comment ref="BE2" authorId="0" shapeId="0">
      <text>
        <t>BUILD / DROP. Governs whether the part enters the design table at all.</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A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34" min="1" max="1"/>
  </cols>
  <sheetData>
    <row r="1" ht="17.25" customHeight="1" s="35">
      <c r="A1" s="36" t="inlineStr">
        <is>
          <t>OMi HYDRAULIC FITTING LIBRARY — MASTER DATA MODEL (Phase 0, v1)</t>
        </is>
      </c>
    </row>
    <row r="2" ht="15" customHeight="1" s="35">
      <c r="A2" s="37" t="inlineStr">
        <is>
          <t>Built 2026-08-04. Single source of truth for SolidWorks design tables, drawing notes, and template auto-fill.</t>
        </is>
      </c>
    </row>
    <row r="3" ht="15" customHeight="1" s="35">
      <c r="A3" s="37" t="n"/>
    </row>
    <row r="4" ht="15" customHeight="1" s="35">
      <c r="A4" s="38" t="inlineStr">
        <is>
          <t>HOW TO READ THIS WORKBOOK</t>
        </is>
      </c>
    </row>
    <row r="5" ht="15" customHeight="1" s="35">
      <c r="A5" s="37" t="inlineStr">
        <is>
          <t>Green text = formula. Do not overwrite; it regenerates from other columns.</t>
        </is>
      </c>
    </row>
    <row r="6" ht="15" customHeight="1" s="35">
      <c r="A6" s="37" t="inlineStr">
        <is>
          <t>Yellow fill = YOU must supply this value. Nothing downstream can ship until these are filled.</t>
        </is>
      </c>
    </row>
    <row r="7" ht="15" customHeight="1" s="35">
      <c r="A7" s="37" t="inlineStr">
        <is>
          <t>Black text = data captured from a cited source. SourceURL on every Parts row says where.</t>
        </is>
      </c>
    </row>
    <row r="8" ht="15" customHeight="1" s="35">
      <c r="A8" s="37" t="inlineStr">
        <is>
          <t>Hover any Parts header cell for its definition and data type.</t>
        </is>
      </c>
    </row>
    <row r="9" ht="15" customHeight="1" s="35">
      <c r="A9" s="37" t="n"/>
    </row>
    <row r="10" ht="15" customHeight="1" s="35">
      <c r="A10" s="38" t="inlineStr">
        <is>
          <t>DataStatus — governs release</t>
        </is>
      </c>
    </row>
    <row r="11" ht="15" customHeight="1" s="35">
      <c r="A11" s="37" t="inlineStr">
        <is>
          <t>VERIFIED  = value read from a cited source AND cross-checked against the governing standard.</t>
        </is>
      </c>
    </row>
    <row r="12" ht="15" customHeight="1" s="35">
      <c r="A12" s="37" t="inlineStr">
        <is>
          <t>ASSUMED   = value inferred. Notes column must say from what. Never ship a drawing from an ASSUMED row.</t>
        </is>
      </c>
    </row>
    <row r="13" ht="15" customHeight="1" s="35">
      <c r="A13" s="37" t="inlineStr">
        <is>
          <t>MISSING   = no source. Blocked.</t>
        </is>
      </c>
    </row>
    <row r="14" ht="15" customHeight="1" s="35">
      <c r="A14" s="37" t="n"/>
    </row>
    <row r="15" ht="15" customHeight="1" s="35">
      <c r="A15" s="38" t="inlineStr">
        <is>
          <t>StdCheck_Result</t>
        </is>
      </c>
    </row>
    <row r="16" ht="15" customHeight="1" s="35">
      <c r="A16" s="37" t="inlineStr">
        <is>
          <t>MATCH        = source value equals the standard.</t>
        </is>
      </c>
    </row>
    <row r="17" ht="15" customHeight="1" s="35">
      <c r="A17" s="37" t="inlineStr">
        <is>
          <t>DIVERGENT    = source disagrees with the standard. STOP and decide which governs before modeling.</t>
        </is>
      </c>
    </row>
    <row r="18" ht="15" customHeight="1" s="35">
      <c r="A18" s="37" t="inlineStr">
        <is>
          <t>UNVERIFIABLE = the governing standard is paywalled or silent on this dimension.</t>
        </is>
      </c>
    </row>
    <row r="19" ht="15" customHeight="1" s="35">
      <c r="A19" s="37" t="inlineStr">
        <is>
          <t>N-A          = no standard governs this value.</t>
        </is>
      </c>
    </row>
    <row r="20" ht="15" customHeight="1" s="35">
      <c r="A20" s="37" t="n"/>
    </row>
    <row r="21" ht="15" customHeight="1" s="35">
      <c r="A21" s="38" t="inlineStr">
        <is>
          <t>THE GEOMETRYROOT CONCEPT — the core architectural decision</t>
        </is>
      </c>
    </row>
    <row r="22" ht="15" customHeight="1" s="35">
      <c r="A22" s="37" t="inlineStr">
        <is>
          <t>The 410 Air-Way series collapse to 172 distinct geometry roots. 99 roots appear in 2+ material lines,</t>
        </is>
      </c>
    </row>
    <row r="23" ht="15" customHeight="1" s="35">
      <c r="A23" s="37" t="inlineStr">
        <is>
          <t>covering 322 of the 410 series. Example: root 2404 appears 8 times (JIC 2404, SS2404, F2404, FF2404,</t>
        </is>
      </c>
    </row>
    <row r="24" ht="15" customHeight="1" s="35">
      <c r="A24" s="37" t="inlineStr">
        <is>
          <t>Brass 2404-SBC, M6405 …) — all one topology, differing only in material, seal and thread callouts.</t>
        </is>
      </c>
    </row>
    <row r="25" ht="15" customHeight="1" s="35">
      <c r="A25" s="37" t="inlineStr">
        <is>
          <t>Therefore: ONE master model per GeometryRoot, not per series. ~172 masters, not 410.</t>
        </is>
      </c>
    </row>
    <row r="26" ht="15" customHeight="1" s="35">
      <c r="A26" s="37" t="inlineStr">
        <is>
          <t>Material line and end thread standard become CONFIGURATION dimensions in the Parts sheet.</t>
        </is>
      </c>
    </row>
    <row r="27" ht="15" customHeight="1" s="35">
      <c r="A27" s="37" t="n"/>
    </row>
    <row r="28" ht="15" customHeight="1" s="35">
      <c r="A28" s="38" t="inlineStr">
        <is>
          <t>SHEETS</t>
        </is>
      </c>
    </row>
    <row r="29" ht="15" customHeight="1" s="35">
      <c r="A29" s="37" t="inlineStr">
        <is>
          <t>Parts          One row per orderable part. Drives everything downstream. 2404 fully populated (51 rows).</t>
        </is>
      </c>
    </row>
    <row r="30" ht="15" customHeight="1" s="35">
      <c r="A30" s="37" t="inlineStr">
        <is>
          <t>Series         All 410 Air-Way series with the GeometryRoot key. The build backlog.</t>
        </is>
      </c>
    </row>
    <row r="31" ht="15" customHeight="1" s="35">
      <c r="A31" s="37" t="inlineStr">
        <is>
          <t>DashSizes      JIC 37 deg dash/tube-OD/thread lookup, cross-verified against two sources.</t>
        </is>
      </c>
    </row>
    <row r="32" ht="15" customHeight="1" s="35">
      <c r="A32" s="37" t="inlineStr">
        <is>
          <t>PipeThreads    NPTF sizes appearing in the 2404 series.</t>
        </is>
      </c>
    </row>
    <row r="33" ht="15" customHeight="1" s="35">
      <c r="A33" s="37" t="inlineStr">
        <is>
          <t>Standards      Register of every standard cited, and what it does and does not govern.</t>
        </is>
      </c>
    </row>
    <row r="34" ht="15" customHeight="1" s="35">
      <c r="A34" s="37" t="inlineStr">
        <is>
          <t>DimensionNaming  The SolidWorks naming convention every master model must follow.</t>
        </is>
      </c>
    </row>
    <row r="35" ht="15" customHeight="1" s="35">
      <c r="A35" s="37" t="inlineStr">
        <is>
          <t>QA_Log         Cross-check results and open questions for this phase.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4" customWidth="1" style="34" min="1" max="1"/>
    <col width="14" customWidth="1" style="34" min="2" max="2"/>
    <col width="12" customWidth="1" style="34" min="3" max="3"/>
  </cols>
  <sheetData>
    <row r="1" ht="17.25" customHeight="1" s="35">
      <c r="A1" s="36" t="inlineStr">
        <is>
          <t>CARBON STEEL — THE ACTUAL PROJECT SCOPE</t>
        </is>
      </c>
    </row>
    <row r="2" ht="15" customHeight="1" s="35">
      <c r="A2" s="34" t="inlineStr">
        <is>
          <t>Source: omindustrial.com collection product counts (authoritative — this is OMi's own catalog).</t>
        </is>
      </c>
    </row>
    <row r="3" ht="15" customHeight="1" s="35">
      <c r="A3" s="34" t="inlineStr">
        <is>
          <t>Supersedes the Air-Way-derived scope. Brass, Stainless, International/Metric, Hose, Crimp,</t>
        </is>
      </c>
    </row>
    <row r="4" ht="15" customHeight="1" s="35">
      <c r="A4" s="34" t="inlineStr">
        <is>
          <t>Live Swivels and Kits are OUT OF SCOPE.</t>
        </is>
      </c>
    </row>
    <row r="5" ht="15" customHeight="1" s="35">
      <c r="A5" s="39" t="n"/>
      <c r="B5" s="39" t="n"/>
      <c r="C5" s="39" t="n"/>
    </row>
    <row r="6" ht="15" customHeight="1" s="35">
      <c r="A6" s="34" t="inlineStr">
        <is>
          <t>Subcategory</t>
        </is>
      </c>
      <c r="B6" s="34" t="inlineStr">
        <is>
          <t>Parts</t>
        </is>
      </c>
      <c r="C6" s="34" t="inlineStr">
        <is>
          <t>SKU roots</t>
        </is>
      </c>
    </row>
    <row r="7" ht="15" customHeight="1" s="35">
      <c r="A7" s="34" t="inlineStr">
        <is>
          <t>Carbon Steel &gt; Tube Fittings &amp; Adapters</t>
        </is>
      </c>
      <c r="B7" s="34" t="n">
        <v>1672</v>
      </c>
      <c r="C7" s="34" t="n">
        <v>126</v>
      </c>
    </row>
    <row r="8" ht="15" customHeight="1" s="35">
      <c r="A8" s="34" t="inlineStr">
        <is>
          <t>Carbon Steel &gt; O-Ring Face Seal (ORFS)</t>
        </is>
      </c>
      <c r="B8" s="34" t="n">
        <v>385</v>
      </c>
      <c r="C8" s="34" t="n">
        <v>47</v>
      </c>
    </row>
    <row r="9" ht="15" customHeight="1" s="35">
      <c r="A9" s="34" t="inlineStr">
        <is>
          <t>Carbon Steel &gt; Compression</t>
        </is>
      </c>
      <c r="B9" s="34" t="n">
        <v>230</v>
      </c>
      <c r="C9" s="34" t="n">
        <v>11</v>
      </c>
    </row>
    <row r="10" ht="15" customHeight="1" s="35">
      <c r="A10" s="34" t="inlineStr">
        <is>
          <t>Carbon Steel &gt; Flange Adapters &amp; Accessories</t>
        </is>
      </c>
      <c r="B10" s="34" t="n">
        <v>163</v>
      </c>
      <c r="C10" s="34" t="n">
        <v>13</v>
      </c>
    </row>
    <row r="11" ht="15" customHeight="1" s="35">
      <c r="A11" s="34" t="inlineStr">
        <is>
          <t>Carbon Steel &gt; Braze &amp; Beaded Hose</t>
        </is>
      </c>
      <c r="B11" s="34" t="n">
        <v>73</v>
      </c>
      <c r="C11" s="34" t="n">
        <v>7</v>
      </c>
    </row>
    <row r="12" ht="15" customHeight="1" s="35">
      <c r="A12" s="34" t="inlineStr">
        <is>
          <t>Carbon Steel &gt; Test Gauge</t>
        </is>
      </c>
      <c r="B12" s="34" t="n">
        <v>12</v>
      </c>
      <c r="C12" s="34" t="n">
        <v>2</v>
      </c>
    </row>
    <row r="13" ht="15" customHeight="1" s="35">
      <c r="A13" s="38" t="inlineStr">
        <is>
          <t>TOTAL</t>
        </is>
      </c>
      <c r="B13" s="38" t="n">
        <v>2535</v>
      </c>
      <c r="C13" s="38" t="n">
        <v>206</v>
      </c>
    </row>
    <row r="15" ht="15" customHeight="1" s="35">
      <c r="A15" s="38" t="inlineStr">
        <is>
          <t>Distinct geometry topologies (master models to build)</t>
        </is>
      </c>
      <c r="B15" s="34" t="n">
        <v>126</v>
      </c>
    </row>
    <row r="16" ht="15" customHeight="1" s="35">
      <c r="A16" s="34" t="inlineStr">
        <is>
          <t>Average parts per master</t>
        </is>
      </c>
      <c r="B16" s="34" t="n">
        <v>20.1</v>
      </c>
    </row>
    <row r="17" ht="15" customHeight="1" s="35">
      <c r="A17" s="34" t="inlineStr">
        <is>
          <t>Previous Air-Way-wide scope (now superseded)</t>
        </is>
      </c>
      <c r="B17" s="34" t="inlineStr">
        <is>
          <t>410 series / 5,272 parts / 173 masters</t>
        </is>
      </c>
    </row>
    <row r="19" ht="15" customHeight="1" s="35">
      <c r="A19" s="38" t="inlineStr">
        <is>
          <t>SKU ENUMERATION STATUS</t>
        </is>
      </c>
    </row>
    <row r="20" ht="15" customHeight="1" s="35">
      <c r="A20" s="34" t="inlineStr">
        <is>
          <t>863 of 863 SKUs captured exactly for the five smaller subcategories (each matched its published count).</t>
        </is>
      </c>
    </row>
    <row r="21" ht="15" customHeight="1" s="35">
      <c r="A21" s="34" t="inlineStr">
        <is>
          <t>~1,596 of 1,672 captured for Tube Fittings &amp; Adapters (95%). The JSON feed drops 1-5 records per page</t>
        </is>
      </c>
    </row>
    <row r="22" ht="15" customHeight="1" s="35">
      <c r="A22" s="34" t="inlineStr">
        <is>
          <t>deterministically through the fetch layer. Roots and counts are unaffected; the residual ~76 SKUs are</t>
        </is>
      </c>
    </row>
    <row r="23" ht="15" customHeight="1" s="35">
      <c r="A23" s="40" t="inlineStr">
        <is>
          <t>individual size variants within roots already identified. Flagged rather than silently completed.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H293"/>
  <sheetViews>
    <sheetView showFormulas="0" showGridLines="1" showRowColHeaders="1" showZeros="1" rightToLeft="0" tabSelected="0" showOutlineSymbols="1" defaultGridColor="1"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6796875" defaultRowHeight="15" zeroHeight="0" outlineLevelRow="0"/>
  <cols>
    <col width="22" customWidth="1" style="34" min="1" max="2"/>
    <col width="11" customWidth="1" style="34" min="3" max="3"/>
    <col width="10" customWidth="1" style="34" min="4" max="5"/>
    <col width="42" customWidth="1" style="34" min="6" max="6"/>
    <col width="15" customWidth="1" style="34" min="7" max="8"/>
    <col width="10" customWidth="1" style="34" min="9" max="9"/>
    <col width="15" customWidth="1" style="34" min="10" max="11"/>
    <col width="8" customWidth="1" style="34" min="12" max="19"/>
    <col width="7" customWidth="1" style="34" min="20" max="20"/>
    <col width="12" customWidth="1" style="34" min="21" max="21"/>
    <col width="34" customWidth="1" style="34" min="22" max="22"/>
    <col width="12" customWidth="1" style="34" min="23" max="23"/>
    <col width="60" customWidth="1" style="34" min="24" max="24"/>
    <col width="18" customWidth="1" style="34" min="26" max="34"/>
  </cols>
  <sheetData>
    <row r="1" ht="15" customHeight="1" s="35">
      <c r="A1" s="41" t="inlineStr">
        <is>
          <t>IDENTITY</t>
        </is>
      </c>
      <c r="G1" s="41" t="inlineStr">
        <is>
          <t>ENDS</t>
        </is>
      </c>
      <c r="L1" s="41" t="inlineStr">
        <is>
          <t>GENERIC DIMENSION SLOTS</t>
        </is>
      </c>
      <c r="V1" s="41" t="inlineStr">
        <is>
          <t>QA</t>
        </is>
      </c>
      <c r="Z1" s="42" t="inlineStr">
        <is>
          <t>SPEC VALUES FROM INDUSTRY STANDARDS</t>
        </is>
      </c>
    </row>
    <row r="2" ht="39.75" customHeight="1" s="35">
      <c r="A2" s="43" t="inlineStr">
        <is>
          <t>PartNumber_OMi</t>
        </is>
      </c>
      <c r="B2" s="43" t="inlineStr">
        <is>
          <t>PartNumber_AirWay</t>
        </is>
      </c>
      <c r="C2" s="43" t="inlineStr">
        <is>
          <t>Topology</t>
        </is>
      </c>
      <c r="D2" s="43" t="inlineStr">
        <is>
          <t>SeriesID_AirWay</t>
        </is>
      </c>
      <c r="E2" s="43" t="inlineStr">
        <is>
          <t>Shape</t>
        </is>
      </c>
      <c r="F2" s="43" t="inlineStr">
        <is>
          <t>Description</t>
        </is>
      </c>
      <c r="G2" s="43" t="inlineStr">
        <is>
          <t>EndA_Thread</t>
        </is>
      </c>
      <c r="H2" s="43" t="inlineStr">
        <is>
          <t>EndB_Thread</t>
        </is>
      </c>
      <c r="I2" s="43" t="inlineStr">
        <is>
          <t>TubeOD_Frac</t>
        </is>
      </c>
      <c r="J2" s="43" t="inlineStr">
        <is>
          <t>EndA_Std</t>
        </is>
      </c>
      <c r="K2" s="43" t="inlineStr">
        <is>
          <t>EndB_Std</t>
        </is>
      </c>
      <c r="L2" s="43" t="inlineStr">
        <is>
          <t>D1</t>
        </is>
      </c>
      <c r="M2" s="43" t="inlineStr">
        <is>
          <t>D2</t>
        </is>
      </c>
      <c r="N2" s="43" t="inlineStr">
        <is>
          <t>D3</t>
        </is>
      </c>
      <c r="O2" s="43" t="inlineStr">
        <is>
          <t>D4</t>
        </is>
      </c>
      <c r="P2" s="43" t="inlineStr">
        <is>
          <t>D5</t>
        </is>
      </c>
      <c r="Q2" s="43" t="inlineStr">
        <is>
          <t>D6</t>
        </is>
      </c>
      <c r="R2" s="43" t="inlineStr">
        <is>
          <t>HEXA</t>
        </is>
      </c>
      <c r="S2" s="43" t="inlineStr">
        <is>
          <t>HEXB</t>
        </is>
      </c>
      <c r="T2" s="43" t="inlineStr">
        <is>
          <t>BEND</t>
        </is>
      </c>
      <c r="U2" s="43" t="inlineStr">
        <is>
          <t>DataStatus</t>
        </is>
      </c>
      <c r="V2" s="43" t="inlineStr">
        <is>
          <t>StdCheck_Result</t>
        </is>
      </c>
      <c r="W2" s="43" t="inlineStr">
        <is>
          <t>ScopeAction</t>
        </is>
      </c>
      <c r="X2" s="43" t="inlineStr">
        <is>
          <t>Notes</t>
        </is>
      </c>
      <c r="Z2" s="43" t="inlineStr">
        <is>
          <t>Material</t>
        </is>
      </c>
      <c r="AA2" s="43" t="inlineStr">
        <is>
          <t>MaterialSpec</t>
        </is>
      </c>
      <c r="AB2" s="43" t="inlineStr">
        <is>
          <t>Finish</t>
        </is>
      </c>
      <c r="AC2" s="43" t="inlineStr">
        <is>
          <t>FinishSpec</t>
        </is>
      </c>
      <c r="AD2" s="43" t="inlineStr">
        <is>
          <t>PressureRating</t>
        </is>
      </c>
      <c r="AE2" s="43" t="inlineStr">
        <is>
          <t>PressureBasis</t>
        </is>
      </c>
      <c r="AF2" s="43" t="inlineStr">
        <is>
          <t>TempMin_F</t>
        </is>
      </c>
      <c r="AG2" s="43" t="inlineStr">
        <is>
          <t>TempMax_F</t>
        </is>
      </c>
      <c r="AH2" s="43" t="inlineStr">
        <is>
          <t>SpecSource</t>
        </is>
      </c>
    </row>
    <row r="3" ht="15" customHeight="1" s="35">
      <c r="A3" s="37" t="inlineStr">
        <is>
          <t>6400-02-02-O</t>
        </is>
      </c>
      <c r="B3" s="37" t="inlineStr">
        <is>
          <t>6400-2-2-O</t>
        </is>
      </c>
      <c r="C3" s="37" t="inlineStr">
        <is>
          <t>6400</t>
        </is>
      </c>
      <c r="D3" s="37" t="n">
        <v>89</v>
      </c>
      <c r="E3" s="37" t="inlineStr">
        <is>
          <t>Straight</t>
        </is>
      </c>
      <c r="F3" s="37" t="inlineStr">
        <is>
          <t>Straight Thread Connector, 5/16-24 x 5/16-24</t>
        </is>
      </c>
      <c r="G3" s="37" t="inlineStr">
        <is>
          <t>5/16-24</t>
        </is>
      </c>
      <c r="H3" s="37" t="inlineStr">
        <is>
          <t>5/16-24</t>
        </is>
      </c>
      <c r="I3" s="37" t="n"/>
      <c r="J3" s="37" t="inlineStr">
        <is>
          <t>SAE J1926-3</t>
        </is>
      </c>
      <c r="K3" s="37" t="inlineStr">
        <is>
          <t>SAE J514-1</t>
        </is>
      </c>
      <c r="L3" s="37" t="n">
        <v>1.06</v>
      </c>
      <c r="M3" s="37" t="n">
        <v>0.44</v>
      </c>
      <c r="N3" s="37" t="n">
        <v>0.06</v>
      </c>
      <c r="O3" s="37" t="n">
        <v>0.06</v>
      </c>
      <c r="P3" s="37" t="n"/>
      <c r="Q3" s="37" t="n"/>
      <c r="R3" s="44" t="n"/>
      <c r="S3" s="45" t="n">
        <v>0.44</v>
      </c>
      <c r="T3" s="37" t="n">
        <v>0</v>
      </c>
      <c r="U3" s="37" t="inlineStr">
        <is>
          <t>VERIFIED</t>
        </is>
      </c>
      <c r="V3" s="37" t="inlineStr">
        <is>
          <t>MATCH (source cited: SAE J514-1 070120 / MS51525 / MS39324)</t>
        </is>
      </c>
      <c r="W3" s="37" t="inlineStr">
        <is>
          <t>BUILD</t>
        </is>
      </c>
      <c r="X3" s="37" t="inlineStr">
        <is>
          <t>Hex = Air-Way C4 column, CONFIRMED vs PressureConnections/Purvis.</t>
        </is>
      </c>
      <c r="Z3" s="45" t="inlineStr">
        <is>
          <t>Carbon Steel</t>
        </is>
      </c>
      <c r="AA3" s="45" t="inlineStr">
        <is>
          <t>ASTM A108 12L14</t>
        </is>
      </c>
      <c r="AB3" s="45" t="inlineStr">
        <is>
          <t>Trivalent Cr3 Zinc</t>
        </is>
      </c>
      <c r="AC3" s="45" t="inlineStr">
        <is>
          <t>ASTM B633 Type V/VI</t>
        </is>
      </c>
      <c r="AD3" s="46" t="n">
        <v>5000</v>
      </c>
      <c r="AE3" s="46" t="inlineStr">
        <is>
          <t>generic SAE table @ dash -2 (governing end)</t>
        </is>
      </c>
      <c r="AF3" s="46" t="n">
        <v>-65</v>
      </c>
      <c r="AG3" s="46" t="n">
        <v>400</v>
      </c>
      <c r="AH3" s="37" t="inlineStr">
        <is>
          <t>Ham-Let + hoseandfittings (pressure); Parker Cat.4300 (material); ASTM B633 (finish); see StandardsData</t>
        </is>
      </c>
    </row>
    <row r="4" ht="15" customHeight="1" s="35">
      <c r="A4" s="37" t="inlineStr">
        <is>
          <t>6400-03-03-O</t>
        </is>
      </c>
      <c r="B4" s="37" t="inlineStr">
        <is>
          <t>6400-3-3-O</t>
        </is>
      </c>
      <c r="C4" s="37" t="inlineStr">
        <is>
          <t>6400</t>
        </is>
      </c>
      <c r="D4" s="37" t="n">
        <v>89</v>
      </c>
      <c r="E4" s="37" t="inlineStr">
        <is>
          <t>Straight</t>
        </is>
      </c>
      <c r="F4" s="37" t="inlineStr">
        <is>
          <t>Straight Thread Connector, 3/8-24 x 3/8-24</t>
        </is>
      </c>
      <c r="G4" s="37" t="inlineStr">
        <is>
          <t>3/8-24</t>
        </is>
      </c>
      <c r="H4" s="37" t="inlineStr">
        <is>
          <t>3/8-24</t>
        </is>
      </c>
      <c r="I4" s="37" t="n"/>
      <c r="J4" s="37" t="inlineStr">
        <is>
          <t>SAE J1926-3</t>
        </is>
      </c>
      <c r="K4" s="37" t="inlineStr">
        <is>
          <t>SAE J514-1</t>
        </is>
      </c>
      <c r="L4" s="37" t="n">
        <v>1.1</v>
      </c>
      <c r="M4" s="37" t="n">
        <v>0.5</v>
      </c>
      <c r="N4" s="37" t="n">
        <v>0.13</v>
      </c>
      <c r="O4" s="37" t="n">
        <v>0.13</v>
      </c>
      <c r="P4" s="37" t="n"/>
      <c r="Q4" s="37" t="n"/>
      <c r="R4" s="44" t="n"/>
      <c r="S4" s="44" t="n">
        <v>0.5</v>
      </c>
      <c r="T4" s="37" t="n">
        <v>0</v>
      </c>
      <c r="U4" s="37" t="inlineStr">
        <is>
          <t>ASSUMED</t>
        </is>
      </c>
      <c r="V4" s="37" t="inlineStr">
        <is>
          <t>MATCH (source cited: SAE J514-1 070120 / MS51525 / MS39324)</t>
        </is>
      </c>
      <c r="W4" s="37" t="inlineStr">
        <is>
          <t>BUILD</t>
        </is>
      </c>
      <c r="X4" s="37" t="inlineStr">
        <is>
          <t>Hex = Air-Way C4 column (per-part). Matched sizes in this topology corroborate the column.</t>
        </is>
      </c>
      <c r="Z4" s="45" t="inlineStr">
        <is>
          <t>Carbon Steel</t>
        </is>
      </c>
      <c r="AA4" s="45" t="inlineStr">
        <is>
          <t>ASTM A108 12L14</t>
        </is>
      </c>
      <c r="AB4" s="45" t="inlineStr">
        <is>
          <t>Trivalent Cr3 Zinc</t>
        </is>
      </c>
      <c r="AC4" s="45" t="inlineStr">
        <is>
          <t>ASTM B633 Type V/VI</t>
        </is>
      </c>
      <c r="AD4" s="46" t="n">
        <v>5000</v>
      </c>
      <c r="AE4" s="46" t="inlineStr">
        <is>
          <t>generic SAE table @ dash -3 (governing end)</t>
        </is>
      </c>
      <c r="AF4" s="46" t="n">
        <v>-65</v>
      </c>
      <c r="AG4" s="46" t="n">
        <v>400</v>
      </c>
      <c r="AH4" s="37" t="inlineStr">
        <is>
          <t>Ham-Let + hoseandfittings (pressure); Parker Cat.4300 (material); ASTM B633 (finish); see StandardsData</t>
        </is>
      </c>
    </row>
    <row r="5" ht="15" customHeight="1" s="35">
      <c r="A5" s="37" t="inlineStr">
        <is>
          <t>6400-04-02-O</t>
        </is>
      </c>
      <c r="B5" s="37" t="inlineStr">
        <is>
          <t>6400-4-2-O</t>
        </is>
      </c>
      <c r="C5" s="37" t="inlineStr">
        <is>
          <t>6400</t>
        </is>
      </c>
      <c r="D5" s="37" t="n">
        <v>89</v>
      </c>
      <c r="E5" s="37" t="inlineStr">
        <is>
          <t>Straight</t>
        </is>
      </c>
      <c r="F5" s="37" t="inlineStr">
        <is>
          <t>Straight Thread Connector, 7/16-20 x 5/16-24</t>
        </is>
      </c>
      <c r="G5" s="37" t="inlineStr">
        <is>
          <t>5/16-24</t>
        </is>
      </c>
      <c r="H5" s="37" t="inlineStr">
        <is>
          <t>7/16-20</t>
        </is>
      </c>
      <c r="I5" s="37" t="n"/>
      <c r="J5" s="37" t="inlineStr">
        <is>
          <t>SAE J1926-3</t>
        </is>
      </c>
      <c r="K5" s="37" t="inlineStr">
        <is>
          <t>SAE J514-1</t>
        </is>
      </c>
      <c r="L5" s="37" t="n">
        <v>1.17</v>
      </c>
      <c r="M5" s="37" t="n">
        <v>0.5</v>
      </c>
      <c r="N5" s="37" t="n">
        <v>0.17</v>
      </c>
      <c r="O5" s="37" t="n">
        <v>0.06</v>
      </c>
      <c r="P5" s="37" t="n"/>
      <c r="Q5" s="37" t="n"/>
      <c r="R5" s="44" t="n"/>
      <c r="S5" s="44" t="n">
        <v>0.5</v>
      </c>
      <c r="T5" s="37" t="n">
        <v>0</v>
      </c>
      <c r="U5" s="37" t="inlineStr">
        <is>
          <t>ASSUMED</t>
        </is>
      </c>
      <c r="V5" s="37" t="inlineStr">
        <is>
          <t>MATCH (source cited: SAE J514-1 070120 / MS51525 / MS39324)</t>
        </is>
      </c>
      <c r="W5" s="37" t="inlineStr">
        <is>
          <t>BUILD</t>
        </is>
      </c>
      <c r="X5" s="37" t="inlineStr">
        <is>
          <t>Hex = Air-Way C4 column (per-part). Matched sizes in this topology corroborate the column.</t>
        </is>
      </c>
      <c r="Z5" s="45" t="inlineStr">
        <is>
          <t>Carbon Steel</t>
        </is>
      </c>
      <c r="AA5" s="45" t="inlineStr">
        <is>
          <t>ASTM A108 12L14</t>
        </is>
      </c>
      <c r="AB5" s="45" t="inlineStr">
        <is>
          <t>Trivalent Cr3 Zinc</t>
        </is>
      </c>
      <c r="AC5" s="45" t="inlineStr">
        <is>
          <t>ASTM B633 Type V/VI</t>
        </is>
      </c>
      <c r="AD5" s="46" t="n">
        <v>5000</v>
      </c>
      <c r="AE5" s="46" t="inlineStr">
        <is>
          <t>generic SAE table @ dash -4 (governing end)</t>
        </is>
      </c>
      <c r="AF5" s="46" t="n">
        <v>-65</v>
      </c>
      <c r="AG5" s="46" t="n">
        <v>400</v>
      </c>
      <c r="AH5" s="37" t="inlineStr">
        <is>
          <t>Ham-Let + hoseandfittings (pressure); Parker Cat.4300 (material); ASTM B633 (finish); see StandardsData</t>
        </is>
      </c>
    </row>
    <row r="6" ht="15" customHeight="1" s="35">
      <c r="A6" s="37" t="inlineStr">
        <is>
          <t>6400-04-03-O</t>
        </is>
      </c>
      <c r="B6" s="37" t="inlineStr">
        <is>
          <t>6400-4-3-O</t>
        </is>
      </c>
      <c r="C6" s="37" t="inlineStr">
        <is>
          <t>6400</t>
        </is>
      </c>
      <c r="D6" s="37" t="n">
        <v>89</v>
      </c>
      <c r="E6" s="37" t="inlineStr">
        <is>
          <t>Straight</t>
        </is>
      </c>
      <c r="F6" s="37" t="inlineStr">
        <is>
          <t>Straight Thread Connector, 7/16-20 x 3/8-24</t>
        </is>
      </c>
      <c r="G6" s="37" t="inlineStr">
        <is>
          <t>3/8-24</t>
        </is>
      </c>
      <c r="H6" s="37" t="inlineStr">
        <is>
          <t>7/16-20</t>
        </is>
      </c>
      <c r="I6" s="37" t="n"/>
      <c r="J6" s="37" t="inlineStr">
        <is>
          <t>SAE J1926-3</t>
        </is>
      </c>
      <c r="K6" s="37" t="inlineStr">
        <is>
          <t>SAE J514-1</t>
        </is>
      </c>
      <c r="L6" s="37" t="n">
        <v>1.17</v>
      </c>
      <c r="M6" s="37" t="n">
        <v>0.5</v>
      </c>
      <c r="N6" s="37" t="n">
        <v>0.17</v>
      </c>
      <c r="O6" s="37" t="n">
        <v>0.13</v>
      </c>
      <c r="P6" s="37" t="n"/>
      <c r="Q6" s="37" t="n"/>
      <c r="R6" s="44" t="n"/>
      <c r="S6" s="44" t="n">
        <v>0.5</v>
      </c>
      <c r="T6" s="37" t="n">
        <v>0</v>
      </c>
      <c r="U6" s="37" t="inlineStr">
        <is>
          <t>ASSUMED</t>
        </is>
      </c>
      <c r="V6" s="37" t="inlineStr">
        <is>
          <t>MATCH (source cited: SAE J514-1 070120 / MS51525 / MS39324)</t>
        </is>
      </c>
      <c r="W6" s="37" t="inlineStr">
        <is>
          <t>BUILD</t>
        </is>
      </c>
      <c r="X6" s="37" t="inlineStr">
        <is>
          <t>Hex = Air-Way C4 column (per-part). Matched sizes in this topology corroborate the column.</t>
        </is>
      </c>
      <c r="Z6" s="45" t="inlineStr">
        <is>
          <t>Carbon Steel</t>
        </is>
      </c>
      <c r="AA6" s="45" t="inlineStr">
        <is>
          <t>ASTM A108 12L14</t>
        </is>
      </c>
      <c r="AB6" s="45" t="inlineStr">
        <is>
          <t>Trivalent Cr3 Zinc</t>
        </is>
      </c>
      <c r="AC6" s="45" t="inlineStr">
        <is>
          <t>ASTM B633 Type V/VI</t>
        </is>
      </c>
      <c r="AD6" s="46" t="n">
        <v>5000</v>
      </c>
      <c r="AE6" s="46" t="inlineStr">
        <is>
          <t>generic SAE table @ dash -4 (governing end)</t>
        </is>
      </c>
      <c r="AF6" s="46" t="n">
        <v>-65</v>
      </c>
      <c r="AG6" s="46" t="n">
        <v>400</v>
      </c>
      <c r="AH6" s="37" t="inlineStr">
        <is>
          <t>Ham-Let + hoseandfittings (pressure); Parker Cat.4300 (material); ASTM B633 (finish); see StandardsData</t>
        </is>
      </c>
    </row>
    <row r="7" ht="15" customHeight="1" s="35">
      <c r="A7" s="37" t="inlineStr">
        <is>
          <t>6400-04-04-O</t>
        </is>
      </c>
      <c r="B7" s="37" t="inlineStr">
        <is>
          <t>6400-4-4-O</t>
        </is>
      </c>
      <c r="C7" s="37" t="inlineStr">
        <is>
          <t>6400</t>
        </is>
      </c>
      <c r="D7" s="37" t="n">
        <v>89</v>
      </c>
      <c r="E7" s="37" t="inlineStr">
        <is>
          <t>Straight</t>
        </is>
      </c>
      <c r="F7" s="37" t="inlineStr">
        <is>
          <t>Straight Thread Connector, 7/16-20 x 7/16-20</t>
        </is>
      </c>
      <c r="G7" s="37" t="inlineStr">
        <is>
          <t>7/16-20</t>
        </is>
      </c>
      <c r="H7" s="37" t="inlineStr">
        <is>
          <t>7/16-20</t>
        </is>
      </c>
      <c r="I7" s="37" t="n"/>
      <c r="J7" s="37" t="inlineStr">
        <is>
          <t>SAE J1926-3</t>
        </is>
      </c>
      <c r="K7" s="37" t="inlineStr">
        <is>
          <t>SAE J514-1</t>
        </is>
      </c>
      <c r="L7" s="37" t="n">
        <v>1.23</v>
      </c>
      <c r="M7" s="37" t="n">
        <v>0.5600000000000001</v>
      </c>
      <c r="N7" s="37" t="n">
        <v>0.17</v>
      </c>
      <c r="O7" s="37" t="n">
        <v>0.17</v>
      </c>
      <c r="P7" s="37" t="n"/>
      <c r="Q7" s="37" t="n"/>
      <c r="R7" s="44" t="n"/>
      <c r="S7" s="45" t="n">
        <v>0.5600000000000001</v>
      </c>
      <c r="T7" s="37" t="n">
        <v>0</v>
      </c>
      <c r="U7" s="37" t="inlineStr">
        <is>
          <t>VERIFIED</t>
        </is>
      </c>
      <c r="V7" s="37" t="inlineStr">
        <is>
          <t>MATCH (source cited: SAE J514-1 070120 / MS51525 / MS39324)</t>
        </is>
      </c>
      <c r="W7" s="37" t="inlineStr">
        <is>
          <t>BUILD</t>
        </is>
      </c>
      <c r="X7" s="37" t="inlineStr">
        <is>
          <t>Hex = Air-Way C4 column, CONFIRMED vs PressureConnections/Purvis.</t>
        </is>
      </c>
      <c r="Z7" s="45" t="inlineStr">
        <is>
          <t>Carbon Steel</t>
        </is>
      </c>
      <c r="AA7" s="45" t="inlineStr">
        <is>
          <t>ASTM A108 12L14</t>
        </is>
      </c>
      <c r="AB7" s="45" t="inlineStr">
        <is>
          <t>Trivalent Cr3 Zinc</t>
        </is>
      </c>
      <c r="AC7" s="45" t="inlineStr">
        <is>
          <t>ASTM B633 Type V/VI</t>
        </is>
      </c>
      <c r="AD7" s="46" t="n">
        <v>5000</v>
      </c>
      <c r="AE7" s="46" t="inlineStr">
        <is>
          <t>generic SAE table @ dash -4 (governing end)</t>
        </is>
      </c>
      <c r="AF7" s="46" t="n">
        <v>-65</v>
      </c>
      <c r="AG7" s="46" t="n">
        <v>400</v>
      </c>
      <c r="AH7" s="37" t="inlineStr">
        <is>
          <t>Ham-Let + hoseandfittings (pressure); Parker Cat.4300 (material); ASTM B633 (finish); see StandardsData</t>
        </is>
      </c>
    </row>
    <row r="8" ht="15" customHeight="1" s="35">
      <c r="A8" s="37" t="inlineStr">
        <is>
          <t>6400-04-05-O</t>
        </is>
      </c>
      <c r="B8" s="37" t="inlineStr">
        <is>
          <t>6400-4-5-O</t>
        </is>
      </c>
      <c r="C8" s="37" t="inlineStr">
        <is>
          <t>6400</t>
        </is>
      </c>
      <c r="D8" s="37" t="n">
        <v>89</v>
      </c>
      <c r="E8" s="37" t="inlineStr">
        <is>
          <t>Straight</t>
        </is>
      </c>
      <c r="F8" s="37" t="inlineStr">
        <is>
          <t>Straight Thread Connector, 7/16-20 x 1/2-20</t>
        </is>
      </c>
      <c r="G8" s="37" t="inlineStr">
        <is>
          <t>1/2-20</t>
        </is>
      </c>
      <c r="H8" s="37" t="inlineStr">
        <is>
          <t>7/16-20</t>
        </is>
      </c>
      <c r="I8" s="37" t="n"/>
      <c r="J8" s="37" t="inlineStr">
        <is>
          <t>SAE J1926-3</t>
        </is>
      </c>
      <c r="K8" s="37" t="inlineStr">
        <is>
          <t>SAE J514-1</t>
        </is>
      </c>
      <c r="L8" s="37" t="n">
        <v>1.23</v>
      </c>
      <c r="M8" s="37" t="n">
        <v>0.63</v>
      </c>
      <c r="N8" s="37" t="n">
        <v>0.17</v>
      </c>
      <c r="O8" s="37" t="n">
        <v>0.23</v>
      </c>
      <c r="P8" s="37" t="n"/>
      <c r="Q8" s="37" t="n"/>
      <c r="R8" s="44" t="n"/>
      <c r="S8" s="44" t="n">
        <v>0.63</v>
      </c>
      <c r="T8" s="37" t="n">
        <v>0</v>
      </c>
      <c r="U8" s="37" t="inlineStr">
        <is>
          <t>ASSUMED</t>
        </is>
      </c>
      <c r="V8" s="37" t="inlineStr">
        <is>
          <t>MATCH (source cited: SAE J514-1 070120 / MS51525 / MS39324)</t>
        </is>
      </c>
      <c r="W8" s="37" t="inlineStr">
        <is>
          <t>BUILD</t>
        </is>
      </c>
      <c r="X8" s="37" t="inlineStr">
        <is>
          <t>Hex = Air-Way C4 column (per-part). Matched sizes in this topology corroborate the column.</t>
        </is>
      </c>
      <c r="Z8" s="45" t="inlineStr">
        <is>
          <t>Carbon Steel</t>
        </is>
      </c>
      <c r="AA8" s="45" t="inlineStr">
        <is>
          <t>ASTM A108 12L14</t>
        </is>
      </c>
      <c r="AB8" s="45" t="inlineStr">
        <is>
          <t>Trivalent Cr3 Zinc</t>
        </is>
      </c>
      <c r="AC8" s="45" t="inlineStr">
        <is>
          <t>ASTM B633 Type V/VI</t>
        </is>
      </c>
      <c r="AD8" s="46" t="n">
        <v>5000</v>
      </c>
      <c r="AE8" s="46" t="inlineStr">
        <is>
          <t>generic SAE table @ dash -5 (governing end)</t>
        </is>
      </c>
      <c r="AF8" s="46" t="n">
        <v>-65</v>
      </c>
      <c r="AG8" s="46" t="n">
        <v>400</v>
      </c>
      <c r="AH8" s="37" t="inlineStr">
        <is>
          <t>Ham-Let + hoseandfittings (pressure); Parker Cat.4300 (material); ASTM B633 (finish); see StandardsData</t>
        </is>
      </c>
    </row>
    <row r="9" ht="15" customHeight="1" s="35">
      <c r="A9" s="37" t="inlineStr">
        <is>
          <t>6400-04-06-O</t>
        </is>
      </c>
      <c r="B9" s="37" t="inlineStr">
        <is>
          <t>6400-4-6-O</t>
        </is>
      </c>
      <c r="C9" s="37" t="inlineStr">
        <is>
          <t>6400</t>
        </is>
      </c>
      <c r="D9" s="37" t="n">
        <v>89</v>
      </c>
      <c r="E9" s="37" t="inlineStr">
        <is>
          <t>Straight</t>
        </is>
      </c>
      <c r="F9" s="37" t="inlineStr">
        <is>
          <t>Straight Thread Connector, 7/16-20 x 9/16-18</t>
        </is>
      </c>
      <c r="G9" s="37" t="inlineStr">
        <is>
          <t>9/16-18</t>
        </is>
      </c>
      <c r="H9" s="37" t="inlineStr">
        <is>
          <t>7/16-20</t>
        </is>
      </c>
      <c r="I9" s="37" t="n"/>
      <c r="J9" s="37" t="inlineStr">
        <is>
          <t>SAE J1926-3</t>
        </is>
      </c>
      <c r="K9" s="37" t="inlineStr">
        <is>
          <t>SAE J514-1</t>
        </is>
      </c>
      <c r="L9" s="37" t="n">
        <v>1.29</v>
      </c>
      <c r="M9" s="37" t="n">
        <v>0.6899999999999999</v>
      </c>
      <c r="N9" s="37" t="n">
        <v>0.17</v>
      </c>
      <c r="O9" s="37" t="n">
        <v>0.3</v>
      </c>
      <c r="P9" s="37" t="n"/>
      <c r="Q9" s="37" t="n"/>
      <c r="R9" s="44" t="n"/>
      <c r="S9" s="44" t="n">
        <v>0.6899999999999999</v>
      </c>
      <c r="T9" s="37" t="n">
        <v>0</v>
      </c>
      <c r="U9" s="37" t="inlineStr">
        <is>
          <t>ASSUMED</t>
        </is>
      </c>
      <c r="V9" s="37" t="inlineStr">
        <is>
          <t>MATCH (source cited: SAE J514-1 070120 / MS51525 / MS39324)</t>
        </is>
      </c>
      <c r="W9" s="37" t="inlineStr">
        <is>
          <t>BUILD</t>
        </is>
      </c>
      <c r="X9" s="37" t="inlineStr">
        <is>
          <t>Hex = Air-Way C4 column (per-part). Matched sizes in this topology corroborate the column.</t>
        </is>
      </c>
      <c r="Z9" s="45" t="inlineStr">
        <is>
          <t>Carbon Steel</t>
        </is>
      </c>
      <c r="AA9" s="45" t="inlineStr">
        <is>
          <t>ASTM A108 12L14</t>
        </is>
      </c>
      <c r="AB9" s="45" t="inlineStr">
        <is>
          <t>Trivalent Cr3 Zinc</t>
        </is>
      </c>
      <c r="AC9" s="45" t="inlineStr">
        <is>
          <t>ASTM B633 Type V/VI</t>
        </is>
      </c>
      <c r="AD9" s="46" t="n">
        <v>5000</v>
      </c>
      <c r="AE9" s="46" t="inlineStr">
        <is>
          <t>generic SAE table @ dash -6 (governing end)</t>
        </is>
      </c>
      <c r="AF9" s="46" t="n">
        <v>-65</v>
      </c>
      <c r="AG9" s="46" t="n">
        <v>400</v>
      </c>
      <c r="AH9" s="37" t="inlineStr">
        <is>
          <t>Ham-Let + hoseandfittings (pressure); Parker Cat.4300 (material); ASTM B633 (finish); see StandardsData</t>
        </is>
      </c>
    </row>
    <row r="10" ht="15" customHeight="1" s="35">
      <c r="A10" s="37" t="inlineStr">
        <is>
          <t>6400-04-08-O</t>
        </is>
      </c>
      <c r="B10" s="37" t="inlineStr">
        <is>
          <t>6400-4-8-O</t>
        </is>
      </c>
      <c r="C10" s="37" t="inlineStr">
        <is>
          <t>6400</t>
        </is>
      </c>
      <c r="D10" s="37" t="n">
        <v>89</v>
      </c>
      <c r="E10" s="37" t="inlineStr">
        <is>
          <t>Straight</t>
        </is>
      </c>
      <c r="F10" s="37" t="inlineStr">
        <is>
          <t>Straight Thread Connector, 7/16-20 x 3/4-16</t>
        </is>
      </c>
      <c r="G10" s="37" t="inlineStr">
        <is>
          <t>3/4-16</t>
        </is>
      </c>
      <c r="H10" s="37" t="inlineStr">
        <is>
          <t>7/16-20</t>
        </is>
      </c>
      <c r="I10" s="37" t="n"/>
      <c r="J10" s="37" t="inlineStr">
        <is>
          <t>SAE J1926-3</t>
        </is>
      </c>
      <c r="K10" s="37" t="inlineStr">
        <is>
          <t>SAE J514-1</t>
        </is>
      </c>
      <c r="L10" s="37" t="n">
        <v>1.37</v>
      </c>
      <c r="M10" s="37" t="n">
        <v>0.88</v>
      </c>
      <c r="N10" s="37" t="n">
        <v>0.17</v>
      </c>
      <c r="O10" s="37" t="n">
        <v>0.39</v>
      </c>
      <c r="P10" s="37" t="n"/>
      <c r="Q10" s="37" t="n"/>
      <c r="R10" s="44" t="n"/>
      <c r="S10" s="44" t="n">
        <v>0.88</v>
      </c>
      <c r="T10" s="37" t="n">
        <v>0</v>
      </c>
      <c r="U10" s="37" t="inlineStr">
        <is>
          <t>ASSUMED</t>
        </is>
      </c>
      <c r="V10" s="37" t="inlineStr">
        <is>
          <t>MATCH (source cited: SAE J514-1 070120 / MS51525 / MS39324)</t>
        </is>
      </c>
      <c r="W10" s="37" t="inlineStr">
        <is>
          <t>BUILD</t>
        </is>
      </c>
      <c r="X10" s="37" t="inlineStr">
        <is>
          <t>Hex = Air-Way C4 column (per-part). Matched sizes in this topology corroborate the column.</t>
        </is>
      </c>
      <c r="Z10" s="45" t="inlineStr">
        <is>
          <t>Carbon Steel</t>
        </is>
      </c>
      <c r="AA10" s="45" t="inlineStr">
        <is>
          <t>ASTM A108 12L14</t>
        </is>
      </c>
      <c r="AB10" s="45" t="inlineStr">
        <is>
          <t>Trivalent Cr3 Zinc</t>
        </is>
      </c>
      <c r="AC10" s="45" t="inlineStr">
        <is>
          <t>ASTM B633 Type V/VI</t>
        </is>
      </c>
      <c r="AD10" s="46" t="n">
        <v>4500</v>
      </c>
      <c r="AE10" s="46" t="inlineStr">
        <is>
          <t>generic SAE table @ dash -8 (governing end)</t>
        </is>
      </c>
      <c r="AF10" s="46" t="n">
        <v>-65</v>
      </c>
      <c r="AG10" s="46" t="n">
        <v>400</v>
      </c>
      <c r="AH10" s="37" t="inlineStr">
        <is>
          <t>Ham-Let + hoseandfittings (pressure); Parker Cat.4300 (material); ASTM B633 (finish); see StandardsData</t>
        </is>
      </c>
    </row>
    <row r="11" ht="15" customHeight="1" s="35">
      <c r="A11" s="37" t="inlineStr">
        <is>
          <t>6400-04-10-O</t>
        </is>
      </c>
      <c r="B11" s="37" t="inlineStr">
        <is>
          <t>6400-4-10-O</t>
        </is>
      </c>
      <c r="C11" s="37" t="inlineStr">
        <is>
          <t>6400</t>
        </is>
      </c>
      <c r="D11" s="37" t="n">
        <v>89</v>
      </c>
      <c r="E11" s="37" t="inlineStr">
        <is>
          <t>Straight</t>
        </is>
      </c>
      <c r="F11" s="37" t="inlineStr">
        <is>
          <t>Straight Thread Connector, 7/16-20 x 7/8-14</t>
        </is>
      </c>
      <c r="G11" s="37" t="inlineStr">
        <is>
          <t>7/8-14</t>
        </is>
      </c>
      <c r="H11" s="37" t="inlineStr">
        <is>
          <t>7/16-20</t>
        </is>
      </c>
      <c r="I11" s="37" t="n"/>
      <c r="J11" s="37" t="inlineStr">
        <is>
          <t>SAE J1926-3</t>
        </is>
      </c>
      <c r="K11" s="37" t="inlineStr">
        <is>
          <t>SAE J514-1</t>
        </is>
      </c>
      <c r="L11" s="37" t="n">
        <v>1.49</v>
      </c>
      <c r="M11" s="37" t="n">
        <v>1</v>
      </c>
      <c r="N11" s="37" t="n">
        <v>0.17</v>
      </c>
      <c r="O11" s="37" t="n">
        <v>0.48</v>
      </c>
      <c r="P11" s="37" t="n"/>
      <c r="Q11" s="37" t="n"/>
      <c r="R11" s="44" t="n"/>
      <c r="S11" s="44" t="n">
        <v>1</v>
      </c>
      <c r="T11" s="37" t="n">
        <v>0</v>
      </c>
      <c r="U11" s="37" t="inlineStr">
        <is>
          <t>ASSUMED</t>
        </is>
      </c>
      <c r="V11" s="37" t="inlineStr">
        <is>
          <t>MATCH (source cited: SAE J514-1 070120 / MS51525 / MS39324)</t>
        </is>
      </c>
      <c r="W11" s="37" t="inlineStr">
        <is>
          <t>BUILD</t>
        </is>
      </c>
      <c r="X11" s="37" t="inlineStr">
        <is>
          <t>Hex = Air-Way C4 column (per-part). Matched sizes in this topology corroborate the column.</t>
        </is>
      </c>
      <c r="Z11" s="45" t="inlineStr">
        <is>
          <t>Carbon Steel</t>
        </is>
      </c>
      <c r="AA11" s="45" t="inlineStr">
        <is>
          <t>ASTM A108 12L14</t>
        </is>
      </c>
      <c r="AB11" s="45" t="inlineStr">
        <is>
          <t>Trivalent Cr3 Zinc</t>
        </is>
      </c>
      <c r="AC11" s="45" t="inlineStr">
        <is>
          <t>ASTM B633 Type V/VI</t>
        </is>
      </c>
      <c r="AD11" s="46" t="n">
        <v>3500</v>
      </c>
      <c r="AE11" s="46" t="inlineStr">
        <is>
          <t>generic SAE table @ dash -10 (governing end)</t>
        </is>
      </c>
      <c r="AF11" s="46" t="n">
        <v>-65</v>
      </c>
      <c r="AG11" s="46" t="n">
        <v>400</v>
      </c>
      <c r="AH11" s="37" t="inlineStr">
        <is>
          <t>Ham-Let + hoseandfittings (pressure); Parker Cat.4300 (material); ASTM B633 (finish); see StandardsData</t>
        </is>
      </c>
    </row>
    <row r="12" ht="15" customHeight="1" s="35">
      <c r="A12" s="37" t="inlineStr">
        <is>
          <t>6400-04-12-O</t>
        </is>
      </c>
      <c r="B12" s="37" t="inlineStr">
        <is>
          <t>6400-4-12-O</t>
        </is>
      </c>
      <c r="C12" s="37" t="inlineStr">
        <is>
          <t>6400</t>
        </is>
      </c>
      <c r="D12" s="37" t="n">
        <v>89</v>
      </c>
      <c r="E12" s="37" t="inlineStr">
        <is>
          <t>Straight</t>
        </is>
      </c>
      <c r="F12" s="37" t="inlineStr">
        <is>
          <t>Straight Thread Connector, 7/16-20 x 1 1/16-12</t>
        </is>
      </c>
      <c r="G12" s="37" t="inlineStr">
        <is>
          <t>1 1/16-12</t>
        </is>
      </c>
      <c r="H12" s="37" t="inlineStr">
        <is>
          <t>7/16-20</t>
        </is>
      </c>
      <c r="I12" s="37" t="n"/>
      <c r="J12" s="37" t="inlineStr">
        <is>
          <t>SAE J1926-3</t>
        </is>
      </c>
      <c r="K12" s="37" t="inlineStr">
        <is>
          <t>SAE J514-1</t>
        </is>
      </c>
      <c r="L12" s="37" t="n">
        <v>1.66</v>
      </c>
      <c r="M12" s="37" t="n">
        <v>1.25</v>
      </c>
      <c r="N12" s="37" t="n">
        <v>0.17</v>
      </c>
      <c r="O12" s="37" t="n">
        <v>0.61</v>
      </c>
      <c r="P12" s="37" t="n"/>
      <c r="Q12" s="37" t="n"/>
      <c r="R12" s="44" t="n"/>
      <c r="S12" s="44" t="n">
        <v>1.25</v>
      </c>
      <c r="T12" s="37" t="n">
        <v>0</v>
      </c>
      <c r="U12" s="37" t="inlineStr">
        <is>
          <t>ASSUMED</t>
        </is>
      </c>
      <c r="V12" s="37" t="inlineStr">
        <is>
          <t>MATCH (source cited: SAE J514-1 070120 / MS51525 / MS39324)</t>
        </is>
      </c>
      <c r="W12" s="37" t="inlineStr">
        <is>
          <t>BUILD</t>
        </is>
      </c>
      <c r="X12" s="37" t="inlineStr">
        <is>
          <t>Hex = Air-Way C4 column (per-part). Matched sizes in this topology corroborate the column.</t>
        </is>
      </c>
      <c r="Z12" s="45" t="inlineStr">
        <is>
          <t>Carbon Steel</t>
        </is>
      </c>
      <c r="AA12" s="45" t="inlineStr">
        <is>
          <t>ASTM A108 12L14</t>
        </is>
      </c>
      <c r="AB12" s="45" t="inlineStr">
        <is>
          <t>Trivalent Cr3 Zinc</t>
        </is>
      </c>
      <c r="AC12" s="45" t="inlineStr">
        <is>
          <t>ASTM B633 Type V/VI</t>
        </is>
      </c>
      <c r="AD12" s="46" t="n">
        <v>3500</v>
      </c>
      <c r="AE12" s="46" t="inlineStr">
        <is>
          <t>generic SAE table @ dash -12 (governing end)</t>
        </is>
      </c>
      <c r="AF12" s="46" t="n">
        <v>-65</v>
      </c>
      <c r="AG12" s="46" t="n">
        <v>400</v>
      </c>
      <c r="AH12" s="37" t="inlineStr">
        <is>
          <t>Ham-Let + hoseandfittings (pressure); Parker Cat.4300 (material); ASTM B633 (finish); see StandardsData</t>
        </is>
      </c>
    </row>
    <row r="13" ht="15" customHeight="1" s="35">
      <c r="A13" s="37" t="inlineStr">
        <is>
          <t>6400-05-04-O</t>
        </is>
      </c>
      <c r="B13" s="37" t="inlineStr">
        <is>
          <t>6400-5-4-O</t>
        </is>
      </c>
      <c r="C13" s="37" t="inlineStr">
        <is>
          <t>6400</t>
        </is>
      </c>
      <c r="D13" s="37" t="n">
        <v>89</v>
      </c>
      <c r="E13" s="37" t="inlineStr">
        <is>
          <t>Straight</t>
        </is>
      </c>
      <c r="F13" s="37" t="inlineStr">
        <is>
          <t>Straight Thread Connector, 1/2-20 x 7/16-20</t>
        </is>
      </c>
      <c r="G13" s="37" t="inlineStr">
        <is>
          <t>7/16-20</t>
        </is>
      </c>
      <c r="H13" s="37" t="inlineStr">
        <is>
          <t>1/2-20</t>
        </is>
      </c>
      <c r="I13" s="37" t="n"/>
      <c r="J13" s="37" t="inlineStr">
        <is>
          <t>SAE J1926-3</t>
        </is>
      </c>
      <c r="K13" s="37" t="inlineStr">
        <is>
          <t>SAE J514-1</t>
        </is>
      </c>
      <c r="L13" s="37" t="n">
        <v>1.23</v>
      </c>
      <c r="M13" s="37" t="n">
        <v>0.5600000000000001</v>
      </c>
      <c r="N13" s="37" t="n">
        <v>0.23</v>
      </c>
      <c r="O13" s="37" t="n">
        <v>0.17</v>
      </c>
      <c r="P13" s="37" t="n"/>
      <c r="Q13" s="37" t="n"/>
      <c r="R13" s="44" t="n"/>
      <c r="S13" s="44" t="n">
        <v>0.5600000000000001</v>
      </c>
      <c r="T13" s="37" t="n">
        <v>0</v>
      </c>
      <c r="U13" s="37" t="inlineStr">
        <is>
          <t>ASSUMED</t>
        </is>
      </c>
      <c r="V13" s="37" t="inlineStr">
        <is>
          <t>MATCH (source cited: SAE J514-1 070120 / MS51525 / MS39324)</t>
        </is>
      </c>
      <c r="W13" s="37" t="inlineStr">
        <is>
          <t>BUILD</t>
        </is>
      </c>
      <c r="X13" s="37" t="inlineStr">
        <is>
          <t>Hex = Air-Way C4 column (per-part). Matched sizes in this topology corroborate the column.</t>
        </is>
      </c>
      <c r="Z13" s="45" t="inlineStr">
        <is>
          <t>Carbon Steel</t>
        </is>
      </c>
      <c r="AA13" s="45" t="inlineStr">
        <is>
          <t>ASTM A108 12L14</t>
        </is>
      </c>
      <c r="AB13" s="45" t="inlineStr">
        <is>
          <t>Trivalent Cr3 Zinc</t>
        </is>
      </c>
      <c r="AC13" s="45" t="inlineStr">
        <is>
          <t>ASTM B633 Type V/VI</t>
        </is>
      </c>
      <c r="AD13" s="46" t="n">
        <v>5000</v>
      </c>
      <c r="AE13" s="46" t="inlineStr">
        <is>
          <t>generic SAE table @ dash -5 (governing end)</t>
        </is>
      </c>
      <c r="AF13" s="46" t="n">
        <v>-65</v>
      </c>
      <c r="AG13" s="46" t="n">
        <v>400</v>
      </c>
      <c r="AH13" s="37" t="inlineStr">
        <is>
          <t>Ham-Let + hoseandfittings (pressure); Parker Cat.4300 (material); ASTM B633 (finish); see StandardsData</t>
        </is>
      </c>
    </row>
    <row r="14" ht="15" customHeight="1" s="35">
      <c r="A14" s="37" t="inlineStr">
        <is>
          <t>6400-05-05-O</t>
        </is>
      </c>
      <c r="B14" s="37" t="inlineStr">
        <is>
          <t>6400-5-5-O</t>
        </is>
      </c>
      <c r="C14" s="37" t="inlineStr">
        <is>
          <t>6400</t>
        </is>
      </c>
      <c r="D14" s="37" t="n">
        <v>89</v>
      </c>
      <c r="E14" s="37" t="inlineStr">
        <is>
          <t>Straight</t>
        </is>
      </c>
      <c r="F14" s="37" t="inlineStr">
        <is>
          <t>Straight Thread Connector, 1/2-20 x 1/2-20</t>
        </is>
      </c>
      <c r="G14" s="37" t="inlineStr">
        <is>
          <t>1/2-20</t>
        </is>
      </c>
      <c r="H14" s="37" t="inlineStr">
        <is>
          <t>1/2-20</t>
        </is>
      </c>
      <c r="I14" s="37" t="n"/>
      <c r="J14" s="37" t="inlineStr">
        <is>
          <t>SAE J1926-3</t>
        </is>
      </c>
      <c r="K14" s="37" t="inlineStr">
        <is>
          <t>SAE J514-1</t>
        </is>
      </c>
      <c r="L14" s="37" t="n">
        <v>1.23</v>
      </c>
      <c r="M14" s="37" t="n">
        <v>0.63</v>
      </c>
      <c r="N14" s="37" t="n">
        <v>0.23</v>
      </c>
      <c r="O14" s="37" t="n">
        <v>0.23</v>
      </c>
      <c r="P14" s="37" t="n"/>
      <c r="Q14" s="37" t="n"/>
      <c r="R14" s="44" t="n"/>
      <c r="S14" s="44" t="n">
        <v>0.63</v>
      </c>
      <c r="T14" s="37" t="n">
        <v>0</v>
      </c>
      <c r="U14" s="37" t="inlineStr">
        <is>
          <t>ASSUMED</t>
        </is>
      </c>
      <c r="V14" s="37" t="inlineStr">
        <is>
          <t>MATCH (source cited: SAE J514-1 070120 / MS51525 / MS39324)</t>
        </is>
      </c>
      <c r="W14" s="37" t="inlineStr">
        <is>
          <t>BUILD</t>
        </is>
      </c>
      <c r="X14" s="37" t="inlineStr">
        <is>
          <t>Hex = Air-Way C4 column (per-part). Matched sizes in this topology corroborate the column.</t>
        </is>
      </c>
      <c r="Z14" s="45" t="inlineStr">
        <is>
          <t>Carbon Steel</t>
        </is>
      </c>
      <c r="AA14" s="45" t="inlineStr">
        <is>
          <t>ASTM A108 12L14</t>
        </is>
      </c>
      <c r="AB14" s="45" t="inlineStr">
        <is>
          <t>Trivalent Cr3 Zinc</t>
        </is>
      </c>
      <c r="AC14" s="45" t="inlineStr">
        <is>
          <t>ASTM B633 Type V/VI</t>
        </is>
      </c>
      <c r="AD14" s="46" t="n">
        <v>5000</v>
      </c>
      <c r="AE14" s="46" t="inlineStr">
        <is>
          <t>generic SAE table @ dash -5 (governing end)</t>
        </is>
      </c>
      <c r="AF14" s="46" t="n">
        <v>-65</v>
      </c>
      <c r="AG14" s="46" t="n">
        <v>400</v>
      </c>
      <c r="AH14" s="37" t="inlineStr">
        <is>
          <t>Ham-Let + hoseandfittings (pressure); Parker Cat.4300 (material); ASTM B633 (finish); see StandardsData</t>
        </is>
      </c>
    </row>
    <row r="15" ht="15" customHeight="1" s="35">
      <c r="A15" s="37" t="inlineStr">
        <is>
          <t>6400-05-06-O</t>
        </is>
      </c>
      <c r="B15" s="37" t="inlineStr">
        <is>
          <t>6400-5-6-O</t>
        </is>
      </c>
      <c r="C15" s="37" t="inlineStr">
        <is>
          <t>6400</t>
        </is>
      </c>
      <c r="D15" s="37" t="n">
        <v>89</v>
      </c>
      <c r="E15" s="37" t="inlineStr">
        <is>
          <t>Straight</t>
        </is>
      </c>
      <c r="F15" s="37" t="inlineStr">
        <is>
          <t>Straight Thread Connector, 1/2-20 x 9/16-18</t>
        </is>
      </c>
      <c r="G15" s="37" t="inlineStr">
        <is>
          <t>9/16-18</t>
        </is>
      </c>
      <c r="H15" s="37" t="inlineStr">
        <is>
          <t>1/2-20</t>
        </is>
      </c>
      <c r="I15" s="37" t="n"/>
      <c r="J15" s="37" t="inlineStr">
        <is>
          <t>SAE J1926-3</t>
        </is>
      </c>
      <c r="K15" s="37" t="inlineStr">
        <is>
          <t>SAE J514-1</t>
        </is>
      </c>
      <c r="L15" s="37" t="n">
        <v>1.29</v>
      </c>
      <c r="M15" s="37" t="n">
        <v>0.6899999999999999</v>
      </c>
      <c r="N15" s="37" t="n">
        <v>0.23</v>
      </c>
      <c r="O15" s="37" t="n">
        <v>0.3</v>
      </c>
      <c r="P15" s="37" t="n"/>
      <c r="Q15" s="37" t="n"/>
      <c r="R15" s="44" t="n"/>
      <c r="S15" s="44" t="n">
        <v>0.6899999999999999</v>
      </c>
      <c r="T15" s="37" t="n">
        <v>0</v>
      </c>
      <c r="U15" s="37" t="inlineStr">
        <is>
          <t>ASSUMED</t>
        </is>
      </c>
      <c r="V15" s="37" t="inlineStr">
        <is>
          <t>MATCH (source cited: SAE J514-1 070120 / MS51525 / MS39324)</t>
        </is>
      </c>
      <c r="W15" s="37" t="inlineStr">
        <is>
          <t>BUILD</t>
        </is>
      </c>
      <c r="X15" s="37" t="inlineStr">
        <is>
          <t>Hex = Air-Way C4 column (per-part). Matched sizes in this topology corroborate the column.</t>
        </is>
      </c>
      <c r="Z15" s="45" t="inlineStr">
        <is>
          <t>Carbon Steel</t>
        </is>
      </c>
      <c r="AA15" s="45" t="inlineStr">
        <is>
          <t>ASTM A108 12L14</t>
        </is>
      </c>
      <c r="AB15" s="45" t="inlineStr">
        <is>
          <t>Trivalent Cr3 Zinc</t>
        </is>
      </c>
      <c r="AC15" s="45" t="inlineStr">
        <is>
          <t>ASTM B633 Type V/VI</t>
        </is>
      </c>
      <c r="AD15" s="46" t="n">
        <v>5000</v>
      </c>
      <c r="AE15" s="46" t="inlineStr">
        <is>
          <t>generic SAE table @ dash -6 (governing end)</t>
        </is>
      </c>
      <c r="AF15" s="46" t="n">
        <v>-65</v>
      </c>
      <c r="AG15" s="46" t="n">
        <v>400</v>
      </c>
      <c r="AH15" s="37" t="inlineStr">
        <is>
          <t>Ham-Let + hoseandfittings (pressure); Parker Cat.4300 (material); ASTM B633 (finish); see StandardsData</t>
        </is>
      </c>
    </row>
    <row r="16" ht="15" customHeight="1" s="35">
      <c r="A16" s="37" t="inlineStr">
        <is>
          <t>6400-05-08-O</t>
        </is>
      </c>
      <c r="B16" s="37" t="inlineStr">
        <is>
          <t>6400-5-8-O</t>
        </is>
      </c>
      <c r="C16" s="37" t="inlineStr">
        <is>
          <t>6400</t>
        </is>
      </c>
      <c r="D16" s="37" t="n">
        <v>89</v>
      </c>
      <c r="E16" s="37" t="inlineStr">
        <is>
          <t>Straight</t>
        </is>
      </c>
      <c r="F16" s="37" t="inlineStr">
        <is>
          <t>Straight Thread Connector, 1/2-20 x 3/4-16</t>
        </is>
      </c>
      <c r="G16" s="37" t="inlineStr">
        <is>
          <t>3/4-16</t>
        </is>
      </c>
      <c r="H16" s="37" t="inlineStr">
        <is>
          <t>1/2-20</t>
        </is>
      </c>
      <c r="I16" s="37" t="n"/>
      <c r="J16" s="37" t="inlineStr">
        <is>
          <t>SAE J1926-3</t>
        </is>
      </c>
      <c r="K16" s="37" t="inlineStr">
        <is>
          <t>SAE J514-1</t>
        </is>
      </c>
      <c r="L16" s="37" t="n">
        <v>1.37</v>
      </c>
      <c r="M16" s="37" t="n">
        <v>0.88</v>
      </c>
      <c r="N16" s="37" t="n">
        <v>0.23</v>
      </c>
      <c r="O16" s="37" t="n">
        <v>0.39</v>
      </c>
      <c r="P16" s="37" t="n"/>
      <c r="Q16" s="37" t="n"/>
      <c r="R16" s="44" t="n"/>
      <c r="S16" s="44" t="n">
        <v>0.88</v>
      </c>
      <c r="T16" s="37" t="n">
        <v>0</v>
      </c>
      <c r="U16" s="37" t="inlineStr">
        <is>
          <t>ASSUMED</t>
        </is>
      </c>
      <c r="V16" s="37" t="inlineStr">
        <is>
          <t>MATCH (source cited: SAE J514-1 070120 / MS51525 / MS39324)</t>
        </is>
      </c>
      <c r="W16" s="37" t="inlineStr">
        <is>
          <t>BUILD</t>
        </is>
      </c>
      <c r="X16" s="37" t="inlineStr">
        <is>
          <t>Hex = Air-Way C4 column (per-part). Matched sizes in this topology corroborate the column.</t>
        </is>
      </c>
      <c r="Z16" s="45" t="inlineStr">
        <is>
          <t>Carbon Steel</t>
        </is>
      </c>
      <c r="AA16" s="45" t="inlineStr">
        <is>
          <t>ASTM A108 12L14</t>
        </is>
      </c>
      <c r="AB16" s="45" t="inlineStr">
        <is>
          <t>Trivalent Cr3 Zinc</t>
        </is>
      </c>
      <c r="AC16" s="45" t="inlineStr">
        <is>
          <t>ASTM B633 Type V/VI</t>
        </is>
      </c>
      <c r="AD16" s="46" t="n">
        <v>4500</v>
      </c>
      <c r="AE16" s="46" t="inlineStr">
        <is>
          <t>generic SAE table @ dash -8 (governing end)</t>
        </is>
      </c>
      <c r="AF16" s="46" t="n">
        <v>-65</v>
      </c>
      <c r="AG16" s="46" t="n">
        <v>400</v>
      </c>
      <c r="AH16" s="37" t="inlineStr">
        <is>
          <t>Ham-Let + hoseandfittings (pressure); Parker Cat.4300 (material); ASTM B633 (finish); see StandardsData</t>
        </is>
      </c>
    </row>
    <row r="17" ht="15" customHeight="1" s="35">
      <c r="A17" s="37" t="inlineStr">
        <is>
          <t>6400-06-04-O</t>
        </is>
      </c>
      <c r="B17" s="37" t="inlineStr">
        <is>
          <t>6400-6-4-O</t>
        </is>
      </c>
      <c r="C17" s="37" t="inlineStr">
        <is>
          <t>6400</t>
        </is>
      </c>
      <c r="D17" s="37" t="n">
        <v>89</v>
      </c>
      <c r="E17" s="37" t="inlineStr">
        <is>
          <t>Straight</t>
        </is>
      </c>
      <c r="F17" s="37" t="inlineStr">
        <is>
          <t>Straight Thread Connector, 9/16-18 x 7/16-20</t>
        </is>
      </c>
      <c r="G17" s="37" t="inlineStr">
        <is>
          <t>7/16-20</t>
        </is>
      </c>
      <c r="H17" s="37" t="inlineStr">
        <is>
          <t>9/16-18</t>
        </is>
      </c>
      <c r="I17" s="37" t="n"/>
      <c r="J17" s="37" t="inlineStr">
        <is>
          <t>SAE J1926-3</t>
        </is>
      </c>
      <c r="K17" s="37" t="inlineStr">
        <is>
          <t>SAE J514-1</t>
        </is>
      </c>
      <c r="L17" s="37" t="n">
        <v>1.27</v>
      </c>
      <c r="M17" s="37" t="n">
        <v>0.63</v>
      </c>
      <c r="N17" s="37" t="n">
        <v>0.3</v>
      </c>
      <c r="O17" s="37" t="n">
        <v>0.17</v>
      </c>
      <c r="P17" s="37" t="n"/>
      <c r="Q17" s="37" t="n"/>
      <c r="R17" s="44" t="n"/>
      <c r="S17" s="44" t="n">
        <v>0.63</v>
      </c>
      <c r="T17" s="37" t="n">
        <v>0</v>
      </c>
      <c r="U17" s="37" t="inlineStr">
        <is>
          <t>ASSUMED</t>
        </is>
      </c>
      <c r="V17" s="37" t="inlineStr">
        <is>
          <t>MATCH (source cited: SAE J514-1 070120 / MS51525 / MS39324)</t>
        </is>
      </c>
      <c r="W17" s="37" t="inlineStr">
        <is>
          <t>BUILD</t>
        </is>
      </c>
      <c r="X17" s="37" t="inlineStr">
        <is>
          <t>Hex = Air-Way C4 column (per-part). Matched sizes in this topology corroborate the column.</t>
        </is>
      </c>
      <c r="Z17" s="45" t="inlineStr">
        <is>
          <t>Carbon Steel</t>
        </is>
      </c>
      <c r="AA17" s="45" t="inlineStr">
        <is>
          <t>ASTM A108 12L14</t>
        </is>
      </c>
      <c r="AB17" s="45" t="inlineStr">
        <is>
          <t>Trivalent Cr3 Zinc</t>
        </is>
      </c>
      <c r="AC17" s="45" t="inlineStr">
        <is>
          <t>ASTM B633 Type V/VI</t>
        </is>
      </c>
      <c r="AD17" s="46" t="n">
        <v>5000</v>
      </c>
      <c r="AE17" s="46" t="inlineStr">
        <is>
          <t>generic SAE table @ dash -6 (governing end)</t>
        </is>
      </c>
      <c r="AF17" s="46" t="n">
        <v>-65</v>
      </c>
      <c r="AG17" s="46" t="n">
        <v>400</v>
      </c>
      <c r="AH17" s="37" t="inlineStr">
        <is>
          <t>Ham-Let + hoseandfittings (pressure); Parker Cat.4300 (material); ASTM B633 (finish); see StandardsData</t>
        </is>
      </c>
    </row>
    <row r="18" ht="15" customHeight="1" s="35">
      <c r="A18" s="37" t="inlineStr">
        <is>
          <t>6400-06-05-O</t>
        </is>
      </c>
      <c r="B18" s="37" t="inlineStr">
        <is>
          <t>6400-6-5-O</t>
        </is>
      </c>
      <c r="C18" s="37" t="inlineStr">
        <is>
          <t>6400</t>
        </is>
      </c>
      <c r="D18" s="37" t="n">
        <v>89</v>
      </c>
      <c r="E18" s="37" t="inlineStr">
        <is>
          <t>Straight</t>
        </is>
      </c>
      <c r="F18" s="37" t="inlineStr">
        <is>
          <t>Straight Thread Connector, 9/16-18 x 1/2-20</t>
        </is>
      </c>
      <c r="G18" s="37" t="inlineStr">
        <is>
          <t>1/2-20</t>
        </is>
      </c>
      <c r="H18" s="37" t="inlineStr">
        <is>
          <t>9/16-18</t>
        </is>
      </c>
      <c r="I18" s="37" t="n"/>
      <c r="J18" s="37" t="inlineStr">
        <is>
          <t>SAE J1926-3</t>
        </is>
      </c>
      <c r="K18" s="37" t="inlineStr">
        <is>
          <t>SAE J514-1</t>
        </is>
      </c>
      <c r="L18" s="37" t="n">
        <v>1.27</v>
      </c>
      <c r="M18" s="37" t="n">
        <v>0.63</v>
      </c>
      <c r="N18" s="37" t="n">
        <v>0.3</v>
      </c>
      <c r="O18" s="37" t="n">
        <v>0.23</v>
      </c>
      <c r="P18" s="37" t="n"/>
      <c r="Q18" s="37" t="n"/>
      <c r="R18" s="44" t="n"/>
      <c r="S18" s="44" t="n">
        <v>0.63</v>
      </c>
      <c r="T18" s="37" t="n">
        <v>0</v>
      </c>
      <c r="U18" s="37" t="inlineStr">
        <is>
          <t>ASSUMED</t>
        </is>
      </c>
      <c r="V18" s="37" t="inlineStr">
        <is>
          <t>MATCH (source cited: SAE J514-1 070120 / MS51525 / MS39324)</t>
        </is>
      </c>
      <c r="W18" s="37" t="inlineStr">
        <is>
          <t>BUILD</t>
        </is>
      </c>
      <c r="X18" s="37" t="inlineStr">
        <is>
          <t>Hex = Air-Way C4 column (per-part). Matched sizes in this topology corroborate the column.</t>
        </is>
      </c>
      <c r="Z18" s="45" t="inlineStr">
        <is>
          <t>Carbon Steel</t>
        </is>
      </c>
      <c r="AA18" s="45" t="inlineStr">
        <is>
          <t>ASTM A108 12L14</t>
        </is>
      </c>
      <c r="AB18" s="45" t="inlineStr">
        <is>
          <t>Trivalent Cr3 Zinc</t>
        </is>
      </c>
      <c r="AC18" s="45" t="inlineStr">
        <is>
          <t>ASTM B633 Type V/VI</t>
        </is>
      </c>
      <c r="AD18" s="46" t="n">
        <v>5000</v>
      </c>
      <c r="AE18" s="46" t="inlineStr">
        <is>
          <t>generic SAE table @ dash -6 (governing end)</t>
        </is>
      </c>
      <c r="AF18" s="46" t="n">
        <v>-65</v>
      </c>
      <c r="AG18" s="46" t="n">
        <v>400</v>
      </c>
      <c r="AH18" s="37" t="inlineStr">
        <is>
          <t>Ham-Let + hoseandfittings (pressure); Parker Cat.4300 (material); ASTM B633 (finish); see StandardsData</t>
        </is>
      </c>
    </row>
    <row r="19" ht="15" customHeight="1" s="35">
      <c r="A19" s="37" t="inlineStr">
        <is>
          <t>6400-06-06-O</t>
        </is>
      </c>
      <c r="B19" s="37" t="inlineStr">
        <is>
          <t>6400-6-6-O</t>
        </is>
      </c>
      <c r="C19" s="37" t="inlineStr">
        <is>
          <t>6400</t>
        </is>
      </c>
      <c r="D19" s="37" t="n">
        <v>89</v>
      </c>
      <c r="E19" s="37" t="inlineStr">
        <is>
          <t>Straight</t>
        </is>
      </c>
      <c r="F19" s="37" t="inlineStr">
        <is>
          <t>Straight Thread Connector, 9/16-18 x 9/16-18</t>
        </is>
      </c>
      <c r="G19" s="37" t="inlineStr">
        <is>
          <t>9/16-18</t>
        </is>
      </c>
      <c r="H19" s="37" t="inlineStr">
        <is>
          <t>9/16-18</t>
        </is>
      </c>
      <c r="I19" s="37" t="n"/>
      <c r="J19" s="37" t="inlineStr">
        <is>
          <t>SAE J1926-3</t>
        </is>
      </c>
      <c r="K19" s="37" t="inlineStr">
        <is>
          <t>SAE J514-1</t>
        </is>
      </c>
      <c r="L19" s="37" t="n">
        <v>1.3</v>
      </c>
      <c r="M19" s="37" t="n">
        <v>0.6899999999999999</v>
      </c>
      <c r="N19" s="37" t="n">
        <v>0.3</v>
      </c>
      <c r="O19" s="37" t="n">
        <v>0.3</v>
      </c>
      <c r="P19" s="37" t="n"/>
      <c r="Q19" s="37" t="n"/>
      <c r="R19" s="44" t="n"/>
      <c r="S19" s="45" t="n">
        <v>0.6899999999999999</v>
      </c>
      <c r="T19" s="37" t="n">
        <v>0</v>
      </c>
      <c r="U19" s="37" t="inlineStr">
        <is>
          <t>VERIFIED</t>
        </is>
      </c>
      <c r="V19" s="37" t="inlineStr">
        <is>
          <t>MATCH (source cited: SAE J514-1 070120 / MS51525 / MS39324)</t>
        </is>
      </c>
      <c r="W19" s="37" t="inlineStr">
        <is>
          <t>BUILD</t>
        </is>
      </c>
      <c r="X19" s="37" t="inlineStr">
        <is>
          <t>Hex = Air-Way C4 column, CONFIRMED vs PressureConnections/Purvis.</t>
        </is>
      </c>
      <c r="Z19" s="45" t="inlineStr">
        <is>
          <t>Carbon Steel</t>
        </is>
      </c>
      <c r="AA19" s="45" t="inlineStr">
        <is>
          <t>ASTM A108 12L14</t>
        </is>
      </c>
      <c r="AB19" s="45" t="inlineStr">
        <is>
          <t>Trivalent Cr3 Zinc</t>
        </is>
      </c>
      <c r="AC19" s="45" t="inlineStr">
        <is>
          <t>ASTM B633 Type V/VI</t>
        </is>
      </c>
      <c r="AD19" s="46" t="n">
        <v>5000</v>
      </c>
      <c r="AE19" s="46" t="inlineStr">
        <is>
          <t>generic SAE table @ dash -6 (governing end)</t>
        </is>
      </c>
      <c r="AF19" s="46" t="n">
        <v>-65</v>
      </c>
      <c r="AG19" s="46" t="n">
        <v>400</v>
      </c>
      <c r="AH19" s="37" t="inlineStr">
        <is>
          <t>Ham-Let + hoseandfittings (pressure); Parker Cat.4300 (material); ASTM B633 (finish); see StandardsData</t>
        </is>
      </c>
    </row>
    <row r="20" ht="15" customHeight="1" s="35">
      <c r="A20" s="37" t="inlineStr">
        <is>
          <t>6400-06-08-O</t>
        </is>
      </c>
      <c r="B20" s="37" t="inlineStr">
        <is>
          <t>6400-6-8-O</t>
        </is>
      </c>
      <c r="C20" s="37" t="inlineStr">
        <is>
          <t>6400</t>
        </is>
      </c>
      <c r="D20" s="37" t="n">
        <v>89</v>
      </c>
      <c r="E20" s="37" t="inlineStr">
        <is>
          <t>Straight</t>
        </is>
      </c>
      <c r="F20" s="37" t="inlineStr">
        <is>
          <t>Straight Thread Connector, 9/16-18 x 3/4-16</t>
        </is>
      </c>
      <c r="G20" s="37" t="inlineStr">
        <is>
          <t>3/4-16</t>
        </is>
      </c>
      <c r="H20" s="37" t="inlineStr">
        <is>
          <t>9/16-18</t>
        </is>
      </c>
      <c r="I20" s="37" t="n"/>
      <c r="J20" s="37" t="inlineStr">
        <is>
          <t>SAE J1926-3</t>
        </is>
      </c>
      <c r="K20" s="37" t="inlineStr">
        <is>
          <t>SAE J514-1</t>
        </is>
      </c>
      <c r="L20" s="37" t="n">
        <v>1.38</v>
      </c>
      <c r="M20" s="37" t="n">
        <v>0.88</v>
      </c>
      <c r="N20" s="37" t="n">
        <v>0.3</v>
      </c>
      <c r="O20" s="37" t="n">
        <v>0.3</v>
      </c>
      <c r="P20" s="37" t="n"/>
      <c r="Q20" s="37" t="n"/>
      <c r="R20" s="44" t="n"/>
      <c r="S20" s="44" t="n">
        <v>0.88</v>
      </c>
      <c r="T20" s="37" t="n">
        <v>0</v>
      </c>
      <c r="U20" s="37" t="inlineStr">
        <is>
          <t>ASSUMED</t>
        </is>
      </c>
      <c r="V20" s="37" t="inlineStr">
        <is>
          <t>MATCH (source cited: SAE J514-1 070120 / MS51525 / MS39324)</t>
        </is>
      </c>
      <c r="W20" s="37" t="inlineStr">
        <is>
          <t>BUILD</t>
        </is>
      </c>
      <c r="X20" s="37" t="inlineStr">
        <is>
          <t>Hex = Air-Way C4 column (per-part). Matched sizes in this topology corroborate the column.</t>
        </is>
      </c>
      <c r="Z20" s="45" t="inlineStr">
        <is>
          <t>Carbon Steel</t>
        </is>
      </c>
      <c r="AA20" s="45" t="inlineStr">
        <is>
          <t>ASTM A108 12L14</t>
        </is>
      </c>
      <c r="AB20" s="45" t="inlineStr">
        <is>
          <t>Trivalent Cr3 Zinc</t>
        </is>
      </c>
      <c r="AC20" s="45" t="inlineStr">
        <is>
          <t>ASTM B633 Type V/VI</t>
        </is>
      </c>
      <c r="AD20" s="46" t="n">
        <v>4500</v>
      </c>
      <c r="AE20" s="46" t="inlineStr">
        <is>
          <t>generic SAE table @ dash -8 (governing end)</t>
        </is>
      </c>
      <c r="AF20" s="46" t="n">
        <v>-65</v>
      </c>
      <c r="AG20" s="46" t="n">
        <v>400</v>
      </c>
      <c r="AH20" s="37" t="inlineStr">
        <is>
          <t>Ham-Let + hoseandfittings (pressure); Parker Cat.4300 (material); ASTM B633 (finish); see StandardsData</t>
        </is>
      </c>
    </row>
    <row r="21" ht="15" customHeight="1" s="35">
      <c r="A21" s="37" t="inlineStr">
        <is>
          <t>6400-06-10-O</t>
        </is>
      </c>
      <c r="B21" s="37" t="inlineStr">
        <is>
          <t>6400-6-10-O</t>
        </is>
      </c>
      <c r="C21" s="37" t="inlineStr">
        <is>
          <t>6400</t>
        </is>
      </c>
      <c r="D21" s="37" t="n">
        <v>89</v>
      </c>
      <c r="E21" s="37" t="inlineStr">
        <is>
          <t>Straight</t>
        </is>
      </c>
      <c r="F21" s="37" t="inlineStr">
        <is>
          <t>Straight Thread Connector, 9/16-18 x 7/8-14</t>
        </is>
      </c>
      <c r="G21" s="37" t="inlineStr">
        <is>
          <t>7/8-14</t>
        </is>
      </c>
      <c r="H21" s="37" t="inlineStr">
        <is>
          <t>9/16-18</t>
        </is>
      </c>
      <c r="I21" s="37" t="n"/>
      <c r="J21" s="37" t="inlineStr">
        <is>
          <t>SAE J1926-3</t>
        </is>
      </c>
      <c r="K21" s="37" t="inlineStr">
        <is>
          <t>SAE J514-1</t>
        </is>
      </c>
      <c r="L21" s="37" t="n">
        <v>1.5</v>
      </c>
      <c r="M21" s="37" t="n">
        <v>1</v>
      </c>
      <c r="N21" s="37" t="n">
        <v>0.3</v>
      </c>
      <c r="O21" s="37" t="n">
        <v>0.48</v>
      </c>
      <c r="P21" s="37" t="n"/>
      <c r="Q21" s="37" t="n"/>
      <c r="R21" s="44" t="n"/>
      <c r="S21" s="44" t="n">
        <v>1</v>
      </c>
      <c r="T21" s="37" t="n">
        <v>0</v>
      </c>
      <c r="U21" s="37" t="inlineStr">
        <is>
          <t>ASSUMED</t>
        </is>
      </c>
      <c r="V21" s="37" t="inlineStr">
        <is>
          <t>MATCH (source cited: SAE J514-1 070120 / MS51525 / MS39324)</t>
        </is>
      </c>
      <c r="W21" s="37" t="inlineStr">
        <is>
          <t>BUILD</t>
        </is>
      </c>
      <c r="X21" s="37" t="inlineStr">
        <is>
          <t>Hex = Air-Way C4 column (per-part). Matched sizes in this topology corroborate the column.</t>
        </is>
      </c>
      <c r="Z21" s="45" t="inlineStr">
        <is>
          <t>Carbon Steel</t>
        </is>
      </c>
      <c r="AA21" s="45" t="inlineStr">
        <is>
          <t>ASTM A108 12L14</t>
        </is>
      </c>
      <c r="AB21" s="45" t="inlineStr">
        <is>
          <t>Trivalent Cr3 Zinc</t>
        </is>
      </c>
      <c r="AC21" s="45" t="inlineStr">
        <is>
          <t>ASTM B633 Type V/VI</t>
        </is>
      </c>
      <c r="AD21" s="46" t="n">
        <v>3500</v>
      </c>
      <c r="AE21" s="46" t="inlineStr">
        <is>
          <t>generic SAE table @ dash -10 (governing end)</t>
        </is>
      </c>
      <c r="AF21" s="46" t="n">
        <v>-65</v>
      </c>
      <c r="AG21" s="46" t="n">
        <v>400</v>
      </c>
      <c r="AH21" s="37" t="inlineStr">
        <is>
          <t>Ham-Let + hoseandfittings (pressure); Parker Cat.4300 (material); ASTM B633 (finish); see StandardsData</t>
        </is>
      </c>
    </row>
    <row r="22" ht="15" customHeight="1" s="35">
      <c r="A22" s="37" t="inlineStr">
        <is>
          <t>6400-06-12-O</t>
        </is>
      </c>
      <c r="B22" s="37" t="inlineStr">
        <is>
          <t>6400-6-12-O</t>
        </is>
      </c>
      <c r="C22" s="37" t="inlineStr">
        <is>
          <t>6400</t>
        </is>
      </c>
      <c r="D22" s="37" t="n">
        <v>89</v>
      </c>
      <c r="E22" s="37" t="inlineStr">
        <is>
          <t>Straight</t>
        </is>
      </c>
      <c r="F22" s="37" t="inlineStr">
        <is>
          <t>Straight Thread Connector, 9/16-18 x 1 1/16-12</t>
        </is>
      </c>
      <c r="G22" s="37" t="inlineStr">
        <is>
          <t>1 1/16-12</t>
        </is>
      </c>
      <c r="H22" s="37" t="inlineStr">
        <is>
          <t>9/16-18</t>
        </is>
      </c>
      <c r="I22" s="37" t="n"/>
      <c r="J22" s="37" t="inlineStr">
        <is>
          <t>SAE J1926-3</t>
        </is>
      </c>
      <c r="K22" s="37" t="inlineStr">
        <is>
          <t>SAE J514-1</t>
        </is>
      </c>
      <c r="L22" s="37" t="n">
        <v>1.66</v>
      </c>
      <c r="M22" s="37" t="n">
        <v>1.25</v>
      </c>
      <c r="N22" s="37" t="n">
        <v>0.3</v>
      </c>
      <c r="O22" s="37" t="n">
        <v>0.61</v>
      </c>
      <c r="P22" s="37" t="n"/>
      <c r="Q22" s="37" t="n"/>
      <c r="R22" s="44" t="n"/>
      <c r="S22" s="44" t="n">
        <v>1.25</v>
      </c>
      <c r="T22" s="37" t="n">
        <v>0</v>
      </c>
      <c r="U22" s="37" t="inlineStr">
        <is>
          <t>ASSUMED</t>
        </is>
      </c>
      <c r="V22" s="37" t="inlineStr">
        <is>
          <t>MATCH (source cited: SAE J514-1 070120 / MS51525 / MS39324)</t>
        </is>
      </c>
      <c r="W22" s="37" t="inlineStr">
        <is>
          <t>BUILD</t>
        </is>
      </c>
      <c r="X22" s="37" t="inlineStr">
        <is>
          <t>Hex = Air-Way C4 column (per-part). Matched sizes in this topology corroborate the column.</t>
        </is>
      </c>
      <c r="Z22" s="45" t="inlineStr">
        <is>
          <t>Carbon Steel</t>
        </is>
      </c>
      <c r="AA22" s="45" t="inlineStr">
        <is>
          <t>ASTM A108 12L14</t>
        </is>
      </c>
      <c r="AB22" s="45" t="inlineStr">
        <is>
          <t>Trivalent Cr3 Zinc</t>
        </is>
      </c>
      <c r="AC22" s="45" t="inlineStr">
        <is>
          <t>ASTM B633 Type V/VI</t>
        </is>
      </c>
      <c r="AD22" s="46" t="n">
        <v>3500</v>
      </c>
      <c r="AE22" s="46" t="inlineStr">
        <is>
          <t>generic SAE table @ dash -12 (governing end)</t>
        </is>
      </c>
      <c r="AF22" s="46" t="n">
        <v>-65</v>
      </c>
      <c r="AG22" s="46" t="n">
        <v>400</v>
      </c>
      <c r="AH22" s="37" t="inlineStr">
        <is>
          <t>Ham-Let + hoseandfittings (pressure); Parker Cat.4300 (material); ASTM B633 (finish); see StandardsData</t>
        </is>
      </c>
    </row>
    <row r="23" ht="15" customHeight="1" s="35">
      <c r="A23" s="37" t="inlineStr">
        <is>
          <t>6400-06-16-O</t>
        </is>
      </c>
      <c r="B23" s="37" t="inlineStr">
        <is>
          <t>6400-6-16-O</t>
        </is>
      </c>
      <c r="C23" s="37" t="inlineStr">
        <is>
          <t>6400</t>
        </is>
      </c>
      <c r="D23" s="37" t="n">
        <v>89</v>
      </c>
      <c r="E23" s="37" t="inlineStr">
        <is>
          <t>Straight</t>
        </is>
      </c>
      <c r="F23" s="37" t="inlineStr">
        <is>
          <t>Straight Thread Connector, 9/16-18 x 1 5/16-12</t>
        </is>
      </c>
      <c r="G23" s="37" t="inlineStr">
        <is>
          <t>1 5/16-12</t>
        </is>
      </c>
      <c r="H23" s="37" t="inlineStr">
        <is>
          <t>9/16-18</t>
        </is>
      </c>
      <c r="I23" s="37" t="n"/>
      <c r="J23" s="37" t="inlineStr">
        <is>
          <t>SAE J1926-3</t>
        </is>
      </c>
      <c r="K23" s="37" t="inlineStr">
        <is>
          <t>SAE J514-1</t>
        </is>
      </c>
      <c r="L23" s="37" t="n">
        <v>1.68</v>
      </c>
      <c r="M23" s="37" t="n">
        <v>1.5</v>
      </c>
      <c r="N23" s="37" t="n">
        <v>0.3</v>
      </c>
      <c r="O23" s="37" t="n">
        <v>0.84</v>
      </c>
      <c r="P23" s="37" t="n"/>
      <c r="Q23" s="37" t="n"/>
      <c r="R23" s="44" t="n"/>
      <c r="S23" s="44" t="n">
        <v>1.5</v>
      </c>
      <c r="T23" s="37" t="n">
        <v>0</v>
      </c>
      <c r="U23" s="37" t="inlineStr">
        <is>
          <t>ASSUMED</t>
        </is>
      </c>
      <c r="V23" s="37" t="inlineStr">
        <is>
          <t>MATCH (source cited: SAE J514-1 070120 / MS51525 / MS39324)</t>
        </is>
      </c>
      <c r="W23" s="37" t="inlineStr">
        <is>
          <t>BUILD</t>
        </is>
      </c>
      <c r="X23" s="37" t="inlineStr">
        <is>
          <t>Hex = Air-Way C4 column (per-part). Matched sizes in this topology corroborate the column.</t>
        </is>
      </c>
      <c r="Z23" s="45" t="inlineStr">
        <is>
          <t>Carbon Steel</t>
        </is>
      </c>
      <c r="AA23" s="45" t="inlineStr">
        <is>
          <t>ASTM A108 12L14</t>
        </is>
      </c>
      <c r="AB23" s="45" t="inlineStr">
        <is>
          <t>Trivalent Cr3 Zinc</t>
        </is>
      </c>
      <c r="AC23" s="45" t="inlineStr">
        <is>
          <t>ASTM B633 Type V/VI</t>
        </is>
      </c>
      <c r="AD23" s="46" t="n">
        <v>3000</v>
      </c>
      <c r="AE23" s="46" t="inlineStr">
        <is>
          <t>generic SAE table @ dash -16 (governing end)</t>
        </is>
      </c>
      <c r="AF23" s="46" t="n">
        <v>-65</v>
      </c>
      <c r="AG23" s="46" t="n">
        <v>400</v>
      </c>
      <c r="AH23" s="37" t="inlineStr">
        <is>
          <t>Ham-Let + hoseandfittings (pressure); Parker Cat.4300 (material); ASTM B633 (finish); see StandardsData</t>
        </is>
      </c>
    </row>
    <row r="24" ht="15" customHeight="1" s="35">
      <c r="A24" s="37" t="inlineStr">
        <is>
          <t>6400-08-04-O</t>
        </is>
      </c>
      <c r="B24" s="37" t="inlineStr">
        <is>
          <t>6400-8-4-O</t>
        </is>
      </c>
      <c r="C24" s="37" t="inlineStr">
        <is>
          <t>6400</t>
        </is>
      </c>
      <c r="D24" s="37" t="n">
        <v>89</v>
      </c>
      <c r="E24" s="37" t="inlineStr">
        <is>
          <t>Straight</t>
        </is>
      </c>
      <c r="F24" s="37" t="inlineStr">
        <is>
          <t>Straight Thread Connector, 3/4-16 x 7/16-20</t>
        </is>
      </c>
      <c r="G24" s="37" t="inlineStr">
        <is>
          <t>7/16-20</t>
        </is>
      </c>
      <c r="H24" s="37" t="inlineStr">
        <is>
          <t>3/4-16</t>
        </is>
      </c>
      <c r="I24" s="37" t="n"/>
      <c r="J24" s="37" t="inlineStr">
        <is>
          <t>SAE J1926-3</t>
        </is>
      </c>
      <c r="K24" s="37" t="inlineStr">
        <is>
          <t>SAE J514-1</t>
        </is>
      </c>
      <c r="L24" s="37" t="n">
        <v>1.49</v>
      </c>
      <c r="M24" s="37" t="n">
        <v>0.8100000000000001</v>
      </c>
      <c r="N24" s="37" t="n">
        <v>0.39</v>
      </c>
      <c r="O24" s="37" t="n">
        <v>0.17</v>
      </c>
      <c r="P24" s="37" t="n"/>
      <c r="Q24" s="37" t="n"/>
      <c r="R24" s="44" t="n"/>
      <c r="S24" s="44" t="n">
        <v>0.8100000000000001</v>
      </c>
      <c r="T24" s="37" t="n">
        <v>0</v>
      </c>
      <c r="U24" s="37" t="inlineStr">
        <is>
          <t>ASSUMED</t>
        </is>
      </c>
      <c r="V24" s="37" t="inlineStr">
        <is>
          <t>MATCH (source cited: SAE J514-1 070120 / MS51525 / MS39324)</t>
        </is>
      </c>
      <c r="W24" s="37" t="inlineStr">
        <is>
          <t>BUILD</t>
        </is>
      </c>
      <c r="X24" s="37" t="inlineStr">
        <is>
          <t>Hex = Air-Way C4 column (per-part). Matched sizes in this topology corroborate the column.</t>
        </is>
      </c>
      <c r="Z24" s="45" t="inlineStr">
        <is>
          <t>Carbon Steel</t>
        </is>
      </c>
      <c r="AA24" s="45" t="inlineStr">
        <is>
          <t>ASTM A108 12L14</t>
        </is>
      </c>
      <c r="AB24" s="45" t="inlineStr">
        <is>
          <t>Trivalent Cr3 Zinc</t>
        </is>
      </c>
      <c r="AC24" s="45" t="inlineStr">
        <is>
          <t>ASTM B633 Type V/VI</t>
        </is>
      </c>
      <c r="AD24" s="46" t="n">
        <v>4500</v>
      </c>
      <c r="AE24" s="46" t="inlineStr">
        <is>
          <t>generic SAE table @ dash -8 (governing end)</t>
        </is>
      </c>
      <c r="AF24" s="46" t="n">
        <v>-65</v>
      </c>
      <c r="AG24" s="46" t="n">
        <v>400</v>
      </c>
      <c r="AH24" s="37" t="inlineStr">
        <is>
          <t>Ham-Let + hoseandfittings (pressure); Parker Cat.4300 (material); ASTM B633 (finish); see StandardsData</t>
        </is>
      </c>
    </row>
    <row r="25" ht="15" customHeight="1" s="35">
      <c r="A25" s="37" t="inlineStr">
        <is>
          <t>6400-08-05-O</t>
        </is>
      </c>
      <c r="B25" s="37" t="inlineStr">
        <is>
          <t>6400-8-5-O</t>
        </is>
      </c>
      <c r="C25" s="37" t="inlineStr">
        <is>
          <t>6400</t>
        </is>
      </c>
      <c r="D25" s="37" t="n">
        <v>89</v>
      </c>
      <c r="E25" s="37" t="inlineStr">
        <is>
          <t>Straight</t>
        </is>
      </c>
      <c r="F25" s="37" t="inlineStr">
        <is>
          <t>Straight Thread Connector, 3/4-16 x 1/2-20</t>
        </is>
      </c>
      <c r="G25" s="37" t="inlineStr">
        <is>
          <t>1/2-20</t>
        </is>
      </c>
      <c r="H25" s="37" t="inlineStr">
        <is>
          <t>3/4-16</t>
        </is>
      </c>
      <c r="I25" s="37" t="n"/>
      <c r="J25" s="37" t="inlineStr">
        <is>
          <t>SAE J1926-3</t>
        </is>
      </c>
      <c r="K25" s="37" t="inlineStr">
        <is>
          <t>SAE J514-1</t>
        </is>
      </c>
      <c r="L25" s="37" t="n">
        <v>1.49</v>
      </c>
      <c r="M25" s="37" t="n">
        <v>0.8100000000000001</v>
      </c>
      <c r="N25" s="37" t="n">
        <v>0.39</v>
      </c>
      <c r="O25" s="37" t="n">
        <v>0.23</v>
      </c>
      <c r="P25" s="37" t="n"/>
      <c r="Q25" s="37" t="n"/>
      <c r="R25" s="44" t="n"/>
      <c r="S25" s="44" t="n">
        <v>0.8100000000000001</v>
      </c>
      <c r="T25" s="37" t="n">
        <v>0</v>
      </c>
      <c r="U25" s="37" t="inlineStr">
        <is>
          <t>ASSUMED</t>
        </is>
      </c>
      <c r="V25" s="37" t="inlineStr">
        <is>
          <t>MATCH (source cited: SAE J514-1 070120 / MS51525 / MS39324)</t>
        </is>
      </c>
      <c r="W25" s="37" t="inlineStr">
        <is>
          <t>BUILD</t>
        </is>
      </c>
      <c r="X25" s="37" t="inlineStr">
        <is>
          <t>Hex = Air-Way C4 column (per-part). Matched sizes in this topology corroborate the column.</t>
        </is>
      </c>
      <c r="Z25" s="45" t="inlineStr">
        <is>
          <t>Carbon Steel</t>
        </is>
      </c>
      <c r="AA25" s="45" t="inlineStr">
        <is>
          <t>ASTM A108 12L14</t>
        </is>
      </c>
      <c r="AB25" s="45" t="inlineStr">
        <is>
          <t>Trivalent Cr3 Zinc</t>
        </is>
      </c>
      <c r="AC25" s="45" t="inlineStr">
        <is>
          <t>ASTM B633 Type V/VI</t>
        </is>
      </c>
      <c r="AD25" s="46" t="n">
        <v>4500</v>
      </c>
      <c r="AE25" s="46" t="inlineStr">
        <is>
          <t>generic SAE table @ dash -8 (governing end)</t>
        </is>
      </c>
      <c r="AF25" s="46" t="n">
        <v>-65</v>
      </c>
      <c r="AG25" s="46" t="n">
        <v>400</v>
      </c>
      <c r="AH25" s="37" t="inlineStr">
        <is>
          <t>Ham-Let + hoseandfittings (pressure); Parker Cat.4300 (material); ASTM B633 (finish); see StandardsData</t>
        </is>
      </c>
    </row>
    <row r="26" ht="15" customHeight="1" s="35">
      <c r="A26" s="37" t="inlineStr">
        <is>
          <t>6400-08-06-O</t>
        </is>
      </c>
      <c r="B26" s="37" t="inlineStr">
        <is>
          <t>6400-8-6-O</t>
        </is>
      </c>
      <c r="C26" s="37" t="inlineStr">
        <is>
          <t>6400</t>
        </is>
      </c>
      <c r="D26" s="37" t="n">
        <v>89</v>
      </c>
      <c r="E26" s="37" t="inlineStr">
        <is>
          <t>Straight</t>
        </is>
      </c>
      <c r="F26" s="37" t="inlineStr">
        <is>
          <t>Straight Thread Connector, 3/4-16 x 9/16-18</t>
        </is>
      </c>
      <c r="G26" s="37" t="inlineStr">
        <is>
          <t>9/16-18</t>
        </is>
      </c>
      <c r="H26" s="37" t="inlineStr">
        <is>
          <t>3/4-16</t>
        </is>
      </c>
      <c r="I26" s="37" t="n"/>
      <c r="J26" s="37" t="inlineStr">
        <is>
          <t>SAE J1926-3</t>
        </is>
      </c>
      <c r="K26" s="37" t="inlineStr">
        <is>
          <t>SAE J514-1</t>
        </is>
      </c>
      <c r="L26" s="37" t="n">
        <v>1.44</v>
      </c>
      <c r="M26" s="37" t="n">
        <v>0.8100000000000001</v>
      </c>
      <c r="N26" s="37" t="n">
        <v>0.39</v>
      </c>
      <c r="O26" s="37" t="n">
        <v>0.3</v>
      </c>
      <c r="P26" s="37" t="n"/>
      <c r="Q26" s="37" t="n"/>
      <c r="R26" s="44" t="n"/>
      <c r="S26" s="44" t="n">
        <v>0.8100000000000001</v>
      </c>
      <c r="T26" s="37" t="n">
        <v>0</v>
      </c>
      <c r="U26" s="37" t="inlineStr">
        <is>
          <t>ASSUMED</t>
        </is>
      </c>
      <c r="V26" s="37" t="inlineStr">
        <is>
          <t>MATCH (source cited: SAE J514-1 070120 / MS51525 / MS39324)</t>
        </is>
      </c>
      <c r="W26" s="37" t="inlineStr">
        <is>
          <t>BUILD</t>
        </is>
      </c>
      <c r="X26" s="37" t="inlineStr">
        <is>
          <t>Hex = Air-Way C4 column (per-part). Matched sizes in this topology corroborate the column.</t>
        </is>
      </c>
      <c r="Z26" s="45" t="inlineStr">
        <is>
          <t>Carbon Steel</t>
        </is>
      </c>
      <c r="AA26" s="45" t="inlineStr">
        <is>
          <t>ASTM A108 12L14</t>
        </is>
      </c>
      <c r="AB26" s="45" t="inlineStr">
        <is>
          <t>Trivalent Cr3 Zinc</t>
        </is>
      </c>
      <c r="AC26" s="45" t="inlineStr">
        <is>
          <t>ASTM B633 Type V/VI</t>
        </is>
      </c>
      <c r="AD26" s="46" t="n">
        <v>4500</v>
      </c>
      <c r="AE26" s="46" t="inlineStr">
        <is>
          <t>generic SAE table @ dash -8 (governing end)</t>
        </is>
      </c>
      <c r="AF26" s="46" t="n">
        <v>-65</v>
      </c>
      <c r="AG26" s="46" t="n">
        <v>400</v>
      </c>
      <c r="AH26" s="37" t="inlineStr">
        <is>
          <t>Ham-Let + hoseandfittings (pressure); Parker Cat.4300 (material); ASTM B633 (finish); see StandardsData</t>
        </is>
      </c>
    </row>
    <row r="27" ht="15" customHeight="1" s="35">
      <c r="A27" s="37" t="inlineStr">
        <is>
          <t>6400-08-08-O</t>
        </is>
      </c>
      <c r="B27" s="37" t="inlineStr">
        <is>
          <t>6400-8-8-O</t>
        </is>
      </c>
      <c r="C27" s="37" t="inlineStr">
        <is>
          <t>6400</t>
        </is>
      </c>
      <c r="D27" s="37" t="n">
        <v>89</v>
      </c>
      <c r="E27" s="37" t="inlineStr">
        <is>
          <t>Straight</t>
        </is>
      </c>
      <c r="F27" s="37" t="inlineStr">
        <is>
          <t>Straight Thread Connector, 3/4-16 x 3/4-16</t>
        </is>
      </c>
      <c r="G27" s="37" t="inlineStr">
        <is>
          <t>3/4-16</t>
        </is>
      </c>
      <c r="H27" s="37" t="inlineStr">
        <is>
          <t>3/4-16</t>
        </is>
      </c>
      <c r="I27" s="37" t="n"/>
      <c r="J27" s="37" t="inlineStr">
        <is>
          <t>SAE J1926-3</t>
        </is>
      </c>
      <c r="K27" s="37" t="inlineStr">
        <is>
          <t>SAE J514-1</t>
        </is>
      </c>
      <c r="L27" s="37" t="n">
        <v>1.48</v>
      </c>
      <c r="M27" s="37" t="n">
        <v>0.88</v>
      </c>
      <c r="N27" s="37" t="n">
        <v>0.39</v>
      </c>
      <c r="O27" s="37" t="n">
        <v>0.39</v>
      </c>
      <c r="P27" s="37" t="n"/>
      <c r="Q27" s="37" t="n"/>
      <c r="R27" s="44" t="n"/>
      <c r="S27" s="45" t="n">
        <v>0.88</v>
      </c>
      <c r="T27" s="37" t="n">
        <v>0</v>
      </c>
      <c r="U27" s="37" t="inlineStr">
        <is>
          <t>VERIFIED</t>
        </is>
      </c>
      <c r="V27" s="37" t="inlineStr">
        <is>
          <t>MATCH (source cited: SAE J514-1 070120 / MS51525 / MS39324)</t>
        </is>
      </c>
      <c r="W27" s="37" t="inlineStr">
        <is>
          <t>BUILD</t>
        </is>
      </c>
      <c r="X27" s="37" t="inlineStr">
        <is>
          <t>Hex = Air-Way C4 column, CONFIRMED vs PressureConnections/Purvis.</t>
        </is>
      </c>
      <c r="Z27" s="45" t="inlineStr">
        <is>
          <t>Carbon Steel</t>
        </is>
      </c>
      <c r="AA27" s="45" t="inlineStr">
        <is>
          <t>ASTM A108 12L14</t>
        </is>
      </c>
      <c r="AB27" s="45" t="inlineStr">
        <is>
          <t>Trivalent Cr3 Zinc</t>
        </is>
      </c>
      <c r="AC27" s="45" t="inlineStr">
        <is>
          <t>ASTM B633 Type V/VI</t>
        </is>
      </c>
      <c r="AD27" s="46" t="n">
        <v>4500</v>
      </c>
      <c r="AE27" s="46" t="inlineStr">
        <is>
          <t>generic SAE table @ dash -8 (governing end)</t>
        </is>
      </c>
      <c r="AF27" s="46" t="n">
        <v>-65</v>
      </c>
      <c r="AG27" s="46" t="n">
        <v>400</v>
      </c>
      <c r="AH27" s="37" t="inlineStr">
        <is>
          <t>Ham-Let + hoseandfittings (pressure); Parker Cat.4300 (material); ASTM B633 (finish); see StandardsData</t>
        </is>
      </c>
    </row>
    <row r="28" ht="15" customHeight="1" s="35">
      <c r="A28" s="37" t="inlineStr">
        <is>
          <t>6400-08-10-O</t>
        </is>
      </c>
      <c r="B28" s="37" t="inlineStr">
        <is>
          <t>6400-8-10-O</t>
        </is>
      </c>
      <c r="C28" s="37" t="inlineStr">
        <is>
          <t>6400</t>
        </is>
      </c>
      <c r="D28" s="37" t="n">
        <v>89</v>
      </c>
      <c r="E28" s="37" t="inlineStr">
        <is>
          <t>Straight</t>
        </is>
      </c>
      <c r="F28" s="37" t="inlineStr">
        <is>
          <t>Straight Thread Connector, 3/4-16 x 7/8-14</t>
        </is>
      </c>
      <c r="G28" s="37" t="inlineStr">
        <is>
          <t>7/8-14</t>
        </is>
      </c>
      <c r="H28" s="37" t="inlineStr">
        <is>
          <t>3/4-16</t>
        </is>
      </c>
      <c r="I28" s="37" t="n"/>
      <c r="J28" s="37" t="inlineStr">
        <is>
          <t>SAE J1926-3</t>
        </is>
      </c>
      <c r="K28" s="37" t="inlineStr">
        <is>
          <t>SAE J514-1</t>
        </is>
      </c>
      <c r="L28" s="37" t="n">
        <v>1.6</v>
      </c>
      <c r="M28" s="37" t="n">
        <v>1</v>
      </c>
      <c r="N28" s="37" t="n">
        <v>0.39</v>
      </c>
      <c r="O28" s="37" t="n">
        <v>0.48</v>
      </c>
      <c r="P28" s="37" t="n"/>
      <c r="Q28" s="37" t="n"/>
      <c r="R28" s="44" t="n"/>
      <c r="S28" s="44" t="n">
        <v>1</v>
      </c>
      <c r="T28" s="37" t="n">
        <v>0</v>
      </c>
      <c r="U28" s="37" t="inlineStr">
        <is>
          <t>ASSUMED</t>
        </is>
      </c>
      <c r="V28" s="37" t="inlineStr">
        <is>
          <t>MATCH (source cited: SAE J514-1 070120 / MS51525 / MS39324)</t>
        </is>
      </c>
      <c r="W28" s="37" t="inlineStr">
        <is>
          <t>BUILD</t>
        </is>
      </c>
      <c r="X28" s="37" t="inlineStr">
        <is>
          <t>Hex = Air-Way C4 column (per-part). Matched sizes in this topology corroborate the column.</t>
        </is>
      </c>
      <c r="Z28" s="45" t="inlineStr">
        <is>
          <t>Carbon Steel</t>
        </is>
      </c>
      <c r="AA28" s="45" t="inlineStr">
        <is>
          <t>ASTM A108 12L14</t>
        </is>
      </c>
      <c r="AB28" s="45" t="inlineStr">
        <is>
          <t>Trivalent Cr3 Zinc</t>
        </is>
      </c>
      <c r="AC28" s="45" t="inlineStr">
        <is>
          <t>ASTM B633 Type V/VI</t>
        </is>
      </c>
      <c r="AD28" s="46" t="n">
        <v>3500</v>
      </c>
      <c r="AE28" s="46" t="inlineStr">
        <is>
          <t>generic SAE table @ dash -10 (governing end)</t>
        </is>
      </c>
      <c r="AF28" s="46" t="n">
        <v>-65</v>
      </c>
      <c r="AG28" s="46" t="n">
        <v>400</v>
      </c>
      <c r="AH28" s="37" t="inlineStr">
        <is>
          <t>Ham-Let + hoseandfittings (pressure); Parker Cat.4300 (material); ASTM B633 (finish); see StandardsData</t>
        </is>
      </c>
    </row>
    <row r="29" ht="15" customHeight="1" s="35">
      <c r="A29" s="37" t="inlineStr">
        <is>
          <t>6400-08-12-O</t>
        </is>
      </c>
      <c r="B29" s="37" t="inlineStr">
        <is>
          <t>6400-8-12-O</t>
        </is>
      </c>
      <c r="C29" s="37" t="inlineStr">
        <is>
          <t>6400</t>
        </is>
      </c>
      <c r="D29" s="37" t="n">
        <v>89</v>
      </c>
      <c r="E29" s="37" t="inlineStr">
        <is>
          <t>Straight</t>
        </is>
      </c>
      <c r="F29" s="37" t="inlineStr">
        <is>
          <t>Straight Thread Connector, 3/4-16 x 1 1/16-12</t>
        </is>
      </c>
      <c r="G29" s="37" t="inlineStr">
        <is>
          <t>1 1/16-12</t>
        </is>
      </c>
      <c r="H29" s="37" t="inlineStr">
        <is>
          <t>3/4-16</t>
        </is>
      </c>
      <c r="I29" s="37" t="n"/>
      <c r="J29" s="37" t="inlineStr">
        <is>
          <t>SAE J1926-3</t>
        </is>
      </c>
      <c r="K29" s="37" t="inlineStr">
        <is>
          <t>SAE J514-1</t>
        </is>
      </c>
      <c r="L29" s="37" t="n">
        <v>1.76</v>
      </c>
      <c r="M29" s="37" t="n">
        <v>1.25</v>
      </c>
      <c r="N29" s="37" t="n">
        <v>0.39</v>
      </c>
      <c r="O29" s="37" t="n">
        <v>0.61</v>
      </c>
      <c r="P29" s="37" t="n"/>
      <c r="Q29" s="37" t="n"/>
      <c r="R29" s="44" t="n"/>
      <c r="S29" s="44" t="n">
        <v>1.25</v>
      </c>
      <c r="T29" s="37" t="n">
        <v>0</v>
      </c>
      <c r="U29" s="37" t="inlineStr">
        <is>
          <t>ASSUMED</t>
        </is>
      </c>
      <c r="V29" s="37" t="inlineStr">
        <is>
          <t>MATCH (source cited: SAE J514-1 070120 / MS51525 / MS39324)</t>
        </is>
      </c>
      <c r="W29" s="37" t="inlineStr">
        <is>
          <t>BUILD</t>
        </is>
      </c>
      <c r="X29" s="37" t="inlineStr">
        <is>
          <t>Hex = Air-Way C4 column (per-part). Matched sizes in this topology corroborate the column.</t>
        </is>
      </c>
      <c r="Z29" s="45" t="inlineStr">
        <is>
          <t>Carbon Steel</t>
        </is>
      </c>
      <c r="AA29" s="45" t="inlineStr">
        <is>
          <t>ASTM A108 12L14</t>
        </is>
      </c>
      <c r="AB29" s="45" t="inlineStr">
        <is>
          <t>Trivalent Cr3 Zinc</t>
        </is>
      </c>
      <c r="AC29" s="45" t="inlineStr">
        <is>
          <t>ASTM B633 Type V/VI</t>
        </is>
      </c>
      <c r="AD29" s="46" t="n">
        <v>3500</v>
      </c>
      <c r="AE29" s="46" t="inlineStr">
        <is>
          <t>generic SAE table @ dash -12 (governing end)</t>
        </is>
      </c>
      <c r="AF29" s="46" t="n">
        <v>-65</v>
      </c>
      <c r="AG29" s="46" t="n">
        <v>400</v>
      </c>
      <c r="AH29" s="37" t="inlineStr">
        <is>
          <t>Ham-Let + hoseandfittings (pressure); Parker Cat.4300 (material); ASTM B633 (finish); see StandardsData</t>
        </is>
      </c>
    </row>
    <row r="30" ht="15" customHeight="1" s="35">
      <c r="A30" s="37" t="inlineStr">
        <is>
          <t>6400-08-14-O</t>
        </is>
      </c>
      <c r="B30" s="37" t="inlineStr">
        <is>
          <t>6400-8-14-O</t>
        </is>
      </c>
      <c r="C30" s="37" t="inlineStr">
        <is>
          <t>6400</t>
        </is>
      </c>
      <c r="D30" s="37" t="n">
        <v>89</v>
      </c>
      <c r="E30" s="37" t="inlineStr">
        <is>
          <t>Straight</t>
        </is>
      </c>
      <c r="F30" s="37" t="inlineStr">
        <is>
          <t>Straight Thread Connector, 3/4-16 x 1 3/16-12</t>
        </is>
      </c>
      <c r="G30" s="37" t="inlineStr">
        <is>
          <t>1 3/16-12</t>
        </is>
      </c>
      <c r="H30" s="37" t="inlineStr">
        <is>
          <t>3/4-16</t>
        </is>
      </c>
      <c r="I30" s="37" t="n"/>
      <c r="J30" s="37" t="inlineStr">
        <is>
          <t>SAE J1926-3</t>
        </is>
      </c>
      <c r="K30" s="37" t="inlineStr">
        <is>
          <t>SAE J514-1</t>
        </is>
      </c>
      <c r="L30" s="37" t="n">
        <v>1.76</v>
      </c>
      <c r="M30" s="37" t="n">
        <v>1.38</v>
      </c>
      <c r="N30" s="37" t="n">
        <v>0.39</v>
      </c>
      <c r="O30" s="37" t="n">
        <v>0.72</v>
      </c>
      <c r="P30" s="37" t="n"/>
      <c r="Q30" s="37" t="n"/>
      <c r="R30" s="44" t="n"/>
      <c r="S30" s="44" t="n">
        <v>1.38</v>
      </c>
      <c r="T30" s="37" t="n">
        <v>0</v>
      </c>
      <c r="U30" s="37" t="inlineStr">
        <is>
          <t>ASSUMED</t>
        </is>
      </c>
      <c r="V30" s="37" t="inlineStr">
        <is>
          <t>MATCH (source cited: SAE J514-1 070120 / MS51525 / MS39324)</t>
        </is>
      </c>
      <c r="W30" s="37" t="inlineStr">
        <is>
          <t>BUILD</t>
        </is>
      </c>
      <c r="X30" s="37" t="inlineStr">
        <is>
          <t>Hex = Air-Way C4 column (per-part). Matched sizes in this topology corroborate the column.</t>
        </is>
      </c>
      <c r="Z30" s="45" t="inlineStr">
        <is>
          <t>Carbon Steel</t>
        </is>
      </c>
      <c r="AA30" s="45" t="inlineStr">
        <is>
          <t>ASTM A108 12L14</t>
        </is>
      </c>
      <c r="AB30" s="45" t="inlineStr">
        <is>
          <t>Trivalent Cr3 Zinc</t>
        </is>
      </c>
      <c r="AC30" s="45" t="inlineStr">
        <is>
          <t>ASTM B633 Type V/VI</t>
        </is>
      </c>
      <c r="AD30" s="46" t="n">
        <v>3000</v>
      </c>
      <c r="AE30" s="46" t="inlineStr">
        <is>
          <t>generic SAE table @ dash -14 (governing end)</t>
        </is>
      </c>
      <c r="AF30" s="46" t="n">
        <v>-65</v>
      </c>
      <c r="AG30" s="46" t="n">
        <v>400</v>
      </c>
      <c r="AH30" s="37" t="inlineStr">
        <is>
          <t>Ham-Let + hoseandfittings (pressure); Parker Cat.4300 (material); ASTM B633 (finish); see StandardsData</t>
        </is>
      </c>
    </row>
    <row r="31" ht="15" customHeight="1" s="35">
      <c r="A31" s="37" t="inlineStr">
        <is>
          <t>6400-08-16-O</t>
        </is>
      </c>
      <c r="B31" s="37" t="inlineStr">
        <is>
          <t>6400-8-16-O</t>
        </is>
      </c>
      <c r="C31" s="37" t="inlineStr">
        <is>
          <t>6400</t>
        </is>
      </c>
      <c r="D31" s="37" t="n">
        <v>89</v>
      </c>
      <c r="E31" s="37" t="inlineStr">
        <is>
          <t>Straight</t>
        </is>
      </c>
      <c r="F31" s="37" t="inlineStr">
        <is>
          <t>Straight Thread Connector, 3/4-16 x 1 5/16-12</t>
        </is>
      </c>
      <c r="G31" s="37" t="inlineStr">
        <is>
          <t>1 5/16-12</t>
        </is>
      </c>
      <c r="H31" s="37" t="inlineStr">
        <is>
          <t>3/4-16</t>
        </is>
      </c>
      <c r="I31" s="37" t="n"/>
      <c r="J31" s="37" t="inlineStr">
        <is>
          <t>SAE J1926-3</t>
        </is>
      </c>
      <c r="K31" s="37" t="inlineStr">
        <is>
          <t>SAE J514-1</t>
        </is>
      </c>
      <c r="L31" s="37" t="n">
        <v>1.79</v>
      </c>
      <c r="M31" s="37" t="n">
        <v>1.5</v>
      </c>
      <c r="N31" s="37" t="n">
        <v>0.39</v>
      </c>
      <c r="O31" s="37" t="n">
        <v>0.84</v>
      </c>
      <c r="P31" s="37" t="n"/>
      <c r="Q31" s="37" t="n"/>
      <c r="R31" s="44" t="n"/>
      <c r="S31" s="44" t="n">
        <v>1.5</v>
      </c>
      <c r="T31" s="37" t="n">
        <v>0</v>
      </c>
      <c r="U31" s="37" t="inlineStr">
        <is>
          <t>ASSUMED</t>
        </is>
      </c>
      <c r="V31" s="37" t="inlineStr">
        <is>
          <t>MATCH (source cited: SAE J514-1 070120 / MS51525 / MS39324)</t>
        </is>
      </c>
      <c r="W31" s="37" t="inlineStr">
        <is>
          <t>BUILD</t>
        </is>
      </c>
      <c r="X31" s="37" t="inlineStr">
        <is>
          <t>Hex = Air-Way C4 column (per-part). Matched sizes in this topology corroborate the column.</t>
        </is>
      </c>
      <c r="Z31" s="45" t="inlineStr">
        <is>
          <t>Carbon Steel</t>
        </is>
      </c>
      <c r="AA31" s="45" t="inlineStr">
        <is>
          <t>ASTM A108 12L14</t>
        </is>
      </c>
      <c r="AB31" s="45" t="inlineStr">
        <is>
          <t>Trivalent Cr3 Zinc</t>
        </is>
      </c>
      <c r="AC31" s="45" t="inlineStr">
        <is>
          <t>ASTM B633 Type V/VI</t>
        </is>
      </c>
      <c r="AD31" s="46" t="n">
        <v>3000</v>
      </c>
      <c r="AE31" s="46" t="inlineStr">
        <is>
          <t>generic SAE table @ dash -16 (governing end)</t>
        </is>
      </c>
      <c r="AF31" s="46" t="n">
        <v>-65</v>
      </c>
      <c r="AG31" s="46" t="n">
        <v>400</v>
      </c>
      <c r="AH31" s="37" t="inlineStr">
        <is>
          <t>Ham-Let + hoseandfittings (pressure); Parker Cat.4300 (material); ASTM B633 (finish); see StandardsData</t>
        </is>
      </c>
    </row>
    <row r="32" ht="15" customHeight="1" s="35">
      <c r="A32" s="37" t="inlineStr">
        <is>
          <t>6400-08-20-O</t>
        </is>
      </c>
      <c r="B32" s="37" t="inlineStr">
        <is>
          <t>6400-8-20-O</t>
        </is>
      </c>
      <c r="C32" s="37" t="inlineStr">
        <is>
          <t>6400</t>
        </is>
      </c>
      <c r="D32" s="37" t="n">
        <v>89</v>
      </c>
      <c r="E32" s="37" t="inlineStr">
        <is>
          <t>Straight</t>
        </is>
      </c>
      <c r="F32" s="37" t="inlineStr">
        <is>
          <t>Straight Thread Connector, 3/4-16 x 1 5/8-12</t>
        </is>
      </c>
      <c r="G32" s="37" t="inlineStr">
        <is>
          <t>1 5/8-12</t>
        </is>
      </c>
      <c r="H32" s="37" t="inlineStr">
        <is>
          <t>3/4-16</t>
        </is>
      </c>
      <c r="I32" s="37" t="n"/>
      <c r="J32" s="37" t="inlineStr">
        <is>
          <t>SAE J1926-3</t>
        </is>
      </c>
      <c r="K32" s="37" t="inlineStr">
        <is>
          <t>SAE J514-1</t>
        </is>
      </c>
      <c r="L32" s="37" t="n">
        <v>1.87</v>
      </c>
      <c r="M32" s="37" t="n">
        <v>1.88</v>
      </c>
      <c r="N32" s="37" t="n">
        <v>0.39</v>
      </c>
      <c r="O32" s="37" t="n">
        <v>1.08</v>
      </c>
      <c r="P32" s="37" t="n"/>
      <c r="Q32" s="37" t="n"/>
      <c r="R32" s="44" t="n"/>
      <c r="S32" s="44" t="n">
        <v>1.88</v>
      </c>
      <c r="T32" s="37" t="n">
        <v>0</v>
      </c>
      <c r="U32" s="37" t="inlineStr">
        <is>
          <t>ASSUMED</t>
        </is>
      </c>
      <c r="V32" s="37" t="inlineStr">
        <is>
          <t>MATCH (source cited: SAE J514-1 070120 / MS51525 / MS39324)</t>
        </is>
      </c>
      <c r="W32" s="37" t="inlineStr">
        <is>
          <t>BUILD</t>
        </is>
      </c>
      <c r="X32" s="37" t="inlineStr">
        <is>
          <t>Hex = Air-Way C4 column (per-part). Matched sizes in this topology corroborate the column.</t>
        </is>
      </c>
      <c r="Z32" s="45" t="inlineStr">
        <is>
          <t>Carbon Steel</t>
        </is>
      </c>
      <c r="AA32" s="45" t="inlineStr">
        <is>
          <t>ASTM A108 12L14</t>
        </is>
      </c>
      <c r="AB32" s="45" t="inlineStr">
        <is>
          <t>Trivalent Cr3 Zinc</t>
        </is>
      </c>
      <c r="AC32" s="45" t="inlineStr">
        <is>
          <t>ASTM B633 Type V/VI</t>
        </is>
      </c>
      <c r="AD32" s="46" t="n">
        <v>2500</v>
      </c>
      <c r="AE32" s="46" t="inlineStr">
        <is>
          <t>generic SAE table @ dash -20 (governing end)</t>
        </is>
      </c>
      <c r="AF32" s="46" t="n">
        <v>-65</v>
      </c>
      <c r="AG32" s="46" t="n">
        <v>400</v>
      </c>
      <c r="AH32" s="37" t="inlineStr">
        <is>
          <t>Ham-Let + hoseandfittings (pressure); Parker Cat.4300 (material); ASTM B633 (finish); see StandardsData</t>
        </is>
      </c>
    </row>
    <row r="33" ht="15" customHeight="1" s="35">
      <c r="A33" s="37" t="inlineStr">
        <is>
          <t>6400-10-06-O</t>
        </is>
      </c>
      <c r="B33" s="37" t="inlineStr">
        <is>
          <t>6400-10-6-O</t>
        </is>
      </c>
      <c r="C33" s="37" t="inlineStr">
        <is>
          <t>6400</t>
        </is>
      </c>
      <c r="D33" s="37" t="n">
        <v>89</v>
      </c>
      <c r="E33" s="37" t="inlineStr">
        <is>
          <t>Straight</t>
        </is>
      </c>
      <c r="F33" s="37" t="inlineStr">
        <is>
          <t>Straight Thread Connector, 7/8-14 x 9/16-18</t>
        </is>
      </c>
      <c r="G33" s="37" t="inlineStr">
        <is>
          <t>9/16-18</t>
        </is>
      </c>
      <c r="H33" s="37" t="inlineStr">
        <is>
          <t>7/8-14</t>
        </is>
      </c>
      <c r="I33" s="37" t="n"/>
      <c r="J33" s="37" t="inlineStr">
        <is>
          <t>SAE J1926-3</t>
        </is>
      </c>
      <c r="K33" s="37" t="inlineStr">
        <is>
          <t>SAE J514-1</t>
        </is>
      </c>
      <c r="L33" s="37" t="n">
        <v>1.71</v>
      </c>
      <c r="M33" s="37" t="n">
        <v>0.9399999999999999</v>
      </c>
      <c r="N33" s="37" t="n">
        <v>0.48</v>
      </c>
      <c r="O33" s="37" t="n">
        <v>0.3</v>
      </c>
      <c r="P33" s="37" t="n"/>
      <c r="Q33" s="37" t="n"/>
      <c r="R33" s="44" t="n"/>
      <c r="S33" s="44" t="n">
        <v>0.9399999999999999</v>
      </c>
      <c r="T33" s="37" t="n">
        <v>0</v>
      </c>
      <c r="U33" s="37" t="inlineStr">
        <is>
          <t>ASSUMED</t>
        </is>
      </c>
      <c r="V33" s="37" t="inlineStr">
        <is>
          <t>MATCH (source cited: SAE J514-1 070120 / MS51525 / MS39324)</t>
        </is>
      </c>
      <c r="W33" s="37" t="inlineStr">
        <is>
          <t>BUILD</t>
        </is>
      </c>
      <c r="X33" s="37" t="inlineStr">
        <is>
          <t>Hex = Air-Way C4 column (per-part). Matched sizes in this topology corroborate the column.</t>
        </is>
      </c>
      <c r="Z33" s="45" t="inlineStr">
        <is>
          <t>Carbon Steel</t>
        </is>
      </c>
      <c r="AA33" s="45" t="inlineStr">
        <is>
          <t>ASTM A108 12L14</t>
        </is>
      </c>
      <c r="AB33" s="45" t="inlineStr">
        <is>
          <t>Trivalent Cr3 Zinc</t>
        </is>
      </c>
      <c r="AC33" s="45" t="inlineStr">
        <is>
          <t>ASTM B633 Type V/VI</t>
        </is>
      </c>
      <c r="AD33" s="46" t="n">
        <v>3500</v>
      </c>
      <c r="AE33" s="46" t="inlineStr">
        <is>
          <t>generic SAE table @ dash -10 (governing end)</t>
        </is>
      </c>
      <c r="AF33" s="46" t="n">
        <v>-65</v>
      </c>
      <c r="AG33" s="46" t="n">
        <v>400</v>
      </c>
      <c r="AH33" s="37" t="inlineStr">
        <is>
          <t>Ham-Let + hoseandfittings (pressure); Parker Cat.4300 (material); ASTM B633 (finish); see StandardsData</t>
        </is>
      </c>
    </row>
    <row r="34" ht="15" customHeight="1" s="35">
      <c r="A34" s="37" t="inlineStr">
        <is>
          <t>6400-10-08-O</t>
        </is>
      </c>
      <c r="B34" s="37" t="inlineStr">
        <is>
          <t>6400-10-8-O</t>
        </is>
      </c>
      <c r="C34" s="37" t="inlineStr">
        <is>
          <t>6400</t>
        </is>
      </c>
      <c r="D34" s="37" t="n">
        <v>89</v>
      </c>
      <c r="E34" s="37" t="inlineStr">
        <is>
          <t>Straight</t>
        </is>
      </c>
      <c r="F34" s="37" t="inlineStr">
        <is>
          <t>Straight Thread Connector, 7/8-14 x 3/4-16</t>
        </is>
      </c>
      <c r="G34" s="37" t="inlineStr">
        <is>
          <t>3/4-16</t>
        </is>
      </c>
      <c r="H34" s="37" t="inlineStr">
        <is>
          <t>7/8-14</t>
        </is>
      </c>
      <c r="I34" s="37" t="n"/>
      <c r="J34" s="37" t="inlineStr">
        <is>
          <t>SAE J1926-3</t>
        </is>
      </c>
      <c r="K34" s="37" t="inlineStr">
        <is>
          <t>SAE J514-1</t>
        </is>
      </c>
      <c r="L34" s="37" t="n">
        <v>1.64</v>
      </c>
      <c r="M34" s="37" t="n">
        <v>0.9399999999999999</v>
      </c>
      <c r="N34" s="37" t="n">
        <v>0.48</v>
      </c>
      <c r="O34" s="37" t="n">
        <v>0.39</v>
      </c>
      <c r="P34" s="37" t="n"/>
      <c r="Q34" s="37" t="n"/>
      <c r="R34" s="44" t="n"/>
      <c r="S34" s="44" t="n">
        <v>0.9399999999999999</v>
      </c>
      <c r="T34" s="37" t="n">
        <v>0</v>
      </c>
      <c r="U34" s="37" t="inlineStr">
        <is>
          <t>ASSUMED</t>
        </is>
      </c>
      <c r="V34" s="37" t="inlineStr">
        <is>
          <t>MATCH (source cited: SAE J514-1 070120 / MS51525 / MS39324)</t>
        </is>
      </c>
      <c r="W34" s="37" t="inlineStr">
        <is>
          <t>BUILD</t>
        </is>
      </c>
      <c r="X34" s="37" t="inlineStr">
        <is>
          <t>Hex = Air-Way C4 column (per-part). Matched sizes in this topology corroborate the column.</t>
        </is>
      </c>
      <c r="Z34" s="45" t="inlineStr">
        <is>
          <t>Carbon Steel</t>
        </is>
      </c>
      <c r="AA34" s="45" t="inlineStr">
        <is>
          <t>ASTM A108 12L14</t>
        </is>
      </c>
      <c r="AB34" s="45" t="inlineStr">
        <is>
          <t>Trivalent Cr3 Zinc</t>
        </is>
      </c>
      <c r="AC34" s="45" t="inlineStr">
        <is>
          <t>ASTM B633 Type V/VI</t>
        </is>
      </c>
      <c r="AD34" s="46" t="n">
        <v>3500</v>
      </c>
      <c r="AE34" s="46" t="inlineStr">
        <is>
          <t>generic SAE table @ dash -10 (governing end)</t>
        </is>
      </c>
      <c r="AF34" s="46" t="n">
        <v>-65</v>
      </c>
      <c r="AG34" s="46" t="n">
        <v>400</v>
      </c>
      <c r="AH34" s="37" t="inlineStr">
        <is>
          <t>Ham-Let + hoseandfittings (pressure); Parker Cat.4300 (material); ASTM B633 (finish); see StandardsData</t>
        </is>
      </c>
    </row>
    <row r="35" ht="15" customHeight="1" s="35">
      <c r="A35" s="37" t="inlineStr">
        <is>
          <t>6400-10-10-O</t>
        </is>
      </c>
      <c r="B35" s="37" t="inlineStr">
        <is>
          <t>6400-10-10-O</t>
        </is>
      </c>
      <c r="C35" s="37" t="inlineStr">
        <is>
          <t>6400</t>
        </is>
      </c>
      <c r="D35" s="37" t="n">
        <v>89</v>
      </c>
      <c r="E35" s="37" t="inlineStr">
        <is>
          <t>Straight</t>
        </is>
      </c>
      <c r="F35" s="37" t="inlineStr">
        <is>
          <t>Straight Thread Connector, 7/8-14 x 7/8-14</t>
        </is>
      </c>
      <c r="G35" s="37" t="inlineStr">
        <is>
          <t>7/8-14</t>
        </is>
      </c>
      <c r="H35" s="37" t="inlineStr">
        <is>
          <t>7/8-14</t>
        </is>
      </c>
      <c r="I35" s="37" t="n"/>
      <c r="J35" s="37" t="inlineStr">
        <is>
          <t>SAE J1926-3</t>
        </is>
      </c>
      <c r="K35" s="37" t="inlineStr">
        <is>
          <t>SAE J514-1</t>
        </is>
      </c>
      <c r="L35" s="37" t="n">
        <v>1.7</v>
      </c>
      <c r="M35" s="37" t="n">
        <v>1</v>
      </c>
      <c r="N35" s="37" t="n">
        <v>0.48</v>
      </c>
      <c r="O35" s="37" t="n">
        <v>0.48</v>
      </c>
      <c r="P35" s="37" t="n"/>
      <c r="Q35" s="37" t="n"/>
      <c r="R35" s="44" t="n"/>
      <c r="S35" s="45" t="n">
        <v>1</v>
      </c>
      <c r="T35" s="37" t="n">
        <v>0</v>
      </c>
      <c r="U35" s="37" t="inlineStr">
        <is>
          <t>VERIFIED</t>
        </is>
      </c>
      <c r="V35" s="37" t="inlineStr">
        <is>
          <t>MATCH (source cited: SAE J514-1 070120 / MS51525 / MS39324)</t>
        </is>
      </c>
      <c r="W35" s="37" t="inlineStr">
        <is>
          <t>BUILD</t>
        </is>
      </c>
      <c r="X35" s="37" t="inlineStr">
        <is>
          <t>Hex = Air-Way C4 column, CONFIRMED vs PressureConnections/Purvis.</t>
        </is>
      </c>
      <c r="Z35" s="45" t="inlineStr">
        <is>
          <t>Carbon Steel</t>
        </is>
      </c>
      <c r="AA35" s="45" t="inlineStr">
        <is>
          <t>ASTM A108 12L14</t>
        </is>
      </c>
      <c r="AB35" s="45" t="inlineStr">
        <is>
          <t>Trivalent Cr3 Zinc</t>
        </is>
      </c>
      <c r="AC35" s="45" t="inlineStr">
        <is>
          <t>ASTM B633 Type V/VI</t>
        </is>
      </c>
      <c r="AD35" s="46" t="n">
        <v>3500</v>
      </c>
      <c r="AE35" s="46" t="inlineStr">
        <is>
          <t>generic SAE table @ dash -10 (governing end)</t>
        </is>
      </c>
      <c r="AF35" s="46" t="n">
        <v>-65</v>
      </c>
      <c r="AG35" s="46" t="n">
        <v>400</v>
      </c>
      <c r="AH35" s="37" t="inlineStr">
        <is>
          <t>Ham-Let + hoseandfittings (pressure); Parker Cat.4300 (material); ASTM B633 (finish); see StandardsData</t>
        </is>
      </c>
    </row>
    <row r="36" ht="15" customHeight="1" s="35">
      <c r="A36" s="37" t="inlineStr">
        <is>
          <t>6400-10-12-O</t>
        </is>
      </c>
      <c r="B36" s="37" t="inlineStr">
        <is>
          <t>6400-10-12-O</t>
        </is>
      </c>
      <c r="C36" s="37" t="inlineStr">
        <is>
          <t>6400</t>
        </is>
      </c>
      <c r="D36" s="37" t="n">
        <v>89</v>
      </c>
      <c r="E36" s="37" t="inlineStr">
        <is>
          <t>Straight</t>
        </is>
      </c>
      <c r="F36" s="37" t="inlineStr">
        <is>
          <t>Straight Thread Connector, 7/8-14 x 1 1/16-12</t>
        </is>
      </c>
      <c r="G36" s="37" t="inlineStr">
        <is>
          <t>1 1/16-12</t>
        </is>
      </c>
      <c r="H36" s="37" t="inlineStr">
        <is>
          <t>7/8-14</t>
        </is>
      </c>
      <c r="I36" s="37" t="n"/>
      <c r="J36" s="37" t="inlineStr">
        <is>
          <t>SAE J1926-3</t>
        </is>
      </c>
      <c r="K36" s="37" t="inlineStr">
        <is>
          <t>SAE J514-1</t>
        </is>
      </c>
      <c r="L36" s="37" t="n">
        <v>1.86</v>
      </c>
      <c r="M36" s="37" t="n">
        <v>1.25</v>
      </c>
      <c r="N36" s="37" t="n">
        <v>0.48</v>
      </c>
      <c r="O36" s="37" t="n">
        <v>0.48</v>
      </c>
      <c r="P36" s="37" t="n"/>
      <c r="Q36" s="37" t="n"/>
      <c r="R36" s="44" t="n"/>
      <c r="S36" s="44" t="n">
        <v>1.25</v>
      </c>
      <c r="T36" s="37" t="n">
        <v>0</v>
      </c>
      <c r="U36" s="37" t="inlineStr">
        <is>
          <t>ASSUMED</t>
        </is>
      </c>
      <c r="V36" s="37" t="inlineStr">
        <is>
          <t>MATCH (source cited: SAE J514-1 070120 / MS51525 / MS39324)</t>
        </is>
      </c>
      <c r="W36" s="37" t="inlineStr">
        <is>
          <t>BUILD</t>
        </is>
      </c>
      <c r="X36" s="37" t="inlineStr">
        <is>
          <t>Hex = Air-Way C4 column (per-part). Matched sizes in this topology corroborate the column.</t>
        </is>
      </c>
      <c r="Z36" s="45" t="inlineStr">
        <is>
          <t>Carbon Steel</t>
        </is>
      </c>
      <c r="AA36" s="45" t="inlineStr">
        <is>
          <t>ASTM A108 12L14</t>
        </is>
      </c>
      <c r="AB36" s="45" t="inlineStr">
        <is>
          <t>Trivalent Cr3 Zinc</t>
        </is>
      </c>
      <c r="AC36" s="45" t="inlineStr">
        <is>
          <t>ASTM B633 Type V/VI</t>
        </is>
      </c>
      <c r="AD36" s="46" t="n">
        <v>3500</v>
      </c>
      <c r="AE36" s="46" t="inlineStr">
        <is>
          <t>generic SAE table @ dash -12 (governing end)</t>
        </is>
      </c>
      <c r="AF36" s="46" t="n">
        <v>-65</v>
      </c>
      <c r="AG36" s="46" t="n">
        <v>400</v>
      </c>
      <c r="AH36" s="37" t="inlineStr">
        <is>
          <t>Ham-Let + hoseandfittings (pressure); Parker Cat.4300 (material); ASTM B633 (finish); see StandardsData</t>
        </is>
      </c>
    </row>
    <row r="37" ht="15" customHeight="1" s="35">
      <c r="A37" s="37" t="inlineStr">
        <is>
          <t>6400-10-16-O</t>
        </is>
      </c>
      <c r="B37" s="37" t="inlineStr">
        <is>
          <t>6400-10-16-O</t>
        </is>
      </c>
      <c r="C37" s="37" t="inlineStr">
        <is>
          <t>6400</t>
        </is>
      </c>
      <c r="D37" s="37" t="n">
        <v>89</v>
      </c>
      <c r="E37" s="37" t="inlineStr">
        <is>
          <t>Straight</t>
        </is>
      </c>
      <c r="F37" s="37" t="inlineStr">
        <is>
          <t>Straight Thread Connector, 7/8-14 x 1 5/16-12</t>
        </is>
      </c>
      <c r="G37" s="37" t="inlineStr">
        <is>
          <t>1 5/16-12</t>
        </is>
      </c>
      <c r="H37" s="37" t="inlineStr">
        <is>
          <t>7/8-14</t>
        </is>
      </c>
      <c r="I37" s="37" t="n"/>
      <c r="J37" s="37" t="inlineStr">
        <is>
          <t>SAE J1926-3</t>
        </is>
      </c>
      <c r="K37" s="37" t="inlineStr">
        <is>
          <t>SAE J514-1</t>
        </is>
      </c>
      <c r="L37" s="37" t="n">
        <v>1.89</v>
      </c>
      <c r="M37" s="37" t="n">
        <v>1.5</v>
      </c>
      <c r="N37" s="37" t="n">
        <v>0.48</v>
      </c>
      <c r="O37" s="37" t="n">
        <v>0.84</v>
      </c>
      <c r="P37" s="37" t="n"/>
      <c r="Q37" s="37" t="n"/>
      <c r="R37" s="44" t="n"/>
      <c r="S37" s="44" t="n">
        <v>1.5</v>
      </c>
      <c r="T37" s="37" t="n">
        <v>0</v>
      </c>
      <c r="U37" s="37" t="inlineStr">
        <is>
          <t>ASSUMED</t>
        </is>
      </c>
      <c r="V37" s="37" t="inlineStr">
        <is>
          <t>MATCH (source cited: SAE J514-1 070120 / MS51525 / MS39324)</t>
        </is>
      </c>
      <c r="W37" s="37" t="inlineStr">
        <is>
          <t>BUILD</t>
        </is>
      </c>
      <c r="X37" s="37" t="inlineStr">
        <is>
          <t>Hex = Air-Way C4 column (per-part). Matched sizes in this topology corroborate the column.</t>
        </is>
      </c>
      <c r="Z37" s="45" t="inlineStr">
        <is>
          <t>Carbon Steel</t>
        </is>
      </c>
      <c r="AA37" s="45" t="inlineStr">
        <is>
          <t>ASTM A108 12L14</t>
        </is>
      </c>
      <c r="AB37" s="45" t="inlineStr">
        <is>
          <t>Trivalent Cr3 Zinc</t>
        </is>
      </c>
      <c r="AC37" s="45" t="inlineStr">
        <is>
          <t>ASTM B633 Type V/VI</t>
        </is>
      </c>
      <c r="AD37" s="46" t="n">
        <v>3000</v>
      </c>
      <c r="AE37" s="46" t="inlineStr">
        <is>
          <t>generic SAE table @ dash -16 (governing end)</t>
        </is>
      </c>
      <c r="AF37" s="46" t="n">
        <v>-65</v>
      </c>
      <c r="AG37" s="46" t="n">
        <v>400</v>
      </c>
      <c r="AH37" s="37" t="inlineStr">
        <is>
          <t>Ham-Let + hoseandfittings (pressure); Parker Cat.4300 (material); ASTM B633 (finish); see StandardsData</t>
        </is>
      </c>
    </row>
    <row r="38" ht="15" customHeight="1" s="35">
      <c r="A38" s="37" t="inlineStr">
        <is>
          <t>6400-12-06-O</t>
        </is>
      </c>
      <c r="B38" s="37" t="inlineStr">
        <is>
          <t>6400-12-6-O</t>
        </is>
      </c>
      <c r="C38" s="37" t="inlineStr">
        <is>
          <t>6400</t>
        </is>
      </c>
      <c r="D38" s="37" t="n">
        <v>89</v>
      </c>
      <c r="E38" s="37" t="inlineStr">
        <is>
          <t>Straight</t>
        </is>
      </c>
      <c r="F38" s="37" t="inlineStr">
        <is>
          <t>Straight Thread Connector, 1 1/16-12 x 9/16-18</t>
        </is>
      </c>
      <c r="G38" s="37" t="inlineStr">
        <is>
          <t>9/16-18</t>
        </is>
      </c>
      <c r="H38" s="37" t="inlineStr">
        <is>
          <t>1 1/16-12</t>
        </is>
      </c>
      <c r="I38" s="37" t="n"/>
      <c r="J38" s="37" t="inlineStr">
        <is>
          <t>SAE J1926-3</t>
        </is>
      </c>
      <c r="K38" s="37" t="inlineStr">
        <is>
          <t>SAE J514-1</t>
        </is>
      </c>
      <c r="L38" s="37" t="n">
        <v>1.86</v>
      </c>
      <c r="M38" s="37" t="n">
        <v>1.13</v>
      </c>
      <c r="N38" s="37" t="n">
        <v>0.61</v>
      </c>
      <c r="O38" s="37" t="n">
        <v>0.3</v>
      </c>
      <c r="P38" s="37" t="n"/>
      <c r="Q38" s="37" t="n"/>
      <c r="R38" s="44" t="n"/>
      <c r="S38" s="44" t="n">
        <v>1.13</v>
      </c>
      <c r="T38" s="37" t="n">
        <v>0</v>
      </c>
      <c r="U38" s="37" t="inlineStr">
        <is>
          <t>ASSUMED</t>
        </is>
      </c>
      <c r="V38" s="37" t="inlineStr">
        <is>
          <t>MATCH (source cited: SAE J514-1 070120 / MS51525 / MS39324)</t>
        </is>
      </c>
      <c r="W38" s="37" t="inlineStr">
        <is>
          <t>BUILD</t>
        </is>
      </c>
      <c r="X38" s="37" t="inlineStr">
        <is>
          <t>Hex = Air-Way C4 column (per-part). Matched sizes in this topology corroborate the column.</t>
        </is>
      </c>
      <c r="Z38" s="45" t="inlineStr">
        <is>
          <t>Carbon Steel</t>
        </is>
      </c>
      <c r="AA38" s="45" t="inlineStr">
        <is>
          <t>ASTM A108 12L14</t>
        </is>
      </c>
      <c r="AB38" s="45" t="inlineStr">
        <is>
          <t>Trivalent Cr3 Zinc</t>
        </is>
      </c>
      <c r="AC38" s="45" t="inlineStr">
        <is>
          <t>ASTM B633 Type V/VI</t>
        </is>
      </c>
      <c r="AD38" s="46" t="n">
        <v>3500</v>
      </c>
      <c r="AE38" s="46" t="inlineStr">
        <is>
          <t>generic SAE table @ dash -12 (governing end)</t>
        </is>
      </c>
      <c r="AF38" s="46" t="n">
        <v>-65</v>
      </c>
      <c r="AG38" s="46" t="n">
        <v>400</v>
      </c>
      <c r="AH38" s="37" t="inlineStr">
        <is>
          <t>Ham-Let + hoseandfittings (pressure); Parker Cat.4300 (material); ASTM B633 (finish); see StandardsData</t>
        </is>
      </c>
    </row>
    <row r="39" ht="15" customHeight="1" s="35">
      <c r="A39" s="37" t="inlineStr">
        <is>
          <t>6400-12-08-O</t>
        </is>
      </c>
      <c r="B39" s="37" t="inlineStr">
        <is>
          <t>6400-12-8-O</t>
        </is>
      </c>
      <c r="C39" s="37" t="inlineStr">
        <is>
          <t>6400</t>
        </is>
      </c>
      <c r="D39" s="37" t="n">
        <v>89</v>
      </c>
      <c r="E39" s="37" t="inlineStr">
        <is>
          <t>Straight</t>
        </is>
      </c>
      <c r="F39" s="37" t="inlineStr">
        <is>
          <t>Straight Thread Connector, 1 1/16-12 x 3/4-16</t>
        </is>
      </c>
      <c r="G39" s="37" t="inlineStr">
        <is>
          <t>3/4-16</t>
        </is>
      </c>
      <c r="H39" s="37" t="inlineStr">
        <is>
          <t>1 1/16-12</t>
        </is>
      </c>
      <c r="I39" s="37" t="n"/>
      <c r="J39" s="37" t="inlineStr">
        <is>
          <t>SAE J1926-3</t>
        </is>
      </c>
      <c r="K39" s="37" t="inlineStr">
        <is>
          <t>SAE J514-1</t>
        </is>
      </c>
      <c r="L39" s="37" t="n">
        <v>1.94</v>
      </c>
      <c r="M39" s="37" t="n">
        <v>1.13</v>
      </c>
      <c r="N39" s="37" t="n">
        <v>0.61</v>
      </c>
      <c r="O39" s="37" t="n">
        <v>0.39</v>
      </c>
      <c r="P39" s="37" t="n"/>
      <c r="Q39" s="37" t="n"/>
      <c r="R39" s="44" t="n"/>
      <c r="S39" s="44" t="n">
        <v>1.13</v>
      </c>
      <c r="T39" s="37" t="n">
        <v>0</v>
      </c>
      <c r="U39" s="37" t="inlineStr">
        <is>
          <t>ASSUMED</t>
        </is>
      </c>
      <c r="V39" s="37" t="inlineStr">
        <is>
          <t>MATCH (source cited: SAE J514-1 070120 / MS51525 / MS39324)</t>
        </is>
      </c>
      <c r="W39" s="37" t="inlineStr">
        <is>
          <t>BUILD</t>
        </is>
      </c>
      <c r="X39" s="37" t="inlineStr">
        <is>
          <t>Hex = Air-Way C4 column (per-part). Matched sizes in this topology corroborate the column.</t>
        </is>
      </c>
      <c r="Z39" s="45" t="inlineStr">
        <is>
          <t>Carbon Steel</t>
        </is>
      </c>
      <c r="AA39" s="45" t="inlineStr">
        <is>
          <t>ASTM A108 12L14</t>
        </is>
      </c>
      <c r="AB39" s="45" t="inlineStr">
        <is>
          <t>Trivalent Cr3 Zinc</t>
        </is>
      </c>
      <c r="AC39" s="45" t="inlineStr">
        <is>
          <t>ASTM B633 Type V/VI</t>
        </is>
      </c>
      <c r="AD39" s="46" t="n">
        <v>3500</v>
      </c>
      <c r="AE39" s="46" t="inlineStr">
        <is>
          <t>generic SAE table @ dash -12 (governing end)</t>
        </is>
      </c>
      <c r="AF39" s="46" t="n">
        <v>-65</v>
      </c>
      <c r="AG39" s="46" t="n">
        <v>400</v>
      </c>
      <c r="AH39" s="37" t="inlineStr">
        <is>
          <t>Ham-Let + hoseandfittings (pressure); Parker Cat.4300 (material); ASTM B633 (finish); see StandardsData</t>
        </is>
      </c>
    </row>
    <row r="40" ht="15" customHeight="1" s="35">
      <c r="A40" s="37" t="inlineStr">
        <is>
          <t>6400-12-10-O</t>
        </is>
      </c>
      <c r="B40" s="37" t="inlineStr">
        <is>
          <t>6400-12-10-O</t>
        </is>
      </c>
      <c r="C40" s="37" t="inlineStr">
        <is>
          <t>6400</t>
        </is>
      </c>
      <c r="D40" s="37" t="n">
        <v>89</v>
      </c>
      <c r="E40" s="37" t="inlineStr">
        <is>
          <t>Straight</t>
        </is>
      </c>
      <c r="F40" s="37" t="inlineStr">
        <is>
          <t>Straight Thread Connector, 1 1/16-12 x 7/8-14</t>
        </is>
      </c>
      <c r="G40" s="37" t="inlineStr">
        <is>
          <t>7/8-14</t>
        </is>
      </c>
      <c r="H40" s="37" t="inlineStr">
        <is>
          <t>1 1/16-12</t>
        </is>
      </c>
      <c r="I40" s="37" t="n"/>
      <c r="J40" s="37" t="inlineStr">
        <is>
          <t>SAE J1926-3</t>
        </is>
      </c>
      <c r="K40" s="37" t="inlineStr">
        <is>
          <t>SAE J514-1</t>
        </is>
      </c>
      <c r="L40" s="37" t="n">
        <v>1.88</v>
      </c>
      <c r="M40" s="37" t="n">
        <v>1.13</v>
      </c>
      <c r="N40" s="37" t="n">
        <v>0.61</v>
      </c>
      <c r="O40" s="37" t="n">
        <v>0.48</v>
      </c>
      <c r="P40" s="37" t="n"/>
      <c r="Q40" s="37" t="n"/>
      <c r="R40" s="44" t="n"/>
      <c r="S40" s="44" t="n">
        <v>1.13</v>
      </c>
      <c r="T40" s="37" t="n">
        <v>0</v>
      </c>
      <c r="U40" s="37" t="inlineStr">
        <is>
          <t>ASSUMED</t>
        </is>
      </c>
      <c r="V40" s="37" t="inlineStr">
        <is>
          <t>MATCH (source cited: SAE J514-1 070120 / MS51525 / MS39324)</t>
        </is>
      </c>
      <c r="W40" s="37" t="inlineStr">
        <is>
          <t>BUILD</t>
        </is>
      </c>
      <c r="X40" s="37" t="inlineStr">
        <is>
          <t>Hex = Air-Way C4 column (per-part). Matched sizes in this topology corroborate the column.</t>
        </is>
      </c>
      <c r="Z40" s="45" t="inlineStr">
        <is>
          <t>Carbon Steel</t>
        </is>
      </c>
      <c r="AA40" s="45" t="inlineStr">
        <is>
          <t>ASTM A108 12L14</t>
        </is>
      </c>
      <c r="AB40" s="45" t="inlineStr">
        <is>
          <t>Trivalent Cr3 Zinc</t>
        </is>
      </c>
      <c r="AC40" s="45" t="inlineStr">
        <is>
          <t>ASTM B633 Type V/VI</t>
        </is>
      </c>
      <c r="AD40" s="46" t="n">
        <v>3500</v>
      </c>
      <c r="AE40" s="46" t="inlineStr">
        <is>
          <t>generic SAE table @ dash -12 (governing end)</t>
        </is>
      </c>
      <c r="AF40" s="46" t="n">
        <v>-65</v>
      </c>
      <c r="AG40" s="46" t="n">
        <v>400</v>
      </c>
      <c r="AH40" s="37" t="inlineStr">
        <is>
          <t>Ham-Let + hoseandfittings (pressure); Parker Cat.4300 (material); ASTM B633 (finish); see StandardsData</t>
        </is>
      </c>
    </row>
    <row r="41" ht="15" customHeight="1" s="35">
      <c r="A41" s="37" t="inlineStr">
        <is>
          <t>6400-12-12-O</t>
        </is>
      </c>
      <c r="B41" s="37" t="inlineStr">
        <is>
          <t>6400-12-12-O</t>
        </is>
      </c>
      <c r="C41" s="37" t="inlineStr">
        <is>
          <t>6400</t>
        </is>
      </c>
      <c r="D41" s="37" t="n">
        <v>89</v>
      </c>
      <c r="E41" s="37" t="inlineStr">
        <is>
          <t>Straight</t>
        </is>
      </c>
      <c r="F41" s="37" t="inlineStr">
        <is>
          <t>Straight Thread Connector, 1 1/16-12 x 1 1/16-12</t>
        </is>
      </c>
      <c r="G41" s="37" t="inlineStr">
        <is>
          <t>1 1/16-12</t>
        </is>
      </c>
      <c r="H41" s="37" t="inlineStr">
        <is>
          <t>1 1/16-12</t>
        </is>
      </c>
      <c r="I41" s="37" t="n"/>
      <c r="J41" s="37" t="inlineStr">
        <is>
          <t>SAE J1926-3</t>
        </is>
      </c>
      <c r="K41" s="37" t="inlineStr">
        <is>
          <t>SAE J514-1</t>
        </is>
      </c>
      <c r="L41" s="37" t="n">
        <v>1.97</v>
      </c>
      <c r="M41" s="37" t="n">
        <v>1.25</v>
      </c>
      <c r="N41" s="37" t="n">
        <v>0.61</v>
      </c>
      <c r="O41" s="37" t="n">
        <v>0.61</v>
      </c>
      <c r="P41" s="37" t="n"/>
      <c r="Q41" s="37" t="n"/>
      <c r="R41" s="44" t="n"/>
      <c r="S41" s="45" t="n">
        <v>1.25</v>
      </c>
      <c r="T41" s="37" t="n">
        <v>0</v>
      </c>
      <c r="U41" s="37" t="inlineStr">
        <is>
          <t>VERIFIED</t>
        </is>
      </c>
      <c r="V41" s="37" t="inlineStr">
        <is>
          <t>MATCH (source cited: SAE J514-1 070120 / MS51525 / MS39324)</t>
        </is>
      </c>
      <c r="W41" s="37" t="inlineStr">
        <is>
          <t>BUILD</t>
        </is>
      </c>
      <c r="X41" s="37" t="inlineStr">
        <is>
          <t>Hex = Air-Way C4 column, CONFIRMED vs PressureConnections/Purvis.</t>
        </is>
      </c>
      <c r="Z41" s="45" t="inlineStr">
        <is>
          <t>Carbon Steel</t>
        </is>
      </c>
      <c r="AA41" s="45" t="inlineStr">
        <is>
          <t>ASTM A108 12L14</t>
        </is>
      </c>
      <c r="AB41" s="45" t="inlineStr">
        <is>
          <t>Trivalent Cr3 Zinc</t>
        </is>
      </c>
      <c r="AC41" s="45" t="inlineStr">
        <is>
          <t>ASTM B633 Type V/VI</t>
        </is>
      </c>
      <c r="AD41" s="46" t="n">
        <v>3500</v>
      </c>
      <c r="AE41" s="46" t="inlineStr">
        <is>
          <t>generic SAE table @ dash -12 (governing end)</t>
        </is>
      </c>
      <c r="AF41" s="46" t="n">
        <v>-65</v>
      </c>
      <c r="AG41" s="46" t="n">
        <v>400</v>
      </c>
      <c r="AH41" s="37" t="inlineStr">
        <is>
          <t>Ham-Let + hoseandfittings (pressure); Parker Cat.4300 (material); ASTM B633 (finish); see StandardsData</t>
        </is>
      </c>
    </row>
    <row r="42" ht="15" customHeight="1" s="35">
      <c r="A42" s="37" t="inlineStr">
        <is>
          <t>6400-12-14-O</t>
        </is>
      </c>
      <c r="B42" s="37" t="inlineStr">
        <is>
          <t>6400-12-14-O</t>
        </is>
      </c>
      <c r="C42" s="37" t="inlineStr">
        <is>
          <t>6400</t>
        </is>
      </c>
      <c r="D42" s="37" t="n">
        <v>89</v>
      </c>
      <c r="E42" s="37" t="inlineStr">
        <is>
          <t>Straight</t>
        </is>
      </c>
      <c r="F42" s="37" t="inlineStr">
        <is>
          <t>Straight Thread Connector, 1 1/16-12 x 1 3/16-12</t>
        </is>
      </c>
      <c r="G42" s="37" t="inlineStr">
        <is>
          <t>1 3/16-12</t>
        </is>
      </c>
      <c r="H42" s="37" t="inlineStr">
        <is>
          <t>1 1/16-12</t>
        </is>
      </c>
      <c r="I42" s="37" t="n"/>
      <c r="J42" s="37" t="inlineStr">
        <is>
          <t>SAE J1926-3</t>
        </is>
      </c>
      <c r="K42" s="37" t="inlineStr">
        <is>
          <t>SAE J514-1</t>
        </is>
      </c>
      <c r="L42" s="37" t="n">
        <v>1.96</v>
      </c>
      <c r="M42" s="37" t="n">
        <v>1.38</v>
      </c>
      <c r="N42" s="37" t="n">
        <v>0.61</v>
      </c>
      <c r="O42" s="37" t="n">
        <v>0.72</v>
      </c>
      <c r="P42" s="37" t="n"/>
      <c r="Q42" s="37" t="n"/>
      <c r="R42" s="44" t="n"/>
      <c r="S42" s="44" t="n">
        <v>1.38</v>
      </c>
      <c r="T42" s="37" t="n">
        <v>0</v>
      </c>
      <c r="U42" s="37" t="inlineStr">
        <is>
          <t>ASSUMED</t>
        </is>
      </c>
      <c r="V42" s="37" t="inlineStr">
        <is>
          <t>MATCH (source cited: SAE J514-1 070120 / MS51525 / MS39324)</t>
        </is>
      </c>
      <c r="W42" s="37" t="inlineStr">
        <is>
          <t>BUILD</t>
        </is>
      </c>
      <c r="X42" s="37" t="inlineStr">
        <is>
          <t>Hex = Air-Way C4 column (per-part). Matched sizes in this topology corroborate the column.</t>
        </is>
      </c>
      <c r="Z42" s="45" t="inlineStr">
        <is>
          <t>Carbon Steel</t>
        </is>
      </c>
      <c r="AA42" s="45" t="inlineStr">
        <is>
          <t>ASTM A108 12L14</t>
        </is>
      </c>
      <c r="AB42" s="45" t="inlineStr">
        <is>
          <t>Trivalent Cr3 Zinc</t>
        </is>
      </c>
      <c r="AC42" s="45" t="inlineStr">
        <is>
          <t>ASTM B633 Type V/VI</t>
        </is>
      </c>
      <c r="AD42" s="46" t="n">
        <v>3000</v>
      </c>
      <c r="AE42" s="46" t="inlineStr">
        <is>
          <t>generic SAE table @ dash -14 (governing end)</t>
        </is>
      </c>
      <c r="AF42" s="46" t="n">
        <v>-65</v>
      </c>
      <c r="AG42" s="46" t="n">
        <v>400</v>
      </c>
      <c r="AH42" s="37" t="inlineStr">
        <is>
          <t>Ham-Let + hoseandfittings (pressure); Parker Cat.4300 (material); ASTM B633 (finish); see StandardsData</t>
        </is>
      </c>
    </row>
    <row r="43" ht="15" customHeight="1" s="35">
      <c r="A43" s="37" t="inlineStr">
        <is>
          <t>6400-12-16-O</t>
        </is>
      </c>
      <c r="B43" s="37" t="inlineStr">
        <is>
          <t>6400-12-16-O</t>
        </is>
      </c>
      <c r="C43" s="37" t="inlineStr">
        <is>
          <t>6400</t>
        </is>
      </c>
      <c r="D43" s="37" t="n">
        <v>89</v>
      </c>
      <c r="E43" s="37" t="inlineStr">
        <is>
          <t>Straight</t>
        </is>
      </c>
      <c r="F43" s="37" t="inlineStr">
        <is>
          <t>Straight Thread Connector, 1 1/16-12 x 1 5/16-12</t>
        </is>
      </c>
      <c r="G43" s="37" t="inlineStr">
        <is>
          <t>1 5/16-12</t>
        </is>
      </c>
      <c r="H43" s="37" t="inlineStr">
        <is>
          <t>1 1/16-12</t>
        </is>
      </c>
      <c r="I43" s="37" t="n"/>
      <c r="J43" s="37" t="inlineStr">
        <is>
          <t>SAE J1926-3</t>
        </is>
      </c>
      <c r="K43" s="37" t="inlineStr">
        <is>
          <t>SAE J514-1</t>
        </is>
      </c>
      <c r="L43" s="37" t="n">
        <v>1.99</v>
      </c>
      <c r="M43" s="37" t="n">
        <v>1.5</v>
      </c>
      <c r="N43" s="37" t="n">
        <v>0.61</v>
      </c>
      <c r="O43" s="37" t="n">
        <v>0.84</v>
      </c>
      <c r="P43" s="37" t="n"/>
      <c r="Q43" s="37" t="n"/>
      <c r="R43" s="44" t="n"/>
      <c r="S43" s="44" t="n">
        <v>1.5</v>
      </c>
      <c r="T43" s="37" t="n">
        <v>0</v>
      </c>
      <c r="U43" s="37" t="inlineStr">
        <is>
          <t>ASSUMED</t>
        </is>
      </c>
      <c r="V43" s="37" t="inlineStr">
        <is>
          <t>MATCH (source cited: SAE J514-1 070120 / MS51525 / MS39324)</t>
        </is>
      </c>
      <c r="W43" s="37" t="inlineStr">
        <is>
          <t>BUILD</t>
        </is>
      </c>
      <c r="X43" s="37" t="inlineStr">
        <is>
          <t>Hex = Air-Way C4 column (per-part). Matched sizes in this topology corroborate the column.</t>
        </is>
      </c>
      <c r="Z43" s="45" t="inlineStr">
        <is>
          <t>Carbon Steel</t>
        </is>
      </c>
      <c r="AA43" s="45" t="inlineStr">
        <is>
          <t>ASTM A108 12L14</t>
        </is>
      </c>
      <c r="AB43" s="45" t="inlineStr">
        <is>
          <t>Trivalent Cr3 Zinc</t>
        </is>
      </c>
      <c r="AC43" s="45" t="inlineStr">
        <is>
          <t>ASTM B633 Type V/VI</t>
        </is>
      </c>
      <c r="AD43" s="46" t="n">
        <v>3000</v>
      </c>
      <c r="AE43" s="46" t="inlineStr">
        <is>
          <t>generic SAE table @ dash -16 (governing end)</t>
        </is>
      </c>
      <c r="AF43" s="46" t="n">
        <v>-65</v>
      </c>
      <c r="AG43" s="46" t="n">
        <v>400</v>
      </c>
      <c r="AH43" s="37" t="inlineStr">
        <is>
          <t>Ham-Let + hoseandfittings (pressure); Parker Cat.4300 (material); ASTM B633 (finish); see StandardsData</t>
        </is>
      </c>
    </row>
    <row r="44" ht="15" customHeight="1" s="35">
      <c r="A44" s="37" t="inlineStr">
        <is>
          <t>6400-12-20-O</t>
        </is>
      </c>
      <c r="B44" s="37" t="inlineStr">
        <is>
          <t>6400-12-20-O</t>
        </is>
      </c>
      <c r="C44" s="37" t="inlineStr">
        <is>
          <t>6400</t>
        </is>
      </c>
      <c r="D44" s="37" t="n">
        <v>89</v>
      </c>
      <c r="E44" s="37" t="inlineStr">
        <is>
          <t>Straight</t>
        </is>
      </c>
      <c r="F44" s="37" t="inlineStr">
        <is>
          <t>Straight Thread Connector, 1 1/16-12 x 1 5/8-12</t>
        </is>
      </c>
      <c r="G44" s="37" t="inlineStr">
        <is>
          <t>1 5/8-12</t>
        </is>
      </c>
      <c r="H44" s="37" t="inlineStr">
        <is>
          <t>1 1/16-12</t>
        </is>
      </c>
      <c r="I44" s="37" t="n"/>
      <c r="J44" s="37" t="inlineStr">
        <is>
          <t>SAE J1926-3</t>
        </is>
      </c>
      <c r="K44" s="37" t="inlineStr">
        <is>
          <t>SAE J514-1</t>
        </is>
      </c>
      <c r="L44" s="37" t="n">
        <v>2.08</v>
      </c>
      <c r="M44" s="37" t="n">
        <v>1.88</v>
      </c>
      <c r="N44" s="37" t="n">
        <v>0.61</v>
      </c>
      <c r="O44" s="37" t="n">
        <v>1.08</v>
      </c>
      <c r="P44" s="37" t="n"/>
      <c r="Q44" s="37" t="n"/>
      <c r="R44" s="44" t="n"/>
      <c r="S44" s="44" t="n">
        <v>1.88</v>
      </c>
      <c r="T44" s="37" t="n">
        <v>0</v>
      </c>
      <c r="U44" s="37" t="inlineStr">
        <is>
          <t>ASSUMED</t>
        </is>
      </c>
      <c r="V44" s="37" t="inlineStr">
        <is>
          <t>MATCH (source cited: SAE J514-1 070120 / MS51525 / MS39324)</t>
        </is>
      </c>
      <c r="W44" s="37" t="inlineStr">
        <is>
          <t>BUILD</t>
        </is>
      </c>
      <c r="X44" s="37" t="inlineStr">
        <is>
          <t>Hex = Air-Way C4 column (per-part). Matched sizes in this topology corroborate the column.</t>
        </is>
      </c>
      <c r="Z44" s="45" t="inlineStr">
        <is>
          <t>Carbon Steel</t>
        </is>
      </c>
      <c r="AA44" s="45" t="inlineStr">
        <is>
          <t>ASTM A108 12L14</t>
        </is>
      </c>
      <c r="AB44" s="45" t="inlineStr">
        <is>
          <t>Trivalent Cr3 Zinc</t>
        </is>
      </c>
      <c r="AC44" s="45" t="inlineStr">
        <is>
          <t>ASTM B633 Type V/VI</t>
        </is>
      </c>
      <c r="AD44" s="46" t="n">
        <v>2500</v>
      </c>
      <c r="AE44" s="46" t="inlineStr">
        <is>
          <t>generic SAE table @ dash -20 (governing end)</t>
        </is>
      </c>
      <c r="AF44" s="46" t="n">
        <v>-65</v>
      </c>
      <c r="AG44" s="46" t="n">
        <v>400</v>
      </c>
      <c r="AH44" s="37" t="inlineStr">
        <is>
          <t>Ham-Let + hoseandfittings (pressure); Parker Cat.4300 (material); ASTM B633 (finish); see StandardsData</t>
        </is>
      </c>
    </row>
    <row r="45" ht="15" customHeight="1" s="35">
      <c r="A45" s="37" t="inlineStr">
        <is>
          <t>6400-12-24-O</t>
        </is>
      </c>
      <c r="B45" s="37" t="inlineStr">
        <is>
          <t>6400-12-24-O</t>
        </is>
      </c>
      <c r="C45" s="37" t="inlineStr">
        <is>
          <t>6400</t>
        </is>
      </c>
      <c r="D45" s="37" t="n">
        <v>89</v>
      </c>
      <c r="E45" s="37" t="inlineStr">
        <is>
          <t>Straight</t>
        </is>
      </c>
      <c r="F45" s="37" t="inlineStr">
        <is>
          <t>Straight Thread Connector, 1 1/16-12 x 1 7/8-12</t>
        </is>
      </c>
      <c r="G45" s="37" t="inlineStr">
        <is>
          <t>1 7/8-12</t>
        </is>
      </c>
      <c r="H45" s="37" t="inlineStr">
        <is>
          <t>1 1/16-12</t>
        </is>
      </c>
      <c r="I45" s="37" t="n"/>
      <c r="J45" s="37" t="inlineStr">
        <is>
          <t>SAE J1926-3</t>
        </is>
      </c>
      <c r="K45" s="37" t="inlineStr">
        <is>
          <t>SAE J514-1</t>
        </is>
      </c>
      <c r="L45" s="37" t="n">
        <v>2.15</v>
      </c>
      <c r="M45" s="37" t="n">
        <v>2.13</v>
      </c>
      <c r="N45" s="37" t="n">
        <v>0.61</v>
      </c>
      <c r="O45" s="37" t="n">
        <v>1.31</v>
      </c>
      <c r="P45" s="37" t="n"/>
      <c r="Q45" s="37" t="n"/>
      <c r="R45" s="44" t="n"/>
      <c r="S45" s="44" t="n">
        <v>2.13</v>
      </c>
      <c r="T45" s="37" t="n">
        <v>0</v>
      </c>
      <c r="U45" s="37" t="inlineStr">
        <is>
          <t>ASSUMED</t>
        </is>
      </c>
      <c r="V45" s="37" t="inlineStr">
        <is>
          <t>MATCH (source cited: SAE J514-1 070120 / MS51525 / MS39324)</t>
        </is>
      </c>
      <c r="W45" s="37" t="inlineStr">
        <is>
          <t>BUILD</t>
        </is>
      </c>
      <c r="X45" s="37" t="inlineStr">
        <is>
          <t>Hex = Air-Way C4 column (per-part). Matched sizes in this topology corroborate the column.</t>
        </is>
      </c>
      <c r="Z45" s="45" t="inlineStr">
        <is>
          <t>Carbon Steel</t>
        </is>
      </c>
      <c r="AA45" s="45" t="inlineStr">
        <is>
          <t>ASTM A108 12L14</t>
        </is>
      </c>
      <c r="AB45" s="45" t="inlineStr">
        <is>
          <t>Trivalent Cr3 Zinc</t>
        </is>
      </c>
      <c r="AC45" s="45" t="inlineStr">
        <is>
          <t>ASTM B633 Type V/VI</t>
        </is>
      </c>
      <c r="AD45" s="46" t="n">
        <v>2000</v>
      </c>
      <c r="AE45" s="46" t="inlineStr">
        <is>
          <t>generic SAE table @ dash -24 (governing end)</t>
        </is>
      </c>
      <c r="AF45" s="46" t="n">
        <v>-65</v>
      </c>
      <c r="AG45" s="46" t="n">
        <v>400</v>
      </c>
      <c r="AH45" s="37" t="inlineStr">
        <is>
          <t>Ham-Let + hoseandfittings (pressure); Parker Cat.4300 (material); ASTM B633 (finish); see StandardsData</t>
        </is>
      </c>
    </row>
    <row r="46" ht="15" customHeight="1" s="35">
      <c r="A46" s="37" t="inlineStr">
        <is>
          <t>6400-14-12-O</t>
        </is>
      </c>
      <c r="B46" s="37" t="inlineStr">
        <is>
          <t>6400-14-12-O</t>
        </is>
      </c>
      <c r="C46" s="37" t="inlineStr">
        <is>
          <t>6400</t>
        </is>
      </c>
      <c r="D46" s="37" t="n">
        <v>89</v>
      </c>
      <c r="E46" s="37" t="inlineStr">
        <is>
          <t>Straight</t>
        </is>
      </c>
      <c r="F46" s="37" t="inlineStr">
        <is>
          <t>Straight Thread Connector, 1 3/16-12 x 1 1/16-12</t>
        </is>
      </c>
      <c r="G46" s="37" t="inlineStr">
        <is>
          <t>1 1/16-12</t>
        </is>
      </c>
      <c r="H46" s="37" t="inlineStr">
        <is>
          <t>1 3/16-12</t>
        </is>
      </c>
      <c r="I46" s="37" t="n"/>
      <c r="J46" s="37" t="inlineStr">
        <is>
          <t>SAE J1926-3</t>
        </is>
      </c>
      <c r="K46" s="37" t="inlineStr">
        <is>
          <t>SAE J514-1</t>
        </is>
      </c>
      <c r="L46" s="37" t="n">
        <v>1.99</v>
      </c>
      <c r="M46" s="37" t="n">
        <v>1.25</v>
      </c>
      <c r="N46" s="37" t="n">
        <v>0.72</v>
      </c>
      <c r="O46" s="37" t="n">
        <v>0.61</v>
      </c>
      <c r="P46" s="37" t="n"/>
      <c r="Q46" s="37" t="n"/>
      <c r="R46" s="44" t="n"/>
      <c r="S46" s="44" t="n">
        <v>1.25</v>
      </c>
      <c r="T46" s="37" t="n">
        <v>0</v>
      </c>
      <c r="U46" s="37" t="inlineStr">
        <is>
          <t>ASSUMED</t>
        </is>
      </c>
      <c r="V46" s="37" t="inlineStr">
        <is>
          <t>MATCH (source cited: SAE J514-1 070120 / MS51525 / MS39324)</t>
        </is>
      </c>
      <c r="W46" s="37" t="inlineStr">
        <is>
          <t>BUILD</t>
        </is>
      </c>
      <c r="X46" s="37" t="inlineStr">
        <is>
          <t>Hex = Air-Way C4 column (per-part). Matched sizes in this topology corroborate the column.</t>
        </is>
      </c>
      <c r="Z46" s="45" t="inlineStr">
        <is>
          <t>Carbon Steel</t>
        </is>
      </c>
      <c r="AA46" s="45" t="inlineStr">
        <is>
          <t>ASTM A108 12L14</t>
        </is>
      </c>
      <c r="AB46" s="45" t="inlineStr">
        <is>
          <t>Trivalent Cr3 Zinc</t>
        </is>
      </c>
      <c r="AC46" s="45" t="inlineStr">
        <is>
          <t>ASTM B633 Type V/VI</t>
        </is>
      </c>
      <c r="AD46" s="46" t="n">
        <v>3000</v>
      </c>
      <c r="AE46" s="46" t="inlineStr">
        <is>
          <t>generic SAE table @ dash -14 (governing end)</t>
        </is>
      </c>
      <c r="AF46" s="46" t="n">
        <v>-65</v>
      </c>
      <c r="AG46" s="46" t="n">
        <v>400</v>
      </c>
      <c r="AH46" s="37" t="inlineStr">
        <is>
          <t>Ham-Let + hoseandfittings (pressure); Parker Cat.4300 (material); ASTM B633 (finish); see StandardsData</t>
        </is>
      </c>
    </row>
    <row r="47" ht="15" customHeight="1" s="35">
      <c r="A47" s="37" t="inlineStr">
        <is>
          <t>6400-14-14-O</t>
        </is>
      </c>
      <c r="B47" s="37" t="inlineStr">
        <is>
          <t>6400-14-14-O</t>
        </is>
      </c>
      <c r="C47" s="37" t="inlineStr">
        <is>
          <t>6400</t>
        </is>
      </c>
      <c r="D47" s="37" t="n">
        <v>89</v>
      </c>
      <c r="E47" s="37" t="inlineStr">
        <is>
          <t>Straight</t>
        </is>
      </c>
      <c r="F47" s="37" t="inlineStr">
        <is>
          <t>Straight Thread Connector, 1 3/16-12 x 1 3/16-12</t>
        </is>
      </c>
      <c r="G47" s="37" t="inlineStr">
        <is>
          <t>1 3/16-12</t>
        </is>
      </c>
      <c r="H47" s="37" t="inlineStr">
        <is>
          <t>1 3/16-12</t>
        </is>
      </c>
      <c r="I47" s="37" t="n"/>
      <c r="J47" s="37" t="inlineStr">
        <is>
          <t>SAE J1926-3</t>
        </is>
      </c>
      <c r="K47" s="37" t="inlineStr">
        <is>
          <t>SAE J514-1</t>
        </is>
      </c>
      <c r="L47" s="37" t="n">
        <v>1.99</v>
      </c>
      <c r="M47" s="37" t="n">
        <v>1.38</v>
      </c>
      <c r="N47" s="37" t="n">
        <v>0.72</v>
      </c>
      <c r="O47" s="37" t="n">
        <v>0.72</v>
      </c>
      <c r="P47" s="37" t="n"/>
      <c r="Q47" s="37" t="n"/>
      <c r="R47" s="44" t="n"/>
      <c r="S47" s="44" t="n">
        <v>1.38</v>
      </c>
      <c r="T47" s="37" t="n">
        <v>0</v>
      </c>
      <c r="U47" s="37" t="inlineStr">
        <is>
          <t>ASSUMED</t>
        </is>
      </c>
      <c r="V47" s="37" t="inlineStr">
        <is>
          <t>MATCH (source cited: SAE J514-1 070120 / MS51525 / MS39324)</t>
        </is>
      </c>
      <c r="W47" s="37" t="inlineStr">
        <is>
          <t>BUILD</t>
        </is>
      </c>
      <c r="X47" s="37" t="inlineStr">
        <is>
          <t>Hex = Air-Way C4 column (per-part). Matched sizes in this topology corroborate the column.</t>
        </is>
      </c>
      <c r="Z47" s="45" t="inlineStr">
        <is>
          <t>Carbon Steel</t>
        </is>
      </c>
      <c r="AA47" s="45" t="inlineStr">
        <is>
          <t>ASTM A108 12L14</t>
        </is>
      </c>
      <c r="AB47" s="45" t="inlineStr">
        <is>
          <t>Trivalent Cr3 Zinc</t>
        </is>
      </c>
      <c r="AC47" s="45" t="inlineStr">
        <is>
          <t>ASTM B633 Type V/VI</t>
        </is>
      </c>
      <c r="AD47" s="46" t="n">
        <v>3000</v>
      </c>
      <c r="AE47" s="46" t="inlineStr">
        <is>
          <t>generic SAE table @ dash -14 (governing end)</t>
        </is>
      </c>
      <c r="AF47" s="46" t="n">
        <v>-65</v>
      </c>
      <c r="AG47" s="46" t="n">
        <v>400</v>
      </c>
      <c r="AH47" s="37" t="inlineStr">
        <is>
          <t>Ham-Let + hoseandfittings (pressure); Parker Cat.4300 (material); ASTM B633 (finish); see StandardsData</t>
        </is>
      </c>
    </row>
    <row r="48" ht="15" customHeight="1" s="35">
      <c r="A48" s="37" t="inlineStr">
        <is>
          <t>6400-14-16-O</t>
        </is>
      </c>
      <c r="B48" s="37" t="inlineStr">
        <is>
          <t>6400-14-16-O</t>
        </is>
      </c>
      <c r="C48" s="37" t="inlineStr">
        <is>
          <t>6400</t>
        </is>
      </c>
      <c r="D48" s="37" t="n">
        <v>89</v>
      </c>
      <c r="E48" s="37" t="inlineStr">
        <is>
          <t>Straight</t>
        </is>
      </c>
      <c r="F48" s="37" t="inlineStr">
        <is>
          <t>Straight Thread Connector, 1 3/16-12 x 1 5/16-12</t>
        </is>
      </c>
      <c r="G48" s="37" t="inlineStr">
        <is>
          <t>1 5/16-12</t>
        </is>
      </c>
      <c r="H48" s="37" t="inlineStr">
        <is>
          <t>1 3/16-12</t>
        </is>
      </c>
      <c r="I48" s="37" t="n"/>
      <c r="J48" s="37" t="inlineStr">
        <is>
          <t>SAE J1926-3</t>
        </is>
      </c>
      <c r="K48" s="37" t="inlineStr">
        <is>
          <t>SAE J514-1</t>
        </is>
      </c>
      <c r="L48" s="37" t="n">
        <v>2.02</v>
      </c>
      <c r="M48" s="37" t="n">
        <v>1.5</v>
      </c>
      <c r="N48" s="37" t="n">
        <v>0.72</v>
      </c>
      <c r="O48" s="37" t="n">
        <v>0.84</v>
      </c>
      <c r="P48" s="37" t="n"/>
      <c r="Q48" s="37" t="n"/>
      <c r="R48" s="44" t="n"/>
      <c r="S48" s="44" t="n">
        <v>1.5</v>
      </c>
      <c r="T48" s="37" t="n">
        <v>0</v>
      </c>
      <c r="U48" s="37" t="inlineStr">
        <is>
          <t>ASSUMED</t>
        </is>
      </c>
      <c r="V48" s="37" t="inlineStr">
        <is>
          <t>MATCH (source cited: SAE J514-1 070120 / MS51525 / MS39324)</t>
        </is>
      </c>
      <c r="W48" s="37" t="inlineStr">
        <is>
          <t>BUILD</t>
        </is>
      </c>
      <c r="X48" s="37" t="inlineStr">
        <is>
          <t>Hex = Air-Way C4 column (per-part). Matched sizes in this topology corroborate the column.</t>
        </is>
      </c>
      <c r="Z48" s="45" t="inlineStr">
        <is>
          <t>Carbon Steel</t>
        </is>
      </c>
      <c r="AA48" s="45" t="inlineStr">
        <is>
          <t>ASTM A108 12L14</t>
        </is>
      </c>
      <c r="AB48" s="45" t="inlineStr">
        <is>
          <t>Trivalent Cr3 Zinc</t>
        </is>
      </c>
      <c r="AC48" s="45" t="inlineStr">
        <is>
          <t>ASTM B633 Type V/VI</t>
        </is>
      </c>
      <c r="AD48" s="46" t="n">
        <v>3000</v>
      </c>
      <c r="AE48" s="46" t="inlineStr">
        <is>
          <t>generic SAE table @ dash -16 (governing end)</t>
        </is>
      </c>
      <c r="AF48" s="46" t="n">
        <v>-65</v>
      </c>
      <c r="AG48" s="46" t="n">
        <v>400</v>
      </c>
      <c r="AH48" s="37" t="inlineStr">
        <is>
          <t>Ham-Let + hoseandfittings (pressure); Parker Cat.4300 (material); ASTM B633 (finish); see StandardsData</t>
        </is>
      </c>
    </row>
    <row r="49" ht="15" customHeight="1" s="35">
      <c r="A49" s="37" t="inlineStr">
        <is>
          <t>6400-16-08-O</t>
        </is>
      </c>
      <c r="B49" s="37" t="inlineStr">
        <is>
          <t>6400-16-8-O</t>
        </is>
      </c>
      <c r="C49" s="37" t="inlineStr">
        <is>
          <t>6400</t>
        </is>
      </c>
      <c r="D49" s="37" t="n">
        <v>89</v>
      </c>
      <c r="E49" s="37" t="inlineStr">
        <is>
          <t>Straight</t>
        </is>
      </c>
      <c r="F49" s="37" t="inlineStr">
        <is>
          <t>Straight Thread Connector, 1 5/16-12 x 3/4-16</t>
        </is>
      </c>
      <c r="G49" s="37" t="inlineStr">
        <is>
          <t>3/4-16</t>
        </is>
      </c>
      <c r="H49" s="37" t="inlineStr">
        <is>
          <t>1 5/16-12</t>
        </is>
      </c>
      <c r="I49" s="37" t="n"/>
      <c r="J49" s="37" t="inlineStr">
        <is>
          <t>SAE J1926-3</t>
        </is>
      </c>
      <c r="K49" s="37" t="inlineStr">
        <is>
          <t>SAE J514-1</t>
        </is>
      </c>
      <c r="L49" s="37" t="n">
        <v>2.01</v>
      </c>
      <c r="M49" s="37" t="n">
        <v>1.38</v>
      </c>
      <c r="N49" s="37" t="n">
        <v>0.84</v>
      </c>
      <c r="O49" s="37" t="n">
        <v>0.39</v>
      </c>
      <c r="P49" s="37" t="n"/>
      <c r="Q49" s="37" t="n"/>
      <c r="R49" s="44" t="n"/>
      <c r="S49" s="44" t="n">
        <v>1.38</v>
      </c>
      <c r="T49" s="37" t="n">
        <v>0</v>
      </c>
      <c r="U49" s="37" t="inlineStr">
        <is>
          <t>ASSUMED</t>
        </is>
      </c>
      <c r="V49" s="37" t="inlineStr">
        <is>
          <t>MATCH (source cited: SAE J514-1 070120 / MS51525 / MS39324)</t>
        </is>
      </c>
      <c r="W49" s="37" t="inlineStr">
        <is>
          <t>BUILD</t>
        </is>
      </c>
      <c r="X49" s="37" t="inlineStr">
        <is>
          <t>Hex = Air-Way C4 column (per-part). Matched sizes in this topology corroborate the column.</t>
        </is>
      </c>
      <c r="Z49" s="45" t="inlineStr">
        <is>
          <t>Carbon Steel</t>
        </is>
      </c>
      <c r="AA49" s="45" t="inlineStr">
        <is>
          <t>ASTM A108 12L14</t>
        </is>
      </c>
      <c r="AB49" s="45" t="inlineStr">
        <is>
          <t>Trivalent Cr3 Zinc</t>
        </is>
      </c>
      <c r="AC49" s="45" t="inlineStr">
        <is>
          <t>ASTM B633 Type V/VI</t>
        </is>
      </c>
      <c r="AD49" s="46" t="n">
        <v>3000</v>
      </c>
      <c r="AE49" s="46" t="inlineStr">
        <is>
          <t>generic SAE table @ dash -16 (governing end)</t>
        </is>
      </c>
      <c r="AF49" s="46" t="n">
        <v>-65</v>
      </c>
      <c r="AG49" s="46" t="n">
        <v>400</v>
      </c>
      <c r="AH49" s="37" t="inlineStr">
        <is>
          <t>Ham-Let + hoseandfittings (pressure); Parker Cat.4300 (material); ASTM B633 (finish); see StandardsData</t>
        </is>
      </c>
    </row>
    <row r="50" ht="15" customHeight="1" s="35">
      <c r="A50" s="37" t="inlineStr">
        <is>
          <t>6400-16-10-O</t>
        </is>
      </c>
      <c r="B50" s="37" t="inlineStr">
        <is>
          <t>6400-16-10-O</t>
        </is>
      </c>
      <c r="C50" s="37" t="inlineStr">
        <is>
          <t>6400</t>
        </is>
      </c>
      <c r="D50" s="37" t="n">
        <v>89</v>
      </c>
      <c r="E50" s="37" t="inlineStr">
        <is>
          <t>Straight</t>
        </is>
      </c>
      <c r="F50" s="37" t="inlineStr">
        <is>
          <t>Straight Thread Connector, 1 5/16-12 x 7/8-14</t>
        </is>
      </c>
      <c r="G50" s="37" t="inlineStr">
        <is>
          <t>7/8-14</t>
        </is>
      </c>
      <c r="H50" s="37" t="inlineStr">
        <is>
          <t>1 5/16-12</t>
        </is>
      </c>
      <c r="I50" s="37" t="n"/>
      <c r="J50" s="37" t="inlineStr">
        <is>
          <t>SAE J1926-3</t>
        </is>
      </c>
      <c r="K50" s="37" t="inlineStr">
        <is>
          <t>SAE J514-1</t>
        </is>
      </c>
      <c r="L50" s="37" t="n">
        <v>2.07</v>
      </c>
      <c r="M50" s="37" t="n">
        <v>1.38</v>
      </c>
      <c r="N50" s="37" t="n">
        <v>0.84</v>
      </c>
      <c r="O50" s="37" t="n">
        <v>0.48</v>
      </c>
      <c r="P50" s="37" t="n"/>
      <c r="Q50" s="37" t="n"/>
      <c r="R50" s="44" t="n"/>
      <c r="S50" s="44" t="n">
        <v>1.38</v>
      </c>
      <c r="T50" s="37" t="n">
        <v>0</v>
      </c>
      <c r="U50" s="37" t="inlineStr">
        <is>
          <t>ASSUMED</t>
        </is>
      </c>
      <c r="V50" s="37" t="inlineStr">
        <is>
          <t>MATCH (source cited: SAE J514-1 070120 / MS51525 / MS39324)</t>
        </is>
      </c>
      <c r="W50" s="37" t="inlineStr">
        <is>
          <t>BUILD</t>
        </is>
      </c>
      <c r="X50" s="37" t="inlineStr">
        <is>
          <t>Hex = Air-Way C4 column (per-part). Matched sizes in this topology corroborate the column.</t>
        </is>
      </c>
      <c r="Z50" s="45" t="inlineStr">
        <is>
          <t>Carbon Steel</t>
        </is>
      </c>
      <c r="AA50" s="45" t="inlineStr">
        <is>
          <t>ASTM A108 12L14</t>
        </is>
      </c>
      <c r="AB50" s="45" t="inlineStr">
        <is>
          <t>Trivalent Cr3 Zinc</t>
        </is>
      </c>
      <c r="AC50" s="45" t="inlineStr">
        <is>
          <t>ASTM B633 Type V/VI</t>
        </is>
      </c>
      <c r="AD50" s="46" t="n">
        <v>3000</v>
      </c>
      <c r="AE50" s="46" t="inlineStr">
        <is>
          <t>generic SAE table @ dash -16 (governing end)</t>
        </is>
      </c>
      <c r="AF50" s="46" t="n">
        <v>-65</v>
      </c>
      <c r="AG50" s="46" t="n">
        <v>400</v>
      </c>
      <c r="AH50" s="37" t="inlineStr">
        <is>
          <t>Ham-Let + hoseandfittings (pressure); Parker Cat.4300 (material); ASTM B633 (finish); see StandardsData</t>
        </is>
      </c>
    </row>
    <row r="51" ht="15" customHeight="1" s="35">
      <c r="A51" s="37" t="inlineStr">
        <is>
          <t>6400-16-12-O</t>
        </is>
      </c>
      <c r="B51" s="37" t="inlineStr">
        <is>
          <t>6400-16-12-O</t>
        </is>
      </c>
      <c r="C51" s="37" t="inlineStr">
        <is>
          <t>6400</t>
        </is>
      </c>
      <c r="D51" s="37" t="n">
        <v>89</v>
      </c>
      <c r="E51" s="37" t="inlineStr">
        <is>
          <t>Straight</t>
        </is>
      </c>
      <c r="F51" s="37" t="inlineStr">
        <is>
          <t>Straight Thread Connector, 1 5/16-12 x 1 1/16-12</t>
        </is>
      </c>
      <c r="G51" s="37" t="inlineStr">
        <is>
          <t>1 1/16-12</t>
        </is>
      </c>
      <c r="H51" s="37" t="inlineStr">
        <is>
          <t>1 5/16-12</t>
        </is>
      </c>
      <c r="I51" s="37" t="n"/>
      <c r="J51" s="37" t="inlineStr">
        <is>
          <t>SAE J1926-3</t>
        </is>
      </c>
      <c r="K51" s="37" t="inlineStr">
        <is>
          <t>SAE J514-1</t>
        </is>
      </c>
      <c r="L51" s="37" t="n">
        <v>2.04</v>
      </c>
      <c r="M51" s="37" t="n">
        <v>1.38</v>
      </c>
      <c r="N51" s="37" t="n">
        <v>0.84</v>
      </c>
      <c r="O51" s="37" t="n">
        <v>0.61</v>
      </c>
      <c r="P51" s="37" t="n"/>
      <c r="Q51" s="37" t="n"/>
      <c r="R51" s="44" t="n"/>
      <c r="S51" s="44" t="n">
        <v>1.38</v>
      </c>
      <c r="T51" s="37" t="n">
        <v>0</v>
      </c>
      <c r="U51" s="37" t="inlineStr">
        <is>
          <t>ASSUMED</t>
        </is>
      </c>
      <c r="V51" s="37" t="inlineStr">
        <is>
          <t>MATCH (source cited: SAE J514-1 070120 / MS51525 / MS39324)</t>
        </is>
      </c>
      <c r="W51" s="37" t="inlineStr">
        <is>
          <t>BUILD</t>
        </is>
      </c>
      <c r="X51" s="37" t="inlineStr">
        <is>
          <t>Hex = Air-Way C4 column (per-part). Matched sizes in this topology corroborate the column.</t>
        </is>
      </c>
      <c r="Z51" s="45" t="inlineStr">
        <is>
          <t>Carbon Steel</t>
        </is>
      </c>
      <c r="AA51" s="45" t="inlineStr">
        <is>
          <t>ASTM A108 12L14</t>
        </is>
      </c>
      <c r="AB51" s="45" t="inlineStr">
        <is>
          <t>Trivalent Cr3 Zinc</t>
        </is>
      </c>
      <c r="AC51" s="45" t="inlineStr">
        <is>
          <t>ASTM B633 Type V/VI</t>
        </is>
      </c>
      <c r="AD51" s="46" t="n">
        <v>3000</v>
      </c>
      <c r="AE51" s="46" t="inlineStr">
        <is>
          <t>generic SAE table @ dash -16 (governing end)</t>
        </is>
      </c>
      <c r="AF51" s="46" t="n">
        <v>-65</v>
      </c>
      <c r="AG51" s="46" t="n">
        <v>400</v>
      </c>
      <c r="AH51" s="37" t="inlineStr">
        <is>
          <t>Ham-Let + hoseandfittings (pressure); Parker Cat.4300 (material); ASTM B633 (finish); see StandardsData</t>
        </is>
      </c>
    </row>
    <row r="52" ht="15" customHeight="1" s="35">
      <c r="A52" s="37" t="inlineStr">
        <is>
          <t>6400-16-14-O</t>
        </is>
      </c>
      <c r="B52" s="37" t="inlineStr">
        <is>
          <t>6400-16-14-O</t>
        </is>
      </c>
      <c r="C52" s="37" t="inlineStr">
        <is>
          <t>6400</t>
        </is>
      </c>
      <c r="D52" s="37" t="n">
        <v>89</v>
      </c>
      <c r="E52" s="37" t="inlineStr">
        <is>
          <t>Straight</t>
        </is>
      </c>
      <c r="F52" s="37" t="inlineStr">
        <is>
          <t>Straight Thread Connector, 1 5/16-12 x 1 3/16-12</t>
        </is>
      </c>
      <c r="G52" s="37" t="inlineStr">
        <is>
          <t>1 3/16-12</t>
        </is>
      </c>
      <c r="H52" s="37" t="inlineStr">
        <is>
          <t>1 5/16-12</t>
        </is>
      </c>
      <c r="I52" s="37" t="n"/>
      <c r="J52" s="37" t="inlineStr">
        <is>
          <t>SAE J1926-3</t>
        </is>
      </c>
      <c r="K52" s="37" t="inlineStr">
        <is>
          <t>SAE J514-1</t>
        </is>
      </c>
      <c r="L52" s="37" t="n">
        <v>2.04</v>
      </c>
      <c r="M52" s="37" t="n">
        <v>1.38</v>
      </c>
      <c r="N52" s="37" t="n">
        <v>0.84</v>
      </c>
      <c r="O52" s="37" t="n">
        <v>0.72</v>
      </c>
      <c r="P52" s="37" t="n"/>
      <c r="Q52" s="37" t="n"/>
      <c r="R52" s="44" t="n"/>
      <c r="S52" s="44" t="n">
        <v>1.38</v>
      </c>
      <c r="T52" s="37" t="n">
        <v>0</v>
      </c>
      <c r="U52" s="37" t="inlineStr">
        <is>
          <t>ASSUMED</t>
        </is>
      </c>
      <c r="V52" s="37" t="inlineStr">
        <is>
          <t>MATCH (source cited: SAE J514-1 070120 / MS51525 / MS39324)</t>
        </is>
      </c>
      <c r="W52" s="37" t="inlineStr">
        <is>
          <t>BUILD</t>
        </is>
      </c>
      <c r="X52" s="37" t="inlineStr">
        <is>
          <t>Hex = Air-Way C4 column (per-part). Matched sizes in this topology corroborate the column.</t>
        </is>
      </c>
      <c r="Z52" s="45" t="inlineStr">
        <is>
          <t>Carbon Steel</t>
        </is>
      </c>
      <c r="AA52" s="45" t="inlineStr">
        <is>
          <t>ASTM A108 12L14</t>
        </is>
      </c>
      <c r="AB52" s="45" t="inlineStr">
        <is>
          <t>Trivalent Cr3 Zinc</t>
        </is>
      </c>
      <c r="AC52" s="45" t="inlineStr">
        <is>
          <t>ASTM B633 Type V/VI</t>
        </is>
      </c>
      <c r="AD52" s="46" t="n">
        <v>3000</v>
      </c>
      <c r="AE52" s="46" t="inlineStr">
        <is>
          <t>generic SAE table @ dash -16 (governing end)</t>
        </is>
      </c>
      <c r="AF52" s="46" t="n">
        <v>-65</v>
      </c>
      <c r="AG52" s="46" t="n">
        <v>400</v>
      </c>
      <c r="AH52" s="37" t="inlineStr">
        <is>
          <t>Ham-Let + hoseandfittings (pressure); Parker Cat.4300 (material); ASTM B633 (finish); see StandardsData</t>
        </is>
      </c>
    </row>
    <row r="53" ht="15" customHeight="1" s="35">
      <c r="A53" s="37" t="inlineStr">
        <is>
          <t>6400-16-16-O</t>
        </is>
      </c>
      <c r="B53" s="37" t="inlineStr">
        <is>
          <t>6400-16-16-O</t>
        </is>
      </c>
      <c r="C53" s="37" t="inlineStr">
        <is>
          <t>6400</t>
        </is>
      </c>
      <c r="D53" s="37" t="n">
        <v>89</v>
      </c>
      <c r="E53" s="37" t="inlineStr">
        <is>
          <t>Straight</t>
        </is>
      </c>
      <c r="F53" s="37" t="inlineStr">
        <is>
          <t>Straight Thread Connector, 1 5/16-12 x 1 5/16-12</t>
        </is>
      </c>
      <c r="G53" s="37" t="inlineStr">
        <is>
          <t>1 5/16-12</t>
        </is>
      </c>
      <c r="H53" s="37" t="inlineStr">
        <is>
          <t>1 5/16-12</t>
        </is>
      </c>
      <c r="I53" s="37" t="n"/>
      <c r="J53" s="37" t="inlineStr">
        <is>
          <t>SAE J1926-3</t>
        </is>
      </c>
      <c r="K53" s="37" t="inlineStr">
        <is>
          <t>SAE J514-1</t>
        </is>
      </c>
      <c r="L53" s="37" t="n">
        <v>2.04</v>
      </c>
      <c r="M53" s="37" t="n">
        <v>1.5</v>
      </c>
      <c r="N53" s="37" t="n">
        <v>0.84</v>
      </c>
      <c r="O53" s="37" t="n">
        <v>0.84</v>
      </c>
      <c r="P53" s="37" t="n"/>
      <c r="Q53" s="37" t="n"/>
      <c r="R53" s="44" t="n"/>
      <c r="S53" s="45" t="n">
        <v>1.5</v>
      </c>
      <c r="T53" s="37" t="n">
        <v>0</v>
      </c>
      <c r="U53" s="37" t="inlineStr">
        <is>
          <t>VERIFIED</t>
        </is>
      </c>
      <c r="V53" s="37" t="inlineStr">
        <is>
          <t>MATCH (source cited: SAE J514-1 070120 / MS51525 / MS39324)</t>
        </is>
      </c>
      <c r="W53" s="37" t="inlineStr">
        <is>
          <t>BUILD</t>
        </is>
      </c>
      <c r="X53" s="37" t="inlineStr">
        <is>
          <t>Hex = Air-Way C4 column, CONFIRMED vs PressureConnections/Purvis.</t>
        </is>
      </c>
      <c r="Z53" s="45" t="inlineStr">
        <is>
          <t>Carbon Steel</t>
        </is>
      </c>
      <c r="AA53" s="45" t="inlineStr">
        <is>
          <t>ASTM A108 12L14</t>
        </is>
      </c>
      <c r="AB53" s="45" t="inlineStr">
        <is>
          <t>Trivalent Cr3 Zinc</t>
        </is>
      </c>
      <c r="AC53" s="45" t="inlineStr">
        <is>
          <t>ASTM B633 Type V/VI</t>
        </is>
      </c>
      <c r="AD53" s="46" t="n">
        <v>3000</v>
      </c>
      <c r="AE53" s="46" t="inlineStr">
        <is>
          <t>generic SAE table @ dash -16 (governing end)</t>
        </is>
      </c>
      <c r="AF53" s="46" t="n">
        <v>-65</v>
      </c>
      <c r="AG53" s="46" t="n">
        <v>400</v>
      </c>
      <c r="AH53" s="37" t="inlineStr">
        <is>
          <t>Ham-Let + hoseandfittings (pressure); Parker Cat.4300 (material); ASTM B633 (finish); see StandardsData</t>
        </is>
      </c>
    </row>
    <row r="54" ht="15" customHeight="1" s="35">
      <c r="A54" s="37" t="inlineStr">
        <is>
          <t>6400-16-20-O</t>
        </is>
      </c>
      <c r="B54" s="37" t="inlineStr">
        <is>
          <t>6400-16-20-O</t>
        </is>
      </c>
      <c r="C54" s="37" t="inlineStr">
        <is>
          <t>6400</t>
        </is>
      </c>
      <c r="D54" s="37" t="n">
        <v>89</v>
      </c>
      <c r="E54" s="37" t="inlineStr">
        <is>
          <t>Straight</t>
        </is>
      </c>
      <c r="F54" s="37" t="inlineStr">
        <is>
          <t>Straight Thread Connector, 1 5/16-12 x 1 5/8-12</t>
        </is>
      </c>
      <c r="G54" s="37" t="inlineStr">
        <is>
          <t>1 5/8-12</t>
        </is>
      </c>
      <c r="H54" s="37" t="inlineStr">
        <is>
          <t>1 5/16-12</t>
        </is>
      </c>
      <c r="I54" s="37" t="n"/>
      <c r="J54" s="37" t="inlineStr">
        <is>
          <t>SAE J1926-3</t>
        </is>
      </c>
      <c r="K54" s="37" t="inlineStr">
        <is>
          <t>SAE J514-1</t>
        </is>
      </c>
      <c r="L54" s="37" t="n">
        <v>2.12</v>
      </c>
      <c r="M54" s="37" t="n">
        <v>1.88</v>
      </c>
      <c r="N54" s="37" t="n">
        <v>0.84</v>
      </c>
      <c r="O54" s="37" t="n">
        <v>1.08</v>
      </c>
      <c r="P54" s="37" t="n"/>
      <c r="Q54" s="37" t="n"/>
      <c r="R54" s="44" t="n"/>
      <c r="S54" s="44" t="n">
        <v>1.88</v>
      </c>
      <c r="T54" s="37" t="n">
        <v>0</v>
      </c>
      <c r="U54" s="37" t="inlineStr">
        <is>
          <t>ASSUMED</t>
        </is>
      </c>
      <c r="V54" s="37" t="inlineStr">
        <is>
          <t>MATCH (source cited: SAE J514-1 070120 / MS51525 / MS39324)</t>
        </is>
      </c>
      <c r="W54" s="37" t="inlineStr">
        <is>
          <t>BUILD</t>
        </is>
      </c>
      <c r="X54" s="37" t="inlineStr">
        <is>
          <t>Hex = Air-Way C4 column (per-part). Matched sizes in this topology corroborate the column.</t>
        </is>
      </c>
      <c r="Z54" s="45" t="inlineStr">
        <is>
          <t>Carbon Steel</t>
        </is>
      </c>
      <c r="AA54" s="45" t="inlineStr">
        <is>
          <t>ASTM A108 12L14</t>
        </is>
      </c>
      <c r="AB54" s="45" t="inlineStr">
        <is>
          <t>Trivalent Cr3 Zinc</t>
        </is>
      </c>
      <c r="AC54" s="45" t="inlineStr">
        <is>
          <t>ASTM B633 Type V/VI</t>
        </is>
      </c>
      <c r="AD54" s="46" t="n">
        <v>2500</v>
      </c>
      <c r="AE54" s="46" t="inlineStr">
        <is>
          <t>generic SAE table @ dash -20 (governing end)</t>
        </is>
      </c>
      <c r="AF54" s="46" t="n">
        <v>-65</v>
      </c>
      <c r="AG54" s="46" t="n">
        <v>400</v>
      </c>
      <c r="AH54" s="37" t="inlineStr">
        <is>
          <t>Ham-Let + hoseandfittings (pressure); Parker Cat.4300 (material); ASTM B633 (finish); see StandardsData</t>
        </is>
      </c>
    </row>
    <row r="55" ht="15" customHeight="1" s="35">
      <c r="A55" s="37" t="inlineStr">
        <is>
          <t>6400-16-24-O</t>
        </is>
      </c>
      <c r="B55" s="37" t="inlineStr">
        <is>
          <t>6400-16-24-O</t>
        </is>
      </c>
      <c r="C55" s="37" t="inlineStr">
        <is>
          <t>6400</t>
        </is>
      </c>
      <c r="D55" s="37" t="n">
        <v>89</v>
      </c>
      <c r="E55" s="37" t="inlineStr">
        <is>
          <t>Straight</t>
        </is>
      </c>
      <c r="F55" s="37" t="inlineStr">
        <is>
          <t>Straight Thread Connector, 1 5/16-12 x 1 7/8-12</t>
        </is>
      </c>
      <c r="G55" s="37" t="inlineStr">
        <is>
          <t>1 7/8-12</t>
        </is>
      </c>
      <c r="H55" s="37" t="inlineStr">
        <is>
          <t>1 5/16-12</t>
        </is>
      </c>
      <c r="I55" s="37" t="n"/>
      <c r="J55" s="37" t="inlineStr">
        <is>
          <t>SAE J1926-3</t>
        </is>
      </c>
      <c r="K55" s="37" t="inlineStr">
        <is>
          <t>SAE J514-1</t>
        </is>
      </c>
      <c r="L55" s="37" t="n">
        <v>2.2</v>
      </c>
      <c r="M55" s="37" t="n">
        <v>2.13</v>
      </c>
      <c r="N55" s="37" t="n">
        <v>0.84</v>
      </c>
      <c r="O55" s="37" t="n">
        <v>1.31</v>
      </c>
      <c r="P55" s="37" t="n"/>
      <c r="Q55" s="37" t="n"/>
      <c r="R55" s="44" t="n"/>
      <c r="S55" s="44" t="n">
        <v>2.13</v>
      </c>
      <c r="T55" s="37" t="n">
        <v>0</v>
      </c>
      <c r="U55" s="37" t="inlineStr">
        <is>
          <t>ASSUMED</t>
        </is>
      </c>
      <c r="V55" s="37" t="inlineStr">
        <is>
          <t>MATCH (source cited: SAE J514-1 070120 / MS51525 / MS39324)</t>
        </is>
      </c>
      <c r="W55" s="37" t="inlineStr">
        <is>
          <t>BUILD</t>
        </is>
      </c>
      <c r="X55" s="37" t="inlineStr">
        <is>
          <t>Hex = Air-Way C4 column (per-part). Matched sizes in this topology corroborate the column.</t>
        </is>
      </c>
      <c r="Z55" s="45" t="inlineStr">
        <is>
          <t>Carbon Steel</t>
        </is>
      </c>
      <c r="AA55" s="45" t="inlineStr">
        <is>
          <t>ASTM A108 12L14</t>
        </is>
      </c>
      <c r="AB55" s="45" t="inlineStr">
        <is>
          <t>Trivalent Cr3 Zinc</t>
        </is>
      </c>
      <c r="AC55" s="45" t="inlineStr">
        <is>
          <t>ASTM B633 Type V/VI</t>
        </is>
      </c>
      <c r="AD55" s="46" t="n">
        <v>2000</v>
      </c>
      <c r="AE55" s="46" t="inlineStr">
        <is>
          <t>generic SAE table @ dash -24 (governing end)</t>
        </is>
      </c>
      <c r="AF55" s="46" t="n">
        <v>-65</v>
      </c>
      <c r="AG55" s="46" t="n">
        <v>400</v>
      </c>
      <c r="AH55" s="37" t="inlineStr">
        <is>
          <t>Ham-Let + hoseandfittings (pressure); Parker Cat.4300 (material); ASTM B633 (finish); see StandardsData</t>
        </is>
      </c>
    </row>
    <row r="56" ht="15" customHeight="1" s="35">
      <c r="A56" s="37" t="inlineStr">
        <is>
          <t>6400-20-12-O</t>
        </is>
      </c>
      <c r="B56" s="37" t="inlineStr">
        <is>
          <t>6400-20-12-O</t>
        </is>
      </c>
      <c r="C56" s="37" t="inlineStr">
        <is>
          <t>6400</t>
        </is>
      </c>
      <c r="D56" s="37" t="n">
        <v>89</v>
      </c>
      <c r="E56" s="37" t="inlineStr">
        <is>
          <t>Straight</t>
        </is>
      </c>
      <c r="F56" s="37" t="inlineStr">
        <is>
          <t>Straight Thread Connector, 1 5/8-12 x 1 1/16-12</t>
        </is>
      </c>
      <c r="G56" s="37" t="inlineStr">
        <is>
          <t>1 1/16-12</t>
        </is>
      </c>
      <c r="H56" s="37" t="inlineStr">
        <is>
          <t>1 5/8-12</t>
        </is>
      </c>
      <c r="I56" s="37" t="n"/>
      <c r="J56" s="37" t="inlineStr">
        <is>
          <t>SAE J1926-3</t>
        </is>
      </c>
      <c r="K56" s="37" t="inlineStr">
        <is>
          <t>SAE J514-1</t>
        </is>
      </c>
      <c r="L56" s="37" t="n">
        <v>2.3</v>
      </c>
      <c r="M56" s="37" t="n">
        <v>1.69</v>
      </c>
      <c r="N56" s="37" t="n">
        <v>1.08</v>
      </c>
      <c r="O56" s="37" t="n">
        <v>0.61</v>
      </c>
      <c r="P56" s="37" t="n"/>
      <c r="Q56" s="37" t="n"/>
      <c r="R56" s="44" t="n"/>
      <c r="S56" s="44" t="n">
        <v>1.69</v>
      </c>
      <c r="T56" s="37" t="n">
        <v>0</v>
      </c>
      <c r="U56" s="37" t="inlineStr">
        <is>
          <t>ASSUMED</t>
        </is>
      </c>
      <c r="V56" s="37" t="inlineStr">
        <is>
          <t>MATCH (source cited: SAE J514-1 070120 / MS51525 / MS39324)</t>
        </is>
      </c>
      <c r="W56" s="37" t="inlineStr">
        <is>
          <t>BUILD</t>
        </is>
      </c>
      <c r="X56" s="37" t="inlineStr">
        <is>
          <t>Hex = Air-Way C4 column (per-part). Matched sizes in this topology corroborate the column.</t>
        </is>
      </c>
      <c r="Z56" s="45" t="inlineStr">
        <is>
          <t>Carbon Steel</t>
        </is>
      </c>
      <c r="AA56" s="45" t="inlineStr">
        <is>
          <t>ASTM A108 12L14</t>
        </is>
      </c>
      <c r="AB56" s="45" t="inlineStr">
        <is>
          <t>Trivalent Cr3 Zinc</t>
        </is>
      </c>
      <c r="AC56" s="45" t="inlineStr">
        <is>
          <t>ASTM B633 Type V/VI</t>
        </is>
      </c>
      <c r="AD56" s="46" t="n">
        <v>2500</v>
      </c>
      <c r="AE56" s="46" t="inlineStr">
        <is>
          <t>generic SAE table @ dash -20 (governing end)</t>
        </is>
      </c>
      <c r="AF56" s="46" t="n">
        <v>-65</v>
      </c>
      <c r="AG56" s="46" t="n">
        <v>400</v>
      </c>
      <c r="AH56" s="37" t="inlineStr">
        <is>
          <t>Ham-Let + hoseandfittings (pressure); Parker Cat.4300 (material); ASTM B633 (finish); see StandardsData</t>
        </is>
      </c>
    </row>
    <row r="57" ht="15" customHeight="1" s="35">
      <c r="A57" s="37" t="inlineStr">
        <is>
          <t>6400-20-16-O</t>
        </is>
      </c>
      <c r="B57" s="37" t="inlineStr">
        <is>
          <t>6400-20-16-O</t>
        </is>
      </c>
      <c r="C57" s="37" t="inlineStr">
        <is>
          <t>6400</t>
        </is>
      </c>
      <c r="D57" s="37" t="n">
        <v>89</v>
      </c>
      <c r="E57" s="37" t="inlineStr">
        <is>
          <t>Straight</t>
        </is>
      </c>
      <c r="F57" s="37" t="inlineStr">
        <is>
          <t>Straight Thread Connector, 1 5/8-12 x 1 5/16-12</t>
        </is>
      </c>
      <c r="G57" s="37" t="inlineStr">
        <is>
          <t>1 5/16-12</t>
        </is>
      </c>
      <c r="H57" s="37" t="inlineStr">
        <is>
          <t>1 5/8-12</t>
        </is>
      </c>
      <c r="I57" s="37" t="n"/>
      <c r="J57" s="37" t="inlineStr">
        <is>
          <t>SAE J1926-3</t>
        </is>
      </c>
      <c r="K57" s="37" t="inlineStr">
        <is>
          <t>SAE J514-1</t>
        </is>
      </c>
      <c r="L57" s="37" t="n">
        <v>2.33</v>
      </c>
      <c r="M57" s="37" t="n">
        <v>1.69</v>
      </c>
      <c r="N57" s="37" t="n">
        <v>1.08</v>
      </c>
      <c r="O57" s="37" t="n">
        <v>0.84</v>
      </c>
      <c r="P57" s="37" t="n"/>
      <c r="Q57" s="37" t="n"/>
      <c r="R57" s="44" t="n"/>
      <c r="S57" s="44" t="n">
        <v>1.69</v>
      </c>
      <c r="T57" s="37" t="n">
        <v>0</v>
      </c>
      <c r="U57" s="37" t="inlineStr">
        <is>
          <t>ASSUMED</t>
        </is>
      </c>
      <c r="V57" s="37" t="inlineStr">
        <is>
          <t>MATCH (source cited: SAE J514-1 070120 / MS51525 / MS39324)</t>
        </is>
      </c>
      <c r="W57" s="37" t="inlineStr">
        <is>
          <t>BUILD</t>
        </is>
      </c>
      <c r="X57" s="37" t="inlineStr">
        <is>
          <t>Hex = Air-Way C4 column (per-part). Matched sizes in this topology corroborate the column.</t>
        </is>
      </c>
      <c r="Z57" s="45" t="inlineStr">
        <is>
          <t>Carbon Steel</t>
        </is>
      </c>
      <c r="AA57" s="45" t="inlineStr">
        <is>
          <t>ASTM A108 12L14</t>
        </is>
      </c>
      <c r="AB57" s="45" t="inlineStr">
        <is>
          <t>Trivalent Cr3 Zinc</t>
        </is>
      </c>
      <c r="AC57" s="45" t="inlineStr">
        <is>
          <t>ASTM B633 Type V/VI</t>
        </is>
      </c>
      <c r="AD57" s="46" t="n">
        <v>2500</v>
      </c>
      <c r="AE57" s="46" t="inlineStr">
        <is>
          <t>generic SAE table @ dash -20 (governing end)</t>
        </is>
      </c>
      <c r="AF57" s="46" t="n">
        <v>-65</v>
      </c>
      <c r="AG57" s="46" t="n">
        <v>400</v>
      </c>
      <c r="AH57" s="37" t="inlineStr">
        <is>
          <t>Ham-Let + hoseandfittings (pressure); Parker Cat.4300 (material); ASTM B633 (finish); see StandardsData</t>
        </is>
      </c>
    </row>
    <row r="58" ht="15" customHeight="1" s="35">
      <c r="A58" s="37" t="inlineStr">
        <is>
          <t>6400-20-20-O</t>
        </is>
      </c>
      <c r="B58" s="37" t="inlineStr">
        <is>
          <t>6400-20-20-O</t>
        </is>
      </c>
      <c r="C58" s="37" t="inlineStr">
        <is>
          <t>6400</t>
        </is>
      </c>
      <c r="D58" s="37" t="n">
        <v>89</v>
      </c>
      <c r="E58" s="37" t="inlineStr">
        <is>
          <t>Straight</t>
        </is>
      </c>
      <c r="F58" s="37" t="inlineStr">
        <is>
          <t>Straight Thread Connector, 1 5/8-12 x 1 5/8-12</t>
        </is>
      </c>
      <c r="G58" s="37" t="inlineStr">
        <is>
          <t>1 5/8-12</t>
        </is>
      </c>
      <c r="H58" s="37" t="inlineStr">
        <is>
          <t>1 5/8-12</t>
        </is>
      </c>
      <c r="I58" s="37" t="n"/>
      <c r="J58" s="37" t="inlineStr">
        <is>
          <t>SAE J1926-3</t>
        </is>
      </c>
      <c r="K58" s="37" t="inlineStr">
        <is>
          <t>SAE J514-1</t>
        </is>
      </c>
      <c r="L58" s="37" t="n">
        <v>2.17</v>
      </c>
      <c r="M58" s="37" t="n">
        <v>1.88</v>
      </c>
      <c r="N58" s="37" t="n">
        <v>1.08</v>
      </c>
      <c r="O58" s="37" t="n">
        <v>1.08</v>
      </c>
      <c r="P58" s="37" t="n"/>
      <c r="Q58" s="37" t="n"/>
      <c r="R58" s="44" t="n"/>
      <c r="S58" s="45" t="n">
        <v>1.88</v>
      </c>
      <c r="T58" s="37" t="n">
        <v>0</v>
      </c>
      <c r="U58" s="37" t="inlineStr">
        <is>
          <t>VERIFIED</t>
        </is>
      </c>
      <c r="V58" s="37" t="inlineStr">
        <is>
          <t>MATCH (source cited: SAE J514-1 070120 / MS51525 / MS39324)</t>
        </is>
      </c>
      <c r="W58" s="37" t="inlineStr">
        <is>
          <t>BUILD</t>
        </is>
      </c>
      <c r="X58" s="37" t="inlineStr">
        <is>
          <t>Hex = Air-Way C4 column, CONFIRMED vs PressureConnections/Purvis.</t>
        </is>
      </c>
      <c r="Z58" s="45" t="inlineStr">
        <is>
          <t>Carbon Steel</t>
        </is>
      </c>
      <c r="AA58" s="45" t="inlineStr">
        <is>
          <t>ASTM A108 12L14</t>
        </is>
      </c>
      <c r="AB58" s="45" t="inlineStr">
        <is>
          <t>Trivalent Cr3 Zinc</t>
        </is>
      </c>
      <c r="AC58" s="45" t="inlineStr">
        <is>
          <t>ASTM B633 Type V/VI</t>
        </is>
      </c>
      <c r="AD58" s="46" t="n">
        <v>2500</v>
      </c>
      <c r="AE58" s="46" t="inlineStr">
        <is>
          <t>generic SAE table @ dash -20 (governing end)</t>
        </is>
      </c>
      <c r="AF58" s="46" t="n">
        <v>-65</v>
      </c>
      <c r="AG58" s="46" t="n">
        <v>400</v>
      </c>
      <c r="AH58" s="37" t="inlineStr">
        <is>
          <t>Ham-Let + hoseandfittings (pressure); Parker Cat.4300 (material); ASTM B633 (finish); see StandardsData</t>
        </is>
      </c>
    </row>
    <row r="59" ht="15" customHeight="1" s="35">
      <c r="A59" s="37" t="inlineStr">
        <is>
          <t>6400-20-24-O</t>
        </is>
      </c>
      <c r="B59" s="37" t="inlineStr">
        <is>
          <t>6400-20-24-O</t>
        </is>
      </c>
      <c r="C59" s="37" t="inlineStr">
        <is>
          <t>6400</t>
        </is>
      </c>
      <c r="D59" s="37" t="n">
        <v>89</v>
      </c>
      <c r="E59" s="37" t="inlineStr">
        <is>
          <t>Straight</t>
        </is>
      </c>
      <c r="F59" s="37" t="inlineStr">
        <is>
          <t>Straight Thread Connector, 1 5/8-12 x 1 7/8-12</t>
        </is>
      </c>
      <c r="G59" s="37" t="inlineStr">
        <is>
          <t>1 7/8-12</t>
        </is>
      </c>
      <c r="H59" s="37" t="inlineStr">
        <is>
          <t>1 5/8-12</t>
        </is>
      </c>
      <c r="I59" s="37" t="n"/>
      <c r="J59" s="37" t="inlineStr">
        <is>
          <t>SAE J1926-3</t>
        </is>
      </c>
      <c r="K59" s="37" t="inlineStr">
        <is>
          <t>SAE J514-1</t>
        </is>
      </c>
      <c r="L59" s="37" t="n">
        <v>2.24</v>
      </c>
      <c r="M59" s="37" t="n">
        <v>2.13</v>
      </c>
      <c r="N59" s="37" t="n">
        <v>1.08</v>
      </c>
      <c r="O59" s="37" t="n">
        <v>1.31</v>
      </c>
      <c r="P59" s="37" t="n"/>
      <c r="Q59" s="37" t="n"/>
      <c r="R59" s="44" t="n"/>
      <c r="S59" s="44" t="n">
        <v>2.13</v>
      </c>
      <c r="T59" s="37" t="n">
        <v>0</v>
      </c>
      <c r="U59" s="37" t="inlineStr">
        <is>
          <t>ASSUMED</t>
        </is>
      </c>
      <c r="V59" s="37" t="inlineStr">
        <is>
          <t>MATCH (source cited: SAE J514-1 070120 / MS51525 / MS39324)</t>
        </is>
      </c>
      <c r="W59" s="37" t="inlineStr">
        <is>
          <t>BUILD</t>
        </is>
      </c>
      <c r="X59" s="37" t="inlineStr">
        <is>
          <t>Hex = Air-Way C4 column (per-part). Matched sizes in this topology corroborate the column.</t>
        </is>
      </c>
      <c r="Z59" s="45" t="inlineStr">
        <is>
          <t>Carbon Steel</t>
        </is>
      </c>
      <c r="AA59" s="45" t="inlineStr">
        <is>
          <t>ASTM A108 12L14</t>
        </is>
      </c>
      <c r="AB59" s="45" t="inlineStr">
        <is>
          <t>Trivalent Cr3 Zinc</t>
        </is>
      </c>
      <c r="AC59" s="45" t="inlineStr">
        <is>
          <t>ASTM B633 Type V/VI</t>
        </is>
      </c>
      <c r="AD59" s="46" t="n">
        <v>2000</v>
      </c>
      <c r="AE59" s="46" t="inlineStr">
        <is>
          <t>generic SAE table @ dash -24 (governing end)</t>
        </is>
      </c>
      <c r="AF59" s="46" t="n">
        <v>-65</v>
      </c>
      <c r="AG59" s="46" t="n">
        <v>400</v>
      </c>
      <c r="AH59" s="37" t="inlineStr">
        <is>
          <t>Ham-Let + hoseandfittings (pressure); Parker Cat.4300 (material); ASTM B633 (finish); see StandardsData</t>
        </is>
      </c>
    </row>
    <row r="60" ht="15" customHeight="1" s="35">
      <c r="A60" s="37" t="inlineStr">
        <is>
          <t>6400-20-32-O</t>
        </is>
      </c>
      <c r="B60" s="37" t="inlineStr">
        <is>
          <t>6400-20-32-O</t>
        </is>
      </c>
      <c r="C60" s="37" t="inlineStr">
        <is>
          <t>6400</t>
        </is>
      </c>
      <c r="D60" s="37" t="n">
        <v>89</v>
      </c>
      <c r="E60" s="37" t="inlineStr">
        <is>
          <t>Straight</t>
        </is>
      </c>
      <c r="F60" s="37" t="inlineStr">
        <is>
          <t>Straight Thread Connector, 1 5/8-12 x 2 1/2-12</t>
        </is>
      </c>
      <c r="G60" s="37" t="inlineStr">
        <is>
          <t>2 1/2-12</t>
        </is>
      </c>
      <c r="H60" s="37" t="inlineStr">
        <is>
          <t>1 5/8-12</t>
        </is>
      </c>
      <c r="I60" s="37" t="n"/>
      <c r="J60" s="37" t="inlineStr">
        <is>
          <t>SAE J1926-3</t>
        </is>
      </c>
      <c r="K60" s="37" t="inlineStr">
        <is>
          <t>SAE J514-1</t>
        </is>
      </c>
      <c r="L60" s="37" t="n">
        <v>2.4</v>
      </c>
      <c r="M60" s="37" t="n">
        <v>2.75</v>
      </c>
      <c r="N60" s="37" t="n">
        <v>1.08</v>
      </c>
      <c r="O60" s="37" t="n">
        <v>1.78</v>
      </c>
      <c r="P60" s="37" t="n"/>
      <c r="Q60" s="37" t="n"/>
      <c r="R60" s="44" t="n"/>
      <c r="S60" s="44" t="n">
        <v>2.75</v>
      </c>
      <c r="T60" s="37" t="n">
        <v>0</v>
      </c>
      <c r="U60" s="37" t="inlineStr">
        <is>
          <t>ASSUMED</t>
        </is>
      </c>
      <c r="V60" s="37" t="inlineStr">
        <is>
          <t>MATCH (source cited: SAE J514-1 070120 / MS51525 / MS39324)</t>
        </is>
      </c>
      <c r="W60" s="37" t="inlineStr">
        <is>
          <t>BUILD</t>
        </is>
      </c>
      <c r="X60" s="37" t="inlineStr">
        <is>
          <t>Hex = Air-Way C4 column (per-part). Matched sizes in this topology corroborate the column.</t>
        </is>
      </c>
      <c r="Z60" s="45" t="inlineStr">
        <is>
          <t>Carbon Steel</t>
        </is>
      </c>
      <c r="AA60" s="45" t="inlineStr">
        <is>
          <t>ASTM A108 12L14</t>
        </is>
      </c>
      <c r="AB60" s="45" t="inlineStr">
        <is>
          <t>Trivalent Cr3 Zinc</t>
        </is>
      </c>
      <c r="AC60" s="45" t="inlineStr">
        <is>
          <t>ASTM B633 Type V/VI</t>
        </is>
      </c>
      <c r="AD60" s="46" t="n">
        <v>1500</v>
      </c>
      <c r="AE60" s="46" t="inlineStr">
        <is>
          <t>generic SAE table @ dash -32 (governing end)</t>
        </is>
      </c>
      <c r="AF60" s="46" t="n">
        <v>-65</v>
      </c>
      <c r="AG60" s="46" t="n">
        <v>400</v>
      </c>
      <c r="AH60" s="37" t="inlineStr">
        <is>
          <t>Ham-Let + hoseandfittings (pressure); Parker Cat.4300 (material); ASTM B633 (finish); see StandardsData</t>
        </is>
      </c>
    </row>
    <row r="61" ht="15" customHeight="1" s="35">
      <c r="A61" s="37" t="inlineStr">
        <is>
          <t>6400-24-16-O</t>
        </is>
      </c>
      <c r="B61" s="37" t="inlineStr">
        <is>
          <t>6400-24-16-O</t>
        </is>
      </c>
      <c r="C61" s="37" t="inlineStr">
        <is>
          <t>6400</t>
        </is>
      </c>
      <c r="D61" s="37" t="n">
        <v>89</v>
      </c>
      <c r="E61" s="37" t="inlineStr">
        <is>
          <t>Straight</t>
        </is>
      </c>
      <c r="F61" s="37" t="inlineStr">
        <is>
          <t>Straight Thread Connector, 1 7/8-12 x 1 5/16-12</t>
        </is>
      </c>
      <c r="G61" s="37" t="inlineStr">
        <is>
          <t>1 5/16-12</t>
        </is>
      </c>
      <c r="H61" s="37" t="inlineStr">
        <is>
          <t>1 7/8-12</t>
        </is>
      </c>
      <c r="I61" s="37" t="n"/>
      <c r="J61" s="37" t="inlineStr">
        <is>
          <t>SAE J1926-3</t>
        </is>
      </c>
      <c r="K61" s="37" t="inlineStr">
        <is>
          <t>SAE J514-1</t>
        </is>
      </c>
      <c r="L61" s="37" t="n">
        <v>2.53</v>
      </c>
      <c r="M61" s="37" t="n">
        <v>2</v>
      </c>
      <c r="N61" s="37" t="n">
        <v>1.31</v>
      </c>
      <c r="O61" s="37" t="n">
        <v>0.84</v>
      </c>
      <c r="P61" s="37" t="n"/>
      <c r="Q61" s="37" t="n"/>
      <c r="R61" s="44" t="n"/>
      <c r="S61" s="44" t="n">
        <v>2</v>
      </c>
      <c r="T61" s="37" t="n">
        <v>0</v>
      </c>
      <c r="U61" s="37" t="inlineStr">
        <is>
          <t>ASSUMED</t>
        </is>
      </c>
      <c r="V61" s="37" t="inlineStr">
        <is>
          <t>MATCH (source cited: SAE J514-1 070120 / MS51525 / MS39324)</t>
        </is>
      </c>
      <c r="W61" s="37" t="inlineStr">
        <is>
          <t>BUILD</t>
        </is>
      </c>
      <c r="X61" s="37" t="inlineStr">
        <is>
          <t>Hex = Air-Way C4 column (per-part). Matched sizes in this topology corroborate the column.</t>
        </is>
      </c>
      <c r="Z61" s="45" t="inlineStr">
        <is>
          <t>Carbon Steel</t>
        </is>
      </c>
      <c r="AA61" s="45" t="inlineStr">
        <is>
          <t>ASTM A108 12L14</t>
        </is>
      </c>
      <c r="AB61" s="45" t="inlineStr">
        <is>
          <t>Trivalent Cr3 Zinc</t>
        </is>
      </c>
      <c r="AC61" s="45" t="inlineStr">
        <is>
          <t>ASTM B633 Type V/VI</t>
        </is>
      </c>
      <c r="AD61" s="46" t="n">
        <v>2000</v>
      </c>
      <c r="AE61" s="46" t="inlineStr">
        <is>
          <t>generic SAE table @ dash -24 (governing end)</t>
        </is>
      </c>
      <c r="AF61" s="46" t="n">
        <v>-65</v>
      </c>
      <c r="AG61" s="46" t="n">
        <v>400</v>
      </c>
      <c r="AH61" s="37" t="inlineStr">
        <is>
          <t>Ham-Let + hoseandfittings (pressure); Parker Cat.4300 (material); ASTM B633 (finish); see StandardsData</t>
        </is>
      </c>
    </row>
    <row r="62" ht="15" customHeight="1" s="35">
      <c r="A62" s="37" t="inlineStr">
        <is>
          <t>6400-24-20-O</t>
        </is>
      </c>
      <c r="B62" s="37" t="inlineStr">
        <is>
          <t>6400-24-20-O</t>
        </is>
      </c>
      <c r="C62" s="37" t="inlineStr">
        <is>
          <t>6400</t>
        </is>
      </c>
      <c r="D62" s="37" t="n">
        <v>89</v>
      </c>
      <c r="E62" s="37" t="inlineStr">
        <is>
          <t>Straight</t>
        </is>
      </c>
      <c r="F62" s="37" t="inlineStr">
        <is>
          <t>Straight Thread Connector, 1 7/8-12 x 1 5/8-12</t>
        </is>
      </c>
      <c r="G62" s="37" t="inlineStr">
        <is>
          <t>1 5/8-12</t>
        </is>
      </c>
      <c r="H62" s="37" t="inlineStr">
        <is>
          <t>1 7/8-12</t>
        </is>
      </c>
      <c r="I62" s="37" t="n"/>
      <c r="J62" s="37" t="inlineStr">
        <is>
          <t>SAE J1926-3</t>
        </is>
      </c>
      <c r="K62" s="37" t="inlineStr">
        <is>
          <t>SAE J514-1</t>
        </is>
      </c>
      <c r="L62" s="37" t="n">
        <v>2.53</v>
      </c>
      <c r="M62" s="37" t="n">
        <v>2</v>
      </c>
      <c r="N62" s="37" t="n">
        <v>1.31</v>
      </c>
      <c r="O62" s="37" t="n">
        <v>1.08</v>
      </c>
      <c r="P62" s="37" t="n"/>
      <c r="Q62" s="37" t="n"/>
      <c r="R62" s="44" t="n"/>
      <c r="S62" s="44" t="n">
        <v>2</v>
      </c>
      <c r="T62" s="37" t="n">
        <v>0</v>
      </c>
      <c r="U62" s="37" t="inlineStr">
        <is>
          <t>ASSUMED</t>
        </is>
      </c>
      <c r="V62" s="37" t="inlineStr">
        <is>
          <t>MATCH (source cited: SAE J514-1 070120 / MS51525 / MS39324)</t>
        </is>
      </c>
      <c r="W62" s="37" t="inlineStr">
        <is>
          <t>BUILD</t>
        </is>
      </c>
      <c r="X62" s="37" t="inlineStr">
        <is>
          <t>Hex = Air-Way C4 column (per-part). Matched sizes in this topology corroborate the column.</t>
        </is>
      </c>
      <c r="Z62" s="45" t="inlineStr">
        <is>
          <t>Carbon Steel</t>
        </is>
      </c>
      <c r="AA62" s="45" t="inlineStr">
        <is>
          <t>ASTM A108 12L14</t>
        </is>
      </c>
      <c r="AB62" s="45" t="inlineStr">
        <is>
          <t>Trivalent Cr3 Zinc</t>
        </is>
      </c>
      <c r="AC62" s="45" t="inlineStr">
        <is>
          <t>ASTM B633 Type V/VI</t>
        </is>
      </c>
      <c r="AD62" s="46" t="n">
        <v>2000</v>
      </c>
      <c r="AE62" s="46" t="inlineStr">
        <is>
          <t>generic SAE table @ dash -24 (governing end)</t>
        </is>
      </c>
      <c r="AF62" s="46" t="n">
        <v>-65</v>
      </c>
      <c r="AG62" s="46" t="n">
        <v>400</v>
      </c>
      <c r="AH62" s="37" t="inlineStr">
        <is>
          <t>Ham-Let + hoseandfittings (pressure); Parker Cat.4300 (material); ASTM B633 (finish); see StandardsData</t>
        </is>
      </c>
    </row>
    <row r="63" ht="15" customHeight="1" s="35">
      <c r="A63" s="37" t="inlineStr">
        <is>
          <t>6400-24-24-O</t>
        </is>
      </c>
      <c r="B63" s="37" t="inlineStr">
        <is>
          <t>6400-24-24-O</t>
        </is>
      </c>
      <c r="C63" s="37" t="inlineStr">
        <is>
          <t>6400</t>
        </is>
      </c>
      <c r="D63" s="37" t="n">
        <v>89</v>
      </c>
      <c r="E63" s="37" t="inlineStr">
        <is>
          <t>Straight</t>
        </is>
      </c>
      <c r="F63" s="37" t="inlineStr">
        <is>
          <t>Straight Thread Connector, 1 7/8-12 x 1 7/8-12</t>
        </is>
      </c>
      <c r="G63" s="37" t="inlineStr">
        <is>
          <t>1 7/8-12</t>
        </is>
      </c>
      <c r="H63" s="37" t="inlineStr">
        <is>
          <t>1 7/8-12</t>
        </is>
      </c>
      <c r="I63" s="37" t="n"/>
      <c r="J63" s="37" t="inlineStr">
        <is>
          <t>SAE J1926-3</t>
        </is>
      </c>
      <c r="K63" s="37" t="inlineStr">
        <is>
          <t>SAE J514-1</t>
        </is>
      </c>
      <c r="L63" s="37" t="n">
        <v>2.37</v>
      </c>
      <c r="M63" s="37" t="n">
        <v>2.13</v>
      </c>
      <c r="N63" s="37" t="n">
        <v>1.31</v>
      </c>
      <c r="O63" s="37" t="n">
        <v>1.31</v>
      </c>
      <c r="P63" s="37" t="n"/>
      <c r="Q63" s="37" t="n"/>
      <c r="R63" s="44" t="n"/>
      <c r="S63" s="45" t="n">
        <v>2.13</v>
      </c>
      <c r="T63" s="37" t="n">
        <v>0</v>
      </c>
      <c r="U63" s="37" t="inlineStr">
        <is>
          <t>VERIFIED</t>
        </is>
      </c>
      <c r="V63" s="37" t="inlineStr">
        <is>
          <t>MATCH (source cited: SAE J514-1 070120 / MS51525 / MS39324)</t>
        </is>
      </c>
      <c r="W63" s="37" t="inlineStr">
        <is>
          <t>BUILD</t>
        </is>
      </c>
      <c r="X63" s="37" t="inlineStr">
        <is>
          <t>Hex = Air-Way C4 column, CONFIRMED vs PressureConnections/Purvis.</t>
        </is>
      </c>
      <c r="Z63" s="45" t="inlineStr">
        <is>
          <t>Carbon Steel</t>
        </is>
      </c>
      <c r="AA63" s="45" t="inlineStr">
        <is>
          <t>ASTM A108 12L14</t>
        </is>
      </c>
      <c r="AB63" s="45" t="inlineStr">
        <is>
          <t>Trivalent Cr3 Zinc</t>
        </is>
      </c>
      <c r="AC63" s="45" t="inlineStr">
        <is>
          <t>ASTM B633 Type V/VI</t>
        </is>
      </c>
      <c r="AD63" s="46" t="n">
        <v>2000</v>
      </c>
      <c r="AE63" s="46" t="inlineStr">
        <is>
          <t>generic SAE table @ dash -24 (governing end)</t>
        </is>
      </c>
      <c r="AF63" s="46" t="n">
        <v>-65</v>
      </c>
      <c r="AG63" s="46" t="n">
        <v>400</v>
      </c>
      <c r="AH63" s="37" t="inlineStr">
        <is>
          <t>Ham-Let + hoseandfittings (pressure); Parker Cat.4300 (material); ASTM B633 (finish); see StandardsData</t>
        </is>
      </c>
    </row>
    <row r="64" ht="15" customHeight="1" s="35">
      <c r="A64" s="37" t="inlineStr">
        <is>
          <t>6400-24-32-O</t>
        </is>
      </c>
      <c r="B64" s="37" t="inlineStr">
        <is>
          <t>6400-24-32-O</t>
        </is>
      </c>
      <c r="C64" s="37" t="inlineStr">
        <is>
          <t>6400</t>
        </is>
      </c>
      <c r="D64" s="37" t="n">
        <v>89</v>
      </c>
      <c r="E64" s="37" t="inlineStr">
        <is>
          <t>Straight</t>
        </is>
      </c>
      <c r="F64" s="37" t="inlineStr">
        <is>
          <t>Straight Thread Connector, 1 7/8-12 x 2 1/2-12</t>
        </is>
      </c>
      <c r="G64" s="37" t="inlineStr">
        <is>
          <t>2 1/2-12</t>
        </is>
      </c>
      <c r="H64" s="37" t="inlineStr">
        <is>
          <t>1 7/8-12</t>
        </is>
      </c>
      <c r="I64" s="37" t="n"/>
      <c r="J64" s="37" t="inlineStr">
        <is>
          <t>SAE J1926-3</t>
        </is>
      </c>
      <c r="K64" s="37" t="inlineStr">
        <is>
          <t>SAE J514-1</t>
        </is>
      </c>
      <c r="L64" s="37" t="n">
        <v>2.53</v>
      </c>
      <c r="M64" s="37" t="n">
        <v>2.75</v>
      </c>
      <c r="N64" s="37" t="n">
        <v>1.31</v>
      </c>
      <c r="O64" s="37" t="n">
        <v>1.78</v>
      </c>
      <c r="P64" s="37" t="n"/>
      <c r="Q64" s="37" t="n"/>
      <c r="R64" s="44" t="n"/>
      <c r="S64" s="44" t="n">
        <v>2.75</v>
      </c>
      <c r="T64" s="37" t="n">
        <v>0</v>
      </c>
      <c r="U64" s="37" t="inlineStr">
        <is>
          <t>ASSUMED</t>
        </is>
      </c>
      <c r="V64" s="37" t="inlineStr">
        <is>
          <t>MATCH (source cited: SAE J514-1 070120 / MS51525 / MS39324)</t>
        </is>
      </c>
      <c r="W64" s="37" t="inlineStr">
        <is>
          <t>BUILD</t>
        </is>
      </c>
      <c r="X64" s="37" t="inlineStr">
        <is>
          <t>Hex = Air-Way C4 column (per-part). Matched sizes in this topology corroborate the column.</t>
        </is>
      </c>
      <c r="Z64" s="45" t="inlineStr">
        <is>
          <t>Carbon Steel</t>
        </is>
      </c>
      <c r="AA64" s="45" t="inlineStr">
        <is>
          <t>ASTM A108 12L14</t>
        </is>
      </c>
      <c r="AB64" s="45" t="inlineStr">
        <is>
          <t>Trivalent Cr3 Zinc</t>
        </is>
      </c>
      <c r="AC64" s="45" t="inlineStr">
        <is>
          <t>ASTM B633 Type V/VI</t>
        </is>
      </c>
      <c r="AD64" s="46" t="n">
        <v>1500</v>
      </c>
      <c r="AE64" s="46" t="inlineStr">
        <is>
          <t>generic SAE table @ dash -32 (governing end)</t>
        </is>
      </c>
      <c r="AF64" s="46" t="n">
        <v>-65</v>
      </c>
      <c r="AG64" s="46" t="n">
        <v>400</v>
      </c>
      <c r="AH64" s="37" t="inlineStr">
        <is>
          <t>Ham-Let + hoseandfittings (pressure); Parker Cat.4300 (material); ASTM B633 (finish); see StandardsData</t>
        </is>
      </c>
    </row>
    <row r="65" ht="15" customHeight="1" s="35">
      <c r="A65" s="37" t="inlineStr">
        <is>
          <t>6400-32-20-O</t>
        </is>
      </c>
      <c r="B65" s="37" t="inlineStr">
        <is>
          <t>6400-32-20-O</t>
        </is>
      </c>
      <c r="C65" s="37" t="inlineStr">
        <is>
          <t>6400</t>
        </is>
      </c>
      <c r="D65" s="37" t="n">
        <v>89</v>
      </c>
      <c r="E65" s="37" t="inlineStr">
        <is>
          <t>Straight</t>
        </is>
      </c>
      <c r="F65" s="37" t="inlineStr">
        <is>
          <t>Straight Thread Connector, 2 1/2-12 x 1 5/8-12</t>
        </is>
      </c>
      <c r="G65" s="37" t="inlineStr">
        <is>
          <t>1 5/8-12</t>
        </is>
      </c>
      <c r="H65" s="37" t="inlineStr">
        <is>
          <t>2 1/2-12</t>
        </is>
      </c>
      <c r="I65" s="37" t="n"/>
      <c r="J65" s="37" t="inlineStr">
        <is>
          <t>SAE J1926-3</t>
        </is>
      </c>
      <c r="K65" s="37" t="inlineStr">
        <is>
          <t>SAE J514-1</t>
        </is>
      </c>
      <c r="L65" s="37" t="n">
        <v>2.94</v>
      </c>
      <c r="M65" s="37" t="n">
        <v>2.63</v>
      </c>
      <c r="N65" s="37" t="n">
        <v>1.78</v>
      </c>
      <c r="O65" s="37" t="n">
        <v>1.08</v>
      </c>
      <c r="P65" s="37" t="n"/>
      <c r="Q65" s="37" t="n"/>
      <c r="R65" s="44" t="n"/>
      <c r="S65" s="44" t="n">
        <v>2.63</v>
      </c>
      <c r="T65" s="37" t="n">
        <v>0</v>
      </c>
      <c r="U65" s="37" t="inlineStr">
        <is>
          <t>ASSUMED</t>
        </is>
      </c>
      <c r="V65" s="37" t="inlineStr">
        <is>
          <t>MATCH (source cited: SAE J514-1 070120 / MS51525 / MS39324)</t>
        </is>
      </c>
      <c r="W65" s="37" t="inlineStr">
        <is>
          <t>BUILD</t>
        </is>
      </c>
      <c r="X65" s="37" t="inlineStr">
        <is>
          <t>Hex = Air-Way C4 column (per-part). Matched sizes in this topology corroborate the column.</t>
        </is>
      </c>
      <c r="Z65" s="45" t="inlineStr">
        <is>
          <t>Carbon Steel</t>
        </is>
      </c>
      <c r="AA65" s="45" t="inlineStr">
        <is>
          <t>ASTM A108 12L14</t>
        </is>
      </c>
      <c r="AB65" s="45" t="inlineStr">
        <is>
          <t>Trivalent Cr3 Zinc</t>
        </is>
      </c>
      <c r="AC65" s="45" t="inlineStr">
        <is>
          <t>ASTM B633 Type V/VI</t>
        </is>
      </c>
      <c r="AD65" s="46" t="n">
        <v>1500</v>
      </c>
      <c r="AE65" s="46" t="inlineStr">
        <is>
          <t>generic SAE table @ dash -32 (governing end)</t>
        </is>
      </c>
      <c r="AF65" s="46" t="n">
        <v>-65</v>
      </c>
      <c r="AG65" s="46" t="n">
        <v>400</v>
      </c>
      <c r="AH65" s="37" t="inlineStr">
        <is>
          <t>Ham-Let + hoseandfittings (pressure); Parker Cat.4300 (material); ASTM B633 (finish); see StandardsData</t>
        </is>
      </c>
    </row>
    <row r="66" ht="15" customHeight="1" s="35">
      <c r="A66" s="37" t="inlineStr">
        <is>
          <t>6400-32-24-O</t>
        </is>
      </c>
      <c r="B66" s="37" t="inlineStr">
        <is>
          <t>6400-32-24-O</t>
        </is>
      </c>
      <c r="C66" s="37" t="inlineStr">
        <is>
          <t>6400</t>
        </is>
      </c>
      <c r="D66" s="37" t="n">
        <v>89</v>
      </c>
      <c r="E66" s="37" t="inlineStr">
        <is>
          <t>Straight</t>
        </is>
      </c>
      <c r="F66" s="37" t="inlineStr">
        <is>
          <t>Straight Thread Connector, 2 1/2-12 x 1 7/8-12</t>
        </is>
      </c>
      <c r="G66" s="37" t="inlineStr">
        <is>
          <t>1 7/8-12</t>
        </is>
      </c>
      <c r="H66" s="37" t="inlineStr">
        <is>
          <t>2 1/2-12</t>
        </is>
      </c>
      <c r="I66" s="37" t="n"/>
      <c r="J66" s="37" t="inlineStr">
        <is>
          <t>SAE J1926-3</t>
        </is>
      </c>
      <c r="K66" s="37" t="inlineStr">
        <is>
          <t>SAE J514-1</t>
        </is>
      </c>
      <c r="L66" s="37" t="n">
        <v>2.94</v>
      </c>
      <c r="M66" s="37" t="n">
        <v>2.63</v>
      </c>
      <c r="N66" s="37" t="n">
        <v>1.78</v>
      </c>
      <c r="O66" s="37" t="n">
        <v>1.31</v>
      </c>
      <c r="P66" s="37" t="n"/>
      <c r="Q66" s="37" t="n"/>
      <c r="R66" s="44" t="n"/>
      <c r="S66" s="44" t="n">
        <v>2.63</v>
      </c>
      <c r="T66" s="37" t="n">
        <v>0</v>
      </c>
      <c r="U66" s="37" t="inlineStr">
        <is>
          <t>ASSUMED</t>
        </is>
      </c>
      <c r="V66" s="37" t="inlineStr">
        <is>
          <t>MATCH (source cited: SAE J514-1 070120 / MS51525 / MS39324)</t>
        </is>
      </c>
      <c r="W66" s="37" t="inlineStr">
        <is>
          <t>BUILD</t>
        </is>
      </c>
      <c r="X66" s="37" t="inlineStr">
        <is>
          <t>Hex = Air-Way C4 column (per-part). Matched sizes in this topology corroborate the column.</t>
        </is>
      </c>
      <c r="Z66" s="45" t="inlineStr">
        <is>
          <t>Carbon Steel</t>
        </is>
      </c>
      <c r="AA66" s="45" t="inlineStr">
        <is>
          <t>ASTM A108 12L14</t>
        </is>
      </c>
      <c r="AB66" s="45" t="inlineStr">
        <is>
          <t>Trivalent Cr3 Zinc</t>
        </is>
      </c>
      <c r="AC66" s="45" t="inlineStr">
        <is>
          <t>ASTM B633 Type V/VI</t>
        </is>
      </c>
      <c r="AD66" s="46" t="n">
        <v>1500</v>
      </c>
      <c r="AE66" s="46" t="inlineStr">
        <is>
          <t>generic SAE table @ dash -32 (governing end)</t>
        </is>
      </c>
      <c r="AF66" s="46" t="n">
        <v>-65</v>
      </c>
      <c r="AG66" s="46" t="n">
        <v>400</v>
      </c>
      <c r="AH66" s="37" t="inlineStr">
        <is>
          <t>Ham-Let + hoseandfittings (pressure); Parker Cat.4300 (material); ASTM B633 (finish); see StandardsData</t>
        </is>
      </c>
    </row>
    <row r="67" ht="15" customHeight="1" s="35">
      <c r="A67" s="37" t="inlineStr">
        <is>
          <t>6400-32-32-O</t>
        </is>
      </c>
      <c r="B67" s="37" t="inlineStr">
        <is>
          <t>6400-32-32-O</t>
        </is>
      </c>
      <c r="C67" s="37" t="inlineStr">
        <is>
          <t>6400</t>
        </is>
      </c>
      <c r="D67" s="37" t="n">
        <v>89</v>
      </c>
      <c r="E67" s="37" t="inlineStr">
        <is>
          <t>Straight</t>
        </is>
      </c>
      <c r="F67" s="37" t="inlineStr">
        <is>
          <t>Straight Thread Connector, 2 1/2-12 x 2 1/2-12</t>
        </is>
      </c>
      <c r="G67" s="37" t="inlineStr">
        <is>
          <t>2 1/2-12</t>
        </is>
      </c>
      <c r="H67" s="37" t="inlineStr">
        <is>
          <t>2 1/2-12</t>
        </is>
      </c>
      <c r="I67" s="37" t="n"/>
      <c r="J67" s="37" t="inlineStr">
        <is>
          <t>SAE J1926-3</t>
        </is>
      </c>
      <c r="K67" s="37" t="inlineStr">
        <is>
          <t>SAE J514-1</t>
        </is>
      </c>
      <c r="L67" s="37" t="n">
        <v>2.78</v>
      </c>
      <c r="M67" s="37" t="n">
        <v>2.75</v>
      </c>
      <c r="N67" s="37" t="n">
        <v>1.78</v>
      </c>
      <c r="O67" s="37" t="n">
        <v>1.78</v>
      </c>
      <c r="P67" s="37" t="n"/>
      <c r="Q67" s="37" t="n"/>
      <c r="R67" s="44" t="n"/>
      <c r="S67" s="45" t="n">
        <v>2.75</v>
      </c>
      <c r="T67" s="37" t="n">
        <v>0</v>
      </c>
      <c r="U67" s="37" t="inlineStr">
        <is>
          <t>VERIFIED</t>
        </is>
      </c>
      <c r="V67" s="37" t="inlineStr">
        <is>
          <t>MATCH (source cited: SAE J514-1 070120 / MS51525 / MS39324)</t>
        </is>
      </c>
      <c r="W67" s="37" t="inlineStr">
        <is>
          <t>BUILD</t>
        </is>
      </c>
      <c r="X67" s="37" t="inlineStr">
        <is>
          <t>Hex = Air-Way C4 column, CONFIRMED vs PressureConnections/Purvis.</t>
        </is>
      </c>
      <c r="Z67" s="45" t="inlineStr">
        <is>
          <t>Carbon Steel</t>
        </is>
      </c>
      <c r="AA67" s="45" t="inlineStr">
        <is>
          <t>ASTM A108 12L14</t>
        </is>
      </c>
      <c r="AB67" s="45" t="inlineStr">
        <is>
          <t>Trivalent Cr3 Zinc</t>
        </is>
      </c>
      <c r="AC67" s="45" t="inlineStr">
        <is>
          <t>ASTM B633 Type V/VI</t>
        </is>
      </c>
      <c r="AD67" s="46" t="n">
        <v>1500</v>
      </c>
      <c r="AE67" s="46" t="inlineStr">
        <is>
          <t>generic SAE table @ dash -32 (governing end)</t>
        </is>
      </c>
      <c r="AF67" s="46" t="n">
        <v>-65</v>
      </c>
      <c r="AG67" s="46" t="n">
        <v>400</v>
      </c>
      <c r="AH67" s="37" t="inlineStr">
        <is>
          <t>Ham-Let + hoseandfittings (pressure); Parker Cat.4300 (material); ASTM B633 (finish); see StandardsData</t>
        </is>
      </c>
    </row>
    <row r="68" ht="15" customHeight="1" s="35">
      <c r="A68" s="37" t="inlineStr">
        <is>
          <t>6801-03-03-NWO-FG</t>
        </is>
      </c>
      <c r="B68" s="37" t="inlineStr">
        <is>
          <t>6801-3-3 NWO-FG</t>
        </is>
      </c>
      <c r="C68" s="37" t="inlineStr">
        <is>
          <t>6801</t>
        </is>
      </c>
      <c r="D68" s="37" t="n">
        <v>134</v>
      </c>
      <c r="E68" s="37" t="inlineStr">
        <is>
          <t>90 deg</t>
        </is>
      </c>
      <c r="F68" s="37" t="inlineStr">
        <is>
          <t>90 deg Straight Thread Elbow, 3/8-24 x 3/8-24</t>
        </is>
      </c>
      <c r="G68" s="37" t="inlineStr">
        <is>
          <t>3/8-24</t>
        </is>
      </c>
      <c r="H68" s="37" t="inlineStr">
        <is>
          <t>3/8-24</t>
        </is>
      </c>
      <c r="I68" s="37" t="n"/>
      <c r="J68" s="37" t="inlineStr">
        <is>
          <t>SAE J1926-3</t>
        </is>
      </c>
      <c r="K68" s="37" t="inlineStr">
        <is>
          <t>SAE J514-1</t>
        </is>
      </c>
      <c r="L68" s="37" t="n">
        <v>0.83</v>
      </c>
      <c r="M68" s="37" t="n">
        <v>0.9399999999999999</v>
      </c>
      <c r="N68" s="37" t="n">
        <v>0.5</v>
      </c>
      <c r="O68" s="37" t="n">
        <v>0.44</v>
      </c>
      <c r="P68" s="37" t="n">
        <v>0.13</v>
      </c>
      <c r="Q68" s="37" t="n">
        <v>0.13</v>
      </c>
      <c r="R68" s="44" t="n">
        <v>0.44</v>
      </c>
      <c r="S68" s="44" t="n">
        <v>0.5</v>
      </c>
      <c r="T68" s="37" t="n">
        <v>90</v>
      </c>
      <c r="U68" s="37" t="inlineStr">
        <is>
          <t>ASSUMED</t>
        </is>
      </c>
      <c r="V68" s="37" t="inlineStr">
        <is>
          <t>MS51527 cross-check 2026-09-04: threads, both legs, both bores AGREE.</t>
        </is>
      </c>
      <c r="W68" s="37" t="inlineStr">
        <is>
          <t>BUILD</t>
        </is>
      </c>
      <c r="X68" s="37" t="inlineStr">
        <is>
          <t>Hex = Air-Way C4 column (per-part). Matched sizes in this topology corroborate the column.</t>
        </is>
      </c>
      <c r="Z68" s="45" t="inlineStr">
        <is>
          <t>Carbon Steel</t>
        </is>
      </c>
      <c r="AA68" s="45" t="inlineStr">
        <is>
          <t>ASTM A108 12L14</t>
        </is>
      </c>
      <c r="AB68" s="45" t="inlineStr">
        <is>
          <t>Trivalent Cr3 Zinc</t>
        </is>
      </c>
      <c r="AC68" s="45" t="inlineStr">
        <is>
          <t>ASTM B633 Type V/VI</t>
        </is>
      </c>
      <c r="AD68" s="46" t="n">
        <v>5000</v>
      </c>
      <c r="AE68" s="46" t="inlineStr">
        <is>
          <t>generic SAE table @ dash -3 (governing end)</t>
        </is>
      </c>
      <c r="AF68" s="46" t="n">
        <v>-65</v>
      </c>
      <c r="AG68" s="46" t="n">
        <v>400</v>
      </c>
      <c r="AH68" s="37" t="inlineStr">
        <is>
          <t>Ham-Let + hoseandfittings (pressure); Parker Cat.4300 (material); ASTM B633 (finish); see StandardsData</t>
        </is>
      </c>
    </row>
    <row r="69" ht="15" customHeight="1" s="35">
      <c r="A69" s="37" t="inlineStr">
        <is>
          <t>6801-03-05-NWO</t>
        </is>
      </c>
      <c r="B69" s="37" t="inlineStr">
        <is>
          <t>6801-3-5 NWO</t>
        </is>
      </c>
      <c r="C69" s="37" t="inlineStr">
        <is>
          <t>6801</t>
        </is>
      </c>
      <c r="D69" s="37" t="n">
        <v>134</v>
      </c>
      <c r="E69" s="37" t="inlineStr">
        <is>
          <t>90 deg</t>
        </is>
      </c>
      <c r="F69" s="37" t="inlineStr">
        <is>
          <t>90 deg Straight Thread Elbow, 3/8-24 x 1/2-20</t>
        </is>
      </c>
      <c r="G69" s="37" t="inlineStr">
        <is>
          <t>1/2-20</t>
        </is>
      </c>
      <c r="H69" s="37" t="inlineStr">
        <is>
          <t>3/8-24</t>
        </is>
      </c>
      <c r="I69" s="37" t="n"/>
      <c r="J69" s="37" t="inlineStr">
        <is>
          <t>SAE J1926-3</t>
        </is>
      </c>
      <c r="K69" s="37" t="inlineStr">
        <is>
          <t>SAE J514-1</t>
        </is>
      </c>
      <c r="L69" s="37" t="n">
        <v>0.89</v>
      </c>
      <c r="M69" s="37" t="n">
        <v>1.13</v>
      </c>
      <c r="N69" s="37" t="n">
        <v>0.5600000000000001</v>
      </c>
      <c r="O69" s="37" t="n">
        <v>0.5600000000000001</v>
      </c>
      <c r="P69" s="37" t="n">
        <v>0.13</v>
      </c>
      <c r="Q69" s="37" t="n">
        <v>0.23</v>
      </c>
      <c r="R69" s="44" t="n">
        <v>0.5600000000000001</v>
      </c>
      <c r="S69" s="44" t="n">
        <v>0.5600000000000001</v>
      </c>
      <c r="T69" s="37" t="n">
        <v>90</v>
      </c>
      <c r="U69" s="37" t="inlineStr">
        <is>
          <t>ASSUMED</t>
        </is>
      </c>
      <c r="V69" s="37" t="inlineStr">
        <is>
          <t>MS51527 covers matched-dash sizes only; Air-Way remains single source.</t>
        </is>
      </c>
      <c r="W69" s="37" t="inlineStr">
        <is>
          <t>BUILD</t>
        </is>
      </c>
      <c r="X69" s="37" t="inlineStr">
        <is>
          <t>Hex = Air-Way C4 column (per-part). Matched sizes in this topology corroborate the column.</t>
        </is>
      </c>
      <c r="Z69" s="45" t="inlineStr">
        <is>
          <t>Carbon Steel</t>
        </is>
      </c>
      <c r="AA69" s="45" t="inlineStr">
        <is>
          <t>ASTM A108 12L14</t>
        </is>
      </c>
      <c r="AB69" s="45" t="inlineStr">
        <is>
          <t>Trivalent Cr3 Zinc</t>
        </is>
      </c>
      <c r="AC69" s="45" t="inlineStr">
        <is>
          <t>ASTM B633 Type V/VI</t>
        </is>
      </c>
      <c r="AD69" s="46" t="n">
        <v>5000</v>
      </c>
      <c r="AE69" s="46" t="inlineStr">
        <is>
          <t>generic SAE table @ dash -5 (governing end)</t>
        </is>
      </c>
      <c r="AF69" s="46" t="n">
        <v>-65</v>
      </c>
      <c r="AG69" s="46" t="n">
        <v>400</v>
      </c>
      <c r="AH69" s="37" t="inlineStr">
        <is>
          <t>Ham-Let + hoseandfittings (pressure); Parker Cat.4300 (material); ASTM B633 (finish); see StandardsData</t>
        </is>
      </c>
    </row>
    <row r="70" ht="15" customHeight="1" s="35">
      <c r="A70" s="37" t="inlineStr">
        <is>
          <t>6801-04-02-NWO-FG</t>
        </is>
      </c>
      <c r="B70" s="37" t="inlineStr">
        <is>
          <t>6801-4-2 NWO-FG</t>
        </is>
      </c>
      <c r="C70" s="37" t="inlineStr">
        <is>
          <t>6801</t>
        </is>
      </c>
      <c r="D70" s="37" t="n">
        <v>134</v>
      </c>
      <c r="E70" s="37" t="inlineStr">
        <is>
          <t>90 deg</t>
        </is>
      </c>
      <c r="F70" s="37" t="inlineStr">
        <is>
          <t>90 deg Straight Thread Elbow, 7/16-20 x 5/16-24</t>
        </is>
      </c>
      <c r="G70" s="37" t="inlineStr">
        <is>
          <t>5/16-24</t>
        </is>
      </c>
      <c r="H70" s="37" t="inlineStr">
        <is>
          <t>7/16-20</t>
        </is>
      </c>
      <c r="I70" s="37" t="n"/>
      <c r="J70" s="37" t="inlineStr">
        <is>
          <t>SAE J1926-3</t>
        </is>
      </c>
      <c r="K70" s="37" t="inlineStr">
        <is>
          <t>SAE J514-1</t>
        </is>
      </c>
      <c r="L70" s="37" t="n">
        <v>0.89</v>
      </c>
      <c r="M70" s="37" t="n">
        <v>1.03</v>
      </c>
      <c r="N70" s="37" t="n">
        <v>0.44</v>
      </c>
      <c r="O70" s="37" t="n">
        <v>0.44</v>
      </c>
      <c r="P70" s="37" t="n">
        <v>0.17</v>
      </c>
      <c r="Q70" s="37" t="n">
        <v>0.06</v>
      </c>
      <c r="R70" s="44" t="n">
        <v>0.44</v>
      </c>
      <c r="S70" s="44" t="n">
        <v>0.44</v>
      </c>
      <c r="T70" s="37" t="n">
        <v>90</v>
      </c>
      <c r="U70" s="37" t="inlineStr">
        <is>
          <t>ASSUMED</t>
        </is>
      </c>
      <c r="V70" s="37" t="inlineStr">
        <is>
          <t>MS51527 covers matched-dash sizes only; Air-Way remains single source.</t>
        </is>
      </c>
      <c r="W70" s="37" t="inlineStr">
        <is>
          <t>BUILD</t>
        </is>
      </c>
      <c r="X70" s="37" t="inlineStr">
        <is>
          <t>Hex = Air-Way C4 column (per-part). Matched sizes in this topology corroborate the column.</t>
        </is>
      </c>
      <c r="Z70" s="45" t="inlineStr">
        <is>
          <t>Carbon Steel</t>
        </is>
      </c>
      <c r="AA70" s="45" t="inlineStr">
        <is>
          <t>ASTM A108 12L14</t>
        </is>
      </c>
      <c r="AB70" s="45" t="inlineStr">
        <is>
          <t>Trivalent Cr3 Zinc</t>
        </is>
      </c>
      <c r="AC70" s="45" t="inlineStr">
        <is>
          <t>ASTM B633 Type V/VI</t>
        </is>
      </c>
      <c r="AD70" s="46" t="n">
        <v>5000</v>
      </c>
      <c r="AE70" s="46" t="inlineStr">
        <is>
          <t>generic SAE table @ dash -4 (governing end)</t>
        </is>
      </c>
      <c r="AF70" s="46" t="n">
        <v>-65</v>
      </c>
      <c r="AG70" s="46" t="n">
        <v>400</v>
      </c>
      <c r="AH70" s="37" t="inlineStr">
        <is>
          <t>Ham-Let + hoseandfittings (pressure); Parker Cat.4300 (material); ASTM B633 (finish); see StandardsData</t>
        </is>
      </c>
    </row>
    <row r="71" ht="15" customHeight="1" s="35">
      <c r="A71" s="37" t="inlineStr">
        <is>
          <t>6801-04-02-NWO</t>
        </is>
      </c>
      <c r="B71" s="37" t="inlineStr">
        <is>
          <t>6801-4-2 NWO</t>
        </is>
      </c>
      <c r="C71" s="37" t="inlineStr">
        <is>
          <t>6801</t>
        </is>
      </c>
      <c r="D71" s="37" t="n">
        <v>134</v>
      </c>
      <c r="E71" s="37" t="inlineStr">
        <is>
          <t>90 deg</t>
        </is>
      </c>
      <c r="F71" s="37" t="inlineStr">
        <is>
          <t>90 deg Straight Thread Elbow, 7/16-20 x 5/16-24</t>
        </is>
      </c>
      <c r="G71" s="37" t="inlineStr">
        <is>
          <t>5/16-24</t>
        </is>
      </c>
      <c r="H71" s="37" t="inlineStr">
        <is>
          <t>7/16-20</t>
        </is>
      </c>
      <c r="I71" s="37" t="n"/>
      <c r="J71" s="37" t="inlineStr">
        <is>
          <t>SAE J1926-3</t>
        </is>
      </c>
      <c r="K71" s="37" t="inlineStr">
        <is>
          <t>SAE J514-1</t>
        </is>
      </c>
      <c r="L71" s="37" t="n">
        <v>0.89</v>
      </c>
      <c r="M71" s="37" t="n">
        <v>0.97</v>
      </c>
      <c r="N71" s="37" t="n">
        <v>0.44</v>
      </c>
      <c r="O71" s="37" t="n">
        <v>0.5</v>
      </c>
      <c r="P71" s="37" t="n">
        <v>0.17</v>
      </c>
      <c r="Q71" s="37" t="n">
        <v>0.06</v>
      </c>
      <c r="R71" s="44" t="n">
        <v>0.5</v>
      </c>
      <c r="S71" s="44" t="n">
        <v>0.44</v>
      </c>
      <c r="T71" s="37" t="n">
        <v>90</v>
      </c>
      <c r="U71" s="37" t="inlineStr">
        <is>
          <t>ASSUMED</t>
        </is>
      </c>
      <c r="V71" s="37" t="inlineStr">
        <is>
          <t>MS51527 covers matched-dash sizes only; Air-Way remains single source.</t>
        </is>
      </c>
      <c r="W71" s="37" t="inlineStr">
        <is>
          <t>BUILD</t>
        </is>
      </c>
      <c r="X71" s="37" t="inlineStr">
        <is>
          <t>Hex = Air-Way C4 column (per-part). Matched sizes in this topology corroborate the column.</t>
        </is>
      </c>
      <c r="Z71" s="45" t="inlineStr">
        <is>
          <t>Carbon Steel</t>
        </is>
      </c>
      <c r="AA71" s="45" t="inlineStr">
        <is>
          <t>ASTM A108 12L14</t>
        </is>
      </c>
      <c r="AB71" s="45" t="inlineStr">
        <is>
          <t>Trivalent Cr3 Zinc</t>
        </is>
      </c>
      <c r="AC71" s="45" t="inlineStr">
        <is>
          <t>ASTM B633 Type V/VI</t>
        </is>
      </c>
      <c r="AD71" s="46" t="n">
        <v>5000</v>
      </c>
      <c r="AE71" s="46" t="inlineStr">
        <is>
          <t>generic SAE table @ dash -4 (governing end)</t>
        </is>
      </c>
      <c r="AF71" s="46" t="n">
        <v>-65</v>
      </c>
      <c r="AG71" s="46" t="n">
        <v>400</v>
      </c>
      <c r="AH71" s="37" t="inlineStr">
        <is>
          <t>Ham-Let + hoseandfittings (pressure); Parker Cat.4300 (material); ASTM B633 (finish); see StandardsData</t>
        </is>
      </c>
    </row>
    <row r="72" ht="15" customHeight="1" s="35">
      <c r="A72" s="37" t="inlineStr">
        <is>
          <t>6801-04-03-NWO-FG</t>
        </is>
      </c>
      <c r="B72" s="37" t="inlineStr">
        <is>
          <t>6801-4-3 NWO-FG</t>
        </is>
      </c>
      <c r="C72" s="37" t="inlineStr">
        <is>
          <t>6801</t>
        </is>
      </c>
      <c r="D72" s="37" t="n">
        <v>134</v>
      </c>
      <c r="E72" s="37" t="inlineStr">
        <is>
          <t>90 deg</t>
        </is>
      </c>
      <c r="F72" s="37" t="inlineStr">
        <is>
          <t>90 deg Straight Thread Elbow, 7/16-20 x 3/8-24</t>
        </is>
      </c>
      <c r="G72" s="37" t="inlineStr">
        <is>
          <t>3/8-24</t>
        </is>
      </c>
      <c r="H72" s="37" t="inlineStr">
        <is>
          <t>7/16-20</t>
        </is>
      </c>
      <c r="I72" s="37" t="n"/>
      <c r="J72" s="37" t="inlineStr">
        <is>
          <t>SAE J1926-3</t>
        </is>
      </c>
      <c r="K72" s="37" t="inlineStr">
        <is>
          <t>SAE J514-1</t>
        </is>
      </c>
      <c r="L72" s="37" t="n">
        <v>0.89</v>
      </c>
      <c r="M72" s="37" t="n">
        <v>0.92</v>
      </c>
      <c r="N72" s="37" t="n">
        <v>0.5</v>
      </c>
      <c r="O72" s="37" t="n">
        <v>0.44</v>
      </c>
      <c r="P72" s="37" t="n">
        <v>0.17</v>
      </c>
      <c r="Q72" s="37" t="n">
        <v>0.13</v>
      </c>
      <c r="R72" s="44" t="n">
        <v>0.44</v>
      </c>
      <c r="S72" s="44" t="n">
        <v>0.5</v>
      </c>
      <c r="T72" s="37" t="n">
        <v>90</v>
      </c>
      <c r="U72" s="37" t="inlineStr">
        <is>
          <t>ASSUMED</t>
        </is>
      </c>
      <c r="V72" s="37" t="inlineStr">
        <is>
          <t>MS51527 covers matched-dash sizes only; Air-Way remains single source.</t>
        </is>
      </c>
      <c r="W72" s="37" t="inlineStr">
        <is>
          <t>BUILD</t>
        </is>
      </c>
      <c r="X72" s="37" t="inlineStr">
        <is>
          <t>Hex = Air-Way C4 column (per-part). Matched sizes in this topology corroborate the column.</t>
        </is>
      </c>
      <c r="Z72" s="45" t="inlineStr">
        <is>
          <t>Carbon Steel</t>
        </is>
      </c>
      <c r="AA72" s="45" t="inlineStr">
        <is>
          <t>ASTM A108 12L14</t>
        </is>
      </c>
      <c r="AB72" s="45" t="inlineStr">
        <is>
          <t>Trivalent Cr3 Zinc</t>
        </is>
      </c>
      <c r="AC72" s="45" t="inlineStr">
        <is>
          <t>ASTM B633 Type V/VI</t>
        </is>
      </c>
      <c r="AD72" s="46" t="n">
        <v>5000</v>
      </c>
      <c r="AE72" s="46" t="inlineStr">
        <is>
          <t>generic SAE table @ dash -4 (governing end)</t>
        </is>
      </c>
      <c r="AF72" s="46" t="n">
        <v>-65</v>
      </c>
      <c r="AG72" s="46" t="n">
        <v>400</v>
      </c>
      <c r="AH72" s="37" t="inlineStr">
        <is>
          <t>Ham-Let + hoseandfittings (pressure); Parker Cat.4300 (material); ASTM B633 (finish); see StandardsData</t>
        </is>
      </c>
    </row>
    <row r="73" ht="15" customHeight="1" s="35">
      <c r="A73" s="37" t="inlineStr">
        <is>
          <t>6801-04-03-NWO</t>
        </is>
      </c>
      <c r="B73" s="37" t="inlineStr">
        <is>
          <t>6801-4-3 NWO</t>
        </is>
      </c>
      <c r="C73" s="37" t="inlineStr">
        <is>
          <t>6801</t>
        </is>
      </c>
      <c r="D73" s="37" t="n">
        <v>134</v>
      </c>
      <c r="E73" s="37" t="inlineStr">
        <is>
          <t>90 deg</t>
        </is>
      </c>
      <c r="F73" s="37" t="inlineStr">
        <is>
          <t>90 deg Straight Thread Elbow, 7/16-20 x 3/8-24</t>
        </is>
      </c>
      <c r="G73" s="37" t="inlineStr">
        <is>
          <t>3/8-24</t>
        </is>
      </c>
      <c r="H73" s="37" t="inlineStr">
        <is>
          <t>7/16-20</t>
        </is>
      </c>
      <c r="I73" s="37" t="n"/>
      <c r="J73" s="37" t="inlineStr">
        <is>
          <t>SAE J1926-3</t>
        </is>
      </c>
      <c r="K73" s="37" t="inlineStr">
        <is>
          <t>SAE J514-1</t>
        </is>
      </c>
      <c r="L73" s="37" t="n">
        <v>0.89</v>
      </c>
      <c r="M73" s="37" t="n">
        <v>0.97</v>
      </c>
      <c r="N73" s="37" t="n">
        <v>0.5</v>
      </c>
      <c r="O73" s="37" t="n">
        <v>0.5</v>
      </c>
      <c r="P73" s="37" t="n">
        <v>0.17</v>
      </c>
      <c r="Q73" s="37" t="n">
        <v>0.13</v>
      </c>
      <c r="R73" s="44" t="n">
        <v>0.5</v>
      </c>
      <c r="S73" s="44" t="n">
        <v>0.5</v>
      </c>
      <c r="T73" s="37" t="n">
        <v>90</v>
      </c>
      <c r="U73" s="37" t="inlineStr">
        <is>
          <t>ASSUMED</t>
        </is>
      </c>
      <c r="V73" s="37" t="inlineStr">
        <is>
          <t>MS51527 covers matched-dash sizes only; Air-Way remains single source.</t>
        </is>
      </c>
      <c r="W73" s="37" t="inlineStr">
        <is>
          <t>BUILD</t>
        </is>
      </c>
      <c r="X73" s="37" t="inlineStr">
        <is>
          <t>Hex = Air-Way C4 column (per-part). Matched sizes in this topology corroborate the column.</t>
        </is>
      </c>
      <c r="Z73" s="45" t="inlineStr">
        <is>
          <t>Carbon Steel</t>
        </is>
      </c>
      <c r="AA73" s="45" t="inlineStr">
        <is>
          <t>ASTM A108 12L14</t>
        </is>
      </c>
      <c r="AB73" s="45" t="inlineStr">
        <is>
          <t>Trivalent Cr3 Zinc</t>
        </is>
      </c>
      <c r="AC73" s="45" t="inlineStr">
        <is>
          <t>ASTM B633 Type V/VI</t>
        </is>
      </c>
      <c r="AD73" s="46" t="n">
        <v>5000</v>
      </c>
      <c r="AE73" s="46" t="inlineStr">
        <is>
          <t>generic SAE table @ dash -4 (governing end)</t>
        </is>
      </c>
      <c r="AF73" s="46" t="n">
        <v>-65</v>
      </c>
      <c r="AG73" s="46" t="n">
        <v>400</v>
      </c>
      <c r="AH73" s="37" t="inlineStr">
        <is>
          <t>Ham-Let + hoseandfittings (pressure); Parker Cat.4300 (material); ASTM B633 (finish); see StandardsData</t>
        </is>
      </c>
    </row>
    <row r="74" ht="15" customHeight="1" s="35">
      <c r="A74" s="37" t="inlineStr">
        <is>
          <t>6801-04-04-NWO-FG</t>
        </is>
      </c>
      <c r="B74" s="37" t="inlineStr">
        <is>
          <t>6801-4-4 NWO-FG</t>
        </is>
      </c>
      <c r="C74" s="37" t="inlineStr">
        <is>
          <t>6801</t>
        </is>
      </c>
      <c r="D74" s="37" t="n">
        <v>134</v>
      </c>
      <c r="E74" s="37" t="inlineStr">
        <is>
          <t>90 deg</t>
        </is>
      </c>
      <c r="F74" s="37" t="inlineStr">
        <is>
          <t>90 deg Straight Thread Elbow, 7/16-20 x 7/16-20</t>
        </is>
      </c>
      <c r="G74" s="37" t="inlineStr">
        <is>
          <t>7/16-20</t>
        </is>
      </c>
      <c r="H74" s="37" t="inlineStr">
        <is>
          <t>7/16-20</t>
        </is>
      </c>
      <c r="I74" s="37" t="n"/>
      <c r="J74" s="37" t="inlineStr">
        <is>
          <t>SAE J1926-3</t>
        </is>
      </c>
      <c r="K74" s="37" t="inlineStr">
        <is>
          <t>SAE J514-1</t>
        </is>
      </c>
      <c r="L74" s="37" t="n">
        <v>0.89</v>
      </c>
      <c r="M74" s="37" t="n">
        <v>1.03</v>
      </c>
      <c r="N74" s="37" t="n">
        <v>0.5600000000000001</v>
      </c>
      <c r="O74" s="37" t="n">
        <v>0.44</v>
      </c>
      <c r="P74" s="37" t="n">
        <v>0.17</v>
      </c>
      <c r="Q74" s="37" t="n">
        <v>0.17</v>
      </c>
      <c r="R74" s="45" t="n">
        <v>0.44</v>
      </c>
      <c r="S74" s="45" t="n">
        <v>0.5600000000000001</v>
      </c>
      <c r="T74" s="37" t="n">
        <v>90</v>
      </c>
      <c r="U74" s="37" t="inlineStr">
        <is>
          <t>VERIFIED</t>
        </is>
      </c>
      <c r="V74" s="37" t="inlineStr">
        <is>
          <t>MS51527 cross-check 2026-09-04: threads, both legs, both bores AGREE.</t>
        </is>
      </c>
      <c r="W74" s="37" t="inlineStr">
        <is>
          <t>BUILD</t>
        </is>
      </c>
      <c r="X74" s="37" t="inlineStr">
        <is>
          <t>Hex = Air-Way C4 column, CONFIRMED vs PressureConnections/Purvis.</t>
        </is>
      </c>
      <c r="Z74" s="45" t="inlineStr">
        <is>
          <t>Carbon Steel</t>
        </is>
      </c>
      <c r="AA74" s="45" t="inlineStr">
        <is>
          <t>ASTM A108 12L14</t>
        </is>
      </c>
      <c r="AB74" s="45" t="inlineStr">
        <is>
          <t>Trivalent Cr3 Zinc</t>
        </is>
      </c>
      <c r="AC74" s="45" t="inlineStr">
        <is>
          <t>ASTM B633 Type V/VI</t>
        </is>
      </c>
      <c r="AD74" s="46" t="n">
        <v>5000</v>
      </c>
      <c r="AE74" s="46" t="inlineStr">
        <is>
          <t>generic SAE table @ dash -4 (governing end)</t>
        </is>
      </c>
      <c r="AF74" s="46" t="n">
        <v>-65</v>
      </c>
      <c r="AG74" s="46" t="n">
        <v>400</v>
      </c>
      <c r="AH74" s="37" t="inlineStr">
        <is>
          <t>Ham-Let + hoseandfittings (pressure); Parker Cat.4300 (material); ASTM B633 (finish); see StandardsData</t>
        </is>
      </c>
    </row>
    <row r="75" ht="15" customHeight="1" s="35">
      <c r="A75" s="37" t="inlineStr">
        <is>
          <t>6801-04-04-NWO</t>
        </is>
      </c>
      <c r="B75" s="37" t="inlineStr">
        <is>
          <t>6801-4-4 NWO</t>
        </is>
      </c>
      <c r="C75" s="37" t="inlineStr">
        <is>
          <t>6801</t>
        </is>
      </c>
      <c r="D75" s="37" t="n">
        <v>134</v>
      </c>
      <c r="E75" s="37" t="inlineStr">
        <is>
          <t>90 deg</t>
        </is>
      </c>
      <c r="F75" s="37" t="inlineStr">
        <is>
          <t>90 deg Straight Thread Elbow, 7/16-20 x 7/16-20</t>
        </is>
      </c>
      <c r="G75" s="37" t="inlineStr">
        <is>
          <t>7/16-20</t>
        </is>
      </c>
      <c r="H75" s="37" t="inlineStr">
        <is>
          <t>7/16-20</t>
        </is>
      </c>
      <c r="I75" s="37" t="n"/>
      <c r="J75" s="37" t="inlineStr">
        <is>
          <t>SAE J1926-3</t>
        </is>
      </c>
      <c r="K75" s="37" t="inlineStr">
        <is>
          <t>SAE J514-1</t>
        </is>
      </c>
      <c r="L75" s="37" t="n">
        <v>0.89</v>
      </c>
      <c r="M75" s="37" t="n">
        <v>1.03</v>
      </c>
      <c r="N75" s="37" t="n">
        <v>0.5600000000000001</v>
      </c>
      <c r="O75" s="37" t="n">
        <v>0.5</v>
      </c>
      <c r="P75" s="37" t="n">
        <v>0.17</v>
      </c>
      <c r="Q75" s="37" t="n">
        <v>0.17</v>
      </c>
      <c r="R75" s="45" t="n">
        <v>0.5</v>
      </c>
      <c r="S75" s="45" t="n">
        <v>0.5600000000000001</v>
      </c>
      <c r="T75" s="37" t="n">
        <v>90</v>
      </c>
      <c r="U75" s="37" t="inlineStr">
        <is>
          <t>VERIFIED</t>
        </is>
      </c>
      <c r="V75" s="37" t="inlineStr">
        <is>
          <t>MS51527 cross-check 2026-09-04: threads, both legs, both bores AGREE.</t>
        </is>
      </c>
      <c r="W75" s="37" t="inlineStr">
        <is>
          <t>BUILD</t>
        </is>
      </c>
      <c r="X75" s="37" t="inlineStr">
        <is>
          <t>Hex = Air-Way C4 column, CONFIRMED vs PressureConnections/Purvis.</t>
        </is>
      </c>
      <c r="Z75" s="45" t="inlineStr">
        <is>
          <t>Carbon Steel</t>
        </is>
      </c>
      <c r="AA75" s="45" t="inlineStr">
        <is>
          <t>ASTM A108 12L14</t>
        </is>
      </c>
      <c r="AB75" s="45" t="inlineStr">
        <is>
          <t>Trivalent Cr3 Zinc</t>
        </is>
      </c>
      <c r="AC75" s="45" t="inlineStr">
        <is>
          <t>ASTM B633 Type V/VI</t>
        </is>
      </c>
      <c r="AD75" s="46" t="n">
        <v>5000</v>
      </c>
      <c r="AE75" s="46" t="inlineStr">
        <is>
          <t>generic SAE table @ dash -4 (governing end)</t>
        </is>
      </c>
      <c r="AF75" s="46" t="n">
        <v>-65</v>
      </c>
      <c r="AG75" s="46" t="n">
        <v>400</v>
      </c>
      <c r="AH75" s="37" t="inlineStr">
        <is>
          <t>Ham-Let + hoseandfittings (pressure); Parker Cat.4300 (material); ASTM B633 (finish); see StandardsData</t>
        </is>
      </c>
    </row>
    <row r="76" ht="15" customHeight="1" s="35">
      <c r="A76" s="37" t="inlineStr">
        <is>
          <t>6801-04-05-NWO-FG</t>
        </is>
      </c>
      <c r="B76" s="37" t="inlineStr">
        <is>
          <t>6801-4-5 NWO-FG</t>
        </is>
      </c>
      <c r="C76" s="37" t="inlineStr">
        <is>
          <t>6801</t>
        </is>
      </c>
      <c r="D76" s="37" t="n">
        <v>134</v>
      </c>
      <c r="E76" s="37" t="inlineStr">
        <is>
          <t>90 deg</t>
        </is>
      </c>
      <c r="F76" s="37" t="inlineStr">
        <is>
          <t>90 deg Straight Thread Elbow, 7/16-20 x 1/2-20</t>
        </is>
      </c>
      <c r="G76" s="37" t="inlineStr">
        <is>
          <t>1/2-20</t>
        </is>
      </c>
      <c r="H76" s="37" t="inlineStr">
        <is>
          <t>7/16-20</t>
        </is>
      </c>
      <c r="I76" s="37" t="n"/>
      <c r="J76" s="37" t="inlineStr">
        <is>
          <t>SAE J1926-3</t>
        </is>
      </c>
      <c r="K76" s="37" t="inlineStr">
        <is>
          <t>SAE J514-1</t>
        </is>
      </c>
      <c r="L76" s="37" t="n">
        <v>0.95</v>
      </c>
      <c r="M76" s="37" t="n">
        <v>1.13</v>
      </c>
      <c r="N76" s="37" t="n">
        <v>0.63</v>
      </c>
      <c r="O76" s="37" t="n">
        <v>0.5600000000000001</v>
      </c>
      <c r="P76" s="37" t="n">
        <v>0.17</v>
      </c>
      <c r="Q76" s="37" t="n">
        <v>0.23</v>
      </c>
      <c r="R76" s="44" t="n">
        <v>0.5600000000000001</v>
      </c>
      <c r="S76" s="44" t="n">
        <v>0.63</v>
      </c>
      <c r="T76" s="37" t="n">
        <v>90</v>
      </c>
      <c r="U76" s="37" t="inlineStr">
        <is>
          <t>ASSUMED</t>
        </is>
      </c>
      <c r="V76" s="37" t="inlineStr">
        <is>
          <t>MS51527 covers matched-dash sizes only; Air-Way remains single source.</t>
        </is>
      </c>
      <c r="W76" s="37" t="inlineStr">
        <is>
          <t>BUILD</t>
        </is>
      </c>
      <c r="X76" s="37" t="inlineStr">
        <is>
          <t>Hex = Air-Way C4 column (per-part). Matched sizes in this topology corroborate the column.</t>
        </is>
      </c>
      <c r="Z76" s="45" t="inlineStr">
        <is>
          <t>Carbon Steel</t>
        </is>
      </c>
      <c r="AA76" s="45" t="inlineStr">
        <is>
          <t>ASTM A108 12L14</t>
        </is>
      </c>
      <c r="AB76" s="45" t="inlineStr">
        <is>
          <t>Trivalent Cr3 Zinc</t>
        </is>
      </c>
      <c r="AC76" s="45" t="inlineStr">
        <is>
          <t>ASTM B633 Type V/VI</t>
        </is>
      </c>
      <c r="AD76" s="46" t="n">
        <v>5000</v>
      </c>
      <c r="AE76" s="46" t="inlineStr">
        <is>
          <t>generic SAE table @ dash -5 (governing end)</t>
        </is>
      </c>
      <c r="AF76" s="46" t="n">
        <v>-65</v>
      </c>
      <c r="AG76" s="46" t="n">
        <v>400</v>
      </c>
      <c r="AH76" s="37" t="inlineStr">
        <is>
          <t>Ham-Let + hoseandfittings (pressure); Parker Cat.4300 (material); ASTM B633 (finish); see StandardsData</t>
        </is>
      </c>
    </row>
    <row r="77" ht="15" customHeight="1" s="35">
      <c r="A77" s="37" t="inlineStr">
        <is>
          <t>6801-04-05-NWO</t>
        </is>
      </c>
      <c r="B77" s="37" t="inlineStr">
        <is>
          <t>6801-4-5 NWO</t>
        </is>
      </c>
      <c r="C77" s="37" t="inlineStr">
        <is>
          <t>6801</t>
        </is>
      </c>
      <c r="D77" s="37" t="n">
        <v>134</v>
      </c>
      <c r="E77" s="37" t="inlineStr">
        <is>
          <t>90 deg</t>
        </is>
      </c>
      <c r="F77" s="37" t="inlineStr">
        <is>
          <t>90 deg Straight Thread Elbow, 7/16-20 x 1/2-20</t>
        </is>
      </c>
      <c r="G77" s="37" t="inlineStr">
        <is>
          <t>1/2-20</t>
        </is>
      </c>
      <c r="H77" s="37" t="inlineStr">
        <is>
          <t>7/16-20</t>
        </is>
      </c>
      <c r="I77" s="37" t="n"/>
      <c r="J77" s="37" t="inlineStr">
        <is>
          <t>SAE J1926-3</t>
        </is>
      </c>
      <c r="K77" s="37" t="inlineStr">
        <is>
          <t>SAE J514-1</t>
        </is>
      </c>
      <c r="L77" s="37" t="n">
        <v>0.92</v>
      </c>
      <c r="M77" s="37" t="n">
        <v>1.13</v>
      </c>
      <c r="N77" s="37" t="n">
        <v>0.63</v>
      </c>
      <c r="O77" s="37" t="n">
        <v>0.5600000000000001</v>
      </c>
      <c r="P77" s="37" t="n">
        <v>0.17</v>
      </c>
      <c r="Q77" s="37" t="n">
        <v>0.23</v>
      </c>
      <c r="R77" s="44" t="n">
        <v>0.5600000000000001</v>
      </c>
      <c r="S77" s="44" t="n">
        <v>0.63</v>
      </c>
      <c r="T77" s="37" t="n">
        <v>90</v>
      </c>
      <c r="U77" s="37" t="inlineStr">
        <is>
          <t>ASSUMED</t>
        </is>
      </c>
      <c r="V77" s="37" t="inlineStr">
        <is>
          <t>MS51527 covers matched-dash sizes only; Air-Way remains single source.</t>
        </is>
      </c>
      <c r="W77" s="37" t="inlineStr">
        <is>
          <t>BUILD</t>
        </is>
      </c>
      <c r="X77" s="37" t="inlineStr">
        <is>
          <t>Hex = Air-Way C4 column (per-part). Matched sizes in this topology corroborate the column.</t>
        </is>
      </c>
      <c r="Z77" s="45" t="inlineStr">
        <is>
          <t>Carbon Steel</t>
        </is>
      </c>
      <c r="AA77" s="45" t="inlineStr">
        <is>
          <t>ASTM A108 12L14</t>
        </is>
      </c>
      <c r="AB77" s="45" t="inlineStr">
        <is>
          <t>Trivalent Cr3 Zinc</t>
        </is>
      </c>
      <c r="AC77" s="45" t="inlineStr">
        <is>
          <t>ASTM B633 Type V/VI</t>
        </is>
      </c>
      <c r="AD77" s="46" t="n">
        <v>5000</v>
      </c>
      <c r="AE77" s="46" t="inlineStr">
        <is>
          <t>generic SAE table @ dash -5 (governing end)</t>
        </is>
      </c>
      <c r="AF77" s="46" t="n">
        <v>-65</v>
      </c>
      <c r="AG77" s="46" t="n">
        <v>400</v>
      </c>
      <c r="AH77" s="37" t="inlineStr">
        <is>
          <t>Ham-Let + hoseandfittings (pressure); Parker Cat.4300 (material); ASTM B633 (finish); see StandardsData</t>
        </is>
      </c>
    </row>
    <row r="78" ht="15" customHeight="1" s="35">
      <c r="A78" s="37" t="inlineStr">
        <is>
          <t>6801-04-06-NWO-FG</t>
        </is>
      </c>
      <c r="B78" s="37" t="inlineStr">
        <is>
          <t>6801-4-6 NWO-FG</t>
        </is>
      </c>
      <c r="C78" s="37" t="inlineStr">
        <is>
          <t>6801</t>
        </is>
      </c>
      <c r="D78" s="37" t="n">
        <v>134</v>
      </c>
      <c r="E78" s="37" t="inlineStr">
        <is>
          <t>90 deg</t>
        </is>
      </c>
      <c r="F78" s="37" t="inlineStr">
        <is>
          <t>90 deg Straight Thread Elbow, 7/16-20 x 9/16-18</t>
        </is>
      </c>
      <c r="G78" s="37" t="inlineStr">
        <is>
          <t>9/16-18</t>
        </is>
      </c>
      <c r="H78" s="37" t="inlineStr">
        <is>
          <t>7/16-20</t>
        </is>
      </c>
      <c r="I78" s="37" t="n"/>
      <c r="J78" s="37" t="inlineStr">
        <is>
          <t>SAE J1926-3</t>
        </is>
      </c>
      <c r="K78" s="37" t="inlineStr">
        <is>
          <t>SAE J514-1</t>
        </is>
      </c>
      <c r="L78" s="37" t="n">
        <v>1.05</v>
      </c>
      <c r="M78" s="37" t="n">
        <v>1.25</v>
      </c>
      <c r="N78" s="37" t="n">
        <v>0.6899999999999999</v>
      </c>
      <c r="O78" s="37" t="n">
        <v>0.5600000000000001</v>
      </c>
      <c r="P78" s="37" t="n">
        <v>0.17</v>
      </c>
      <c r="Q78" s="37" t="n">
        <v>0.3</v>
      </c>
      <c r="R78" s="44" t="n">
        <v>0.5600000000000001</v>
      </c>
      <c r="S78" s="44" t="n">
        <v>0.6899999999999999</v>
      </c>
      <c r="T78" s="37" t="n">
        <v>90</v>
      </c>
      <c r="U78" s="37" t="inlineStr">
        <is>
          <t>ASSUMED</t>
        </is>
      </c>
      <c r="V78" s="37" t="inlineStr">
        <is>
          <t>MS51527 covers matched-dash sizes only; Air-Way remains single source.</t>
        </is>
      </c>
      <c r="W78" s="37" t="inlineStr">
        <is>
          <t>BUILD</t>
        </is>
      </c>
      <c r="X78" s="37" t="inlineStr">
        <is>
          <t>Hex = Air-Way C4 column (per-part). Matched sizes in this topology corroborate the column.</t>
        </is>
      </c>
      <c r="Z78" s="45" t="inlineStr">
        <is>
          <t>Carbon Steel</t>
        </is>
      </c>
      <c r="AA78" s="45" t="inlineStr">
        <is>
          <t>ASTM A108 12L14</t>
        </is>
      </c>
      <c r="AB78" s="45" t="inlineStr">
        <is>
          <t>Trivalent Cr3 Zinc</t>
        </is>
      </c>
      <c r="AC78" s="45" t="inlineStr">
        <is>
          <t>ASTM B633 Type V/VI</t>
        </is>
      </c>
      <c r="AD78" s="46" t="n">
        <v>5000</v>
      </c>
      <c r="AE78" s="46" t="inlineStr">
        <is>
          <t>generic SAE table @ dash -6 (governing end)</t>
        </is>
      </c>
      <c r="AF78" s="46" t="n">
        <v>-65</v>
      </c>
      <c r="AG78" s="46" t="n">
        <v>400</v>
      </c>
      <c r="AH78" s="37" t="inlineStr">
        <is>
          <t>Ham-Let + hoseandfittings (pressure); Parker Cat.4300 (material); ASTM B633 (finish); see StandardsData</t>
        </is>
      </c>
    </row>
    <row r="79" ht="15" customHeight="1" s="35">
      <c r="A79" s="37" t="inlineStr">
        <is>
          <t>6801-04-06-NWO</t>
        </is>
      </c>
      <c r="B79" s="37" t="inlineStr">
        <is>
          <t>6801-4-6 NWO</t>
        </is>
      </c>
      <c r="C79" s="37" t="inlineStr">
        <is>
          <t>6801</t>
        </is>
      </c>
      <c r="D79" s="37" t="n">
        <v>134</v>
      </c>
      <c r="E79" s="37" t="inlineStr">
        <is>
          <t>90 deg</t>
        </is>
      </c>
      <c r="F79" s="37" t="inlineStr">
        <is>
          <t>90 deg Straight Thread Elbow, 7/16-20 x 9/16-18</t>
        </is>
      </c>
      <c r="G79" s="37" t="inlineStr">
        <is>
          <t>9/16-18</t>
        </is>
      </c>
      <c r="H79" s="37" t="inlineStr">
        <is>
          <t>7/16-20</t>
        </is>
      </c>
      <c r="I79" s="37" t="n"/>
      <c r="J79" s="37" t="inlineStr">
        <is>
          <t>SAE J1926-3</t>
        </is>
      </c>
      <c r="K79" s="37" t="inlineStr">
        <is>
          <t>SAE J514-1</t>
        </is>
      </c>
      <c r="L79" s="37" t="n">
        <v>0.95</v>
      </c>
      <c r="M79" s="37" t="n">
        <v>1.25</v>
      </c>
      <c r="N79" s="37" t="n">
        <v>0.6899999999999999</v>
      </c>
      <c r="O79" s="37" t="n">
        <v>0.63</v>
      </c>
      <c r="P79" s="37" t="n">
        <v>0.17</v>
      </c>
      <c r="Q79" s="37" t="n">
        <v>0.3</v>
      </c>
      <c r="R79" s="44" t="n">
        <v>0.63</v>
      </c>
      <c r="S79" s="44" t="n">
        <v>0.6899999999999999</v>
      </c>
      <c r="T79" s="37" t="n">
        <v>90</v>
      </c>
      <c r="U79" s="37" t="inlineStr">
        <is>
          <t>ASSUMED</t>
        </is>
      </c>
      <c r="V79" s="37" t="inlineStr">
        <is>
          <t>MS51527 covers matched-dash sizes only; Air-Way remains single source.</t>
        </is>
      </c>
      <c r="W79" s="37" t="inlineStr">
        <is>
          <t>BUILD</t>
        </is>
      </c>
      <c r="X79" s="37" t="inlineStr">
        <is>
          <t>Hex = Air-Way C4 column (per-part). Matched sizes in this topology corroborate the column.</t>
        </is>
      </c>
      <c r="Z79" s="45" t="inlineStr">
        <is>
          <t>Carbon Steel</t>
        </is>
      </c>
      <c r="AA79" s="45" t="inlineStr">
        <is>
          <t>ASTM A108 12L14</t>
        </is>
      </c>
      <c r="AB79" s="45" t="inlineStr">
        <is>
          <t>Trivalent Cr3 Zinc</t>
        </is>
      </c>
      <c r="AC79" s="45" t="inlineStr">
        <is>
          <t>ASTM B633 Type V/VI</t>
        </is>
      </c>
      <c r="AD79" s="46" t="n">
        <v>5000</v>
      </c>
      <c r="AE79" s="46" t="inlineStr">
        <is>
          <t>generic SAE table @ dash -6 (governing end)</t>
        </is>
      </c>
      <c r="AF79" s="46" t="n">
        <v>-65</v>
      </c>
      <c r="AG79" s="46" t="n">
        <v>400</v>
      </c>
      <c r="AH79" s="37" t="inlineStr">
        <is>
          <t>Ham-Let + hoseandfittings (pressure); Parker Cat.4300 (material); ASTM B633 (finish); see StandardsData</t>
        </is>
      </c>
    </row>
    <row r="80" ht="15" customHeight="1" s="35">
      <c r="A80" s="37" t="inlineStr">
        <is>
          <t>6801-04-08-NWO-FG</t>
        </is>
      </c>
      <c r="B80" s="37" t="inlineStr">
        <is>
          <t>6801-4-8 NWO-FG</t>
        </is>
      </c>
      <c r="C80" s="37" t="inlineStr">
        <is>
          <t>6801</t>
        </is>
      </c>
      <c r="D80" s="37" t="n">
        <v>134</v>
      </c>
      <c r="E80" s="37" t="inlineStr">
        <is>
          <t>90 deg</t>
        </is>
      </c>
      <c r="F80" s="37" t="inlineStr">
        <is>
          <t>90 deg Straight Thread Elbow, 7/16-20 x 3/4-16</t>
        </is>
      </c>
      <c r="G80" s="37" t="inlineStr">
        <is>
          <t>3/4-16</t>
        </is>
      </c>
      <c r="H80" s="37" t="inlineStr">
        <is>
          <t>7/16-20</t>
        </is>
      </c>
      <c r="I80" s="37" t="n"/>
      <c r="J80" s="37" t="inlineStr">
        <is>
          <t>SAE J1926-3</t>
        </is>
      </c>
      <c r="K80" s="37" t="inlineStr">
        <is>
          <t>SAE J514-1</t>
        </is>
      </c>
      <c r="L80" s="37" t="n">
        <v>1.12</v>
      </c>
      <c r="M80" s="37" t="n">
        <v>1.45</v>
      </c>
      <c r="N80" s="37" t="n">
        <v>0.88</v>
      </c>
      <c r="O80" s="37" t="n">
        <v>0.75</v>
      </c>
      <c r="P80" s="37" t="n">
        <v>0.17</v>
      </c>
      <c r="Q80" s="37" t="n">
        <v>0.39</v>
      </c>
      <c r="R80" s="44" t="n">
        <v>0.75</v>
      </c>
      <c r="S80" s="44" t="n">
        <v>0.88</v>
      </c>
      <c r="T80" s="37" t="n">
        <v>90</v>
      </c>
      <c r="U80" s="37" t="inlineStr">
        <is>
          <t>ASSUMED</t>
        </is>
      </c>
      <c r="V80" s="37" t="inlineStr">
        <is>
          <t>MS51527 covers matched-dash sizes only; Air-Way remains single source.</t>
        </is>
      </c>
      <c r="W80" s="37" t="inlineStr">
        <is>
          <t>BUILD</t>
        </is>
      </c>
      <c r="X80" s="37" t="inlineStr">
        <is>
          <t>Hex = Air-Way C4 column (per-part). Matched sizes in this topology corroborate the column.</t>
        </is>
      </c>
      <c r="Z80" s="45" t="inlineStr">
        <is>
          <t>Carbon Steel</t>
        </is>
      </c>
      <c r="AA80" s="45" t="inlineStr">
        <is>
          <t>ASTM A108 12L14</t>
        </is>
      </c>
      <c r="AB80" s="45" t="inlineStr">
        <is>
          <t>Trivalent Cr3 Zinc</t>
        </is>
      </c>
      <c r="AC80" s="45" t="inlineStr">
        <is>
          <t>ASTM B633 Type V/VI</t>
        </is>
      </c>
      <c r="AD80" s="46" t="n">
        <v>4500</v>
      </c>
      <c r="AE80" s="46" t="inlineStr">
        <is>
          <t>generic SAE table @ dash -8 (governing end)</t>
        </is>
      </c>
      <c r="AF80" s="46" t="n">
        <v>-65</v>
      </c>
      <c r="AG80" s="46" t="n">
        <v>400</v>
      </c>
      <c r="AH80" s="37" t="inlineStr">
        <is>
          <t>Ham-Let + hoseandfittings (pressure); Parker Cat.4300 (material); ASTM B633 (finish); see StandardsData</t>
        </is>
      </c>
    </row>
    <row r="81" ht="15" customHeight="1" s="35">
      <c r="A81" s="37" t="inlineStr">
        <is>
          <t>6801-04-08-NWO</t>
        </is>
      </c>
      <c r="B81" s="37" t="inlineStr">
        <is>
          <t>6801-4-8 NWO</t>
        </is>
      </c>
      <c r="C81" s="37" t="inlineStr">
        <is>
          <t>6801</t>
        </is>
      </c>
      <c r="D81" s="37" t="n">
        <v>134</v>
      </c>
      <c r="E81" s="37" t="inlineStr">
        <is>
          <t>90 deg</t>
        </is>
      </c>
      <c r="F81" s="37" t="inlineStr">
        <is>
          <t>90 deg Straight Thread Elbow, 7/16-20 x 3/4-16</t>
        </is>
      </c>
      <c r="G81" s="37" t="inlineStr">
        <is>
          <t>3/4-16</t>
        </is>
      </c>
      <c r="H81" s="37" t="inlineStr">
        <is>
          <t>7/16-20</t>
        </is>
      </c>
      <c r="I81" s="37" t="n"/>
      <c r="J81" s="37" t="inlineStr">
        <is>
          <t>SAE J1926-3</t>
        </is>
      </c>
      <c r="K81" s="37" t="inlineStr">
        <is>
          <t>SAE J514-1</t>
        </is>
      </c>
      <c r="L81" s="37" t="n">
        <v>1.05</v>
      </c>
      <c r="M81" s="37" t="n">
        <v>1.45</v>
      </c>
      <c r="N81" s="37" t="n">
        <v>0.88</v>
      </c>
      <c r="O81" s="37" t="n">
        <v>0.8100000000000001</v>
      </c>
      <c r="P81" s="37" t="n">
        <v>0.17</v>
      </c>
      <c r="Q81" s="37" t="n">
        <v>0.39</v>
      </c>
      <c r="R81" s="44" t="n">
        <v>0.8100000000000001</v>
      </c>
      <c r="S81" s="44" t="n">
        <v>0.88</v>
      </c>
      <c r="T81" s="37" t="n">
        <v>90</v>
      </c>
      <c r="U81" s="37" t="inlineStr">
        <is>
          <t>ASSUMED</t>
        </is>
      </c>
      <c r="V81" s="37" t="inlineStr">
        <is>
          <t>MS51527 covers matched-dash sizes only; Air-Way remains single source.</t>
        </is>
      </c>
      <c r="W81" s="37" t="inlineStr">
        <is>
          <t>BUILD</t>
        </is>
      </c>
      <c r="X81" s="37" t="inlineStr">
        <is>
          <t>Hex = Air-Way C4 column (per-part). Matched sizes in this topology corroborate the column.</t>
        </is>
      </c>
      <c r="Z81" s="45" t="inlineStr">
        <is>
          <t>Carbon Steel</t>
        </is>
      </c>
      <c r="AA81" s="45" t="inlineStr">
        <is>
          <t>ASTM A108 12L14</t>
        </is>
      </c>
      <c r="AB81" s="45" t="inlineStr">
        <is>
          <t>Trivalent Cr3 Zinc</t>
        </is>
      </c>
      <c r="AC81" s="45" t="inlineStr">
        <is>
          <t>ASTM B633 Type V/VI</t>
        </is>
      </c>
      <c r="AD81" s="46" t="n">
        <v>4500</v>
      </c>
      <c r="AE81" s="46" t="inlineStr">
        <is>
          <t>generic SAE table @ dash -8 (governing end)</t>
        </is>
      </c>
      <c r="AF81" s="46" t="n">
        <v>-65</v>
      </c>
      <c r="AG81" s="46" t="n">
        <v>400</v>
      </c>
      <c r="AH81" s="37" t="inlineStr">
        <is>
          <t>Ham-Let + hoseandfittings (pressure); Parker Cat.4300 (material); ASTM B633 (finish); see StandardsData</t>
        </is>
      </c>
    </row>
    <row r="82" ht="15" customHeight="1" s="35">
      <c r="A82" s="37" t="inlineStr">
        <is>
          <t>6801-04-10-NWO-FG</t>
        </is>
      </c>
      <c r="B82" s="37" t="inlineStr">
        <is>
          <t>6801-4-10 NWO-FG</t>
        </is>
      </c>
      <c r="C82" s="37" t="inlineStr">
        <is>
          <t>6801</t>
        </is>
      </c>
      <c r="D82" s="37" t="n">
        <v>134</v>
      </c>
      <c r="E82" s="37" t="inlineStr">
        <is>
          <t>90 deg</t>
        </is>
      </c>
      <c r="F82" s="37" t="inlineStr">
        <is>
          <t>90 deg Straight Thread Elbow, 7/16-20 x 7/8-14</t>
        </is>
      </c>
      <c r="G82" s="37" t="inlineStr">
        <is>
          <t>7/8-14</t>
        </is>
      </c>
      <c r="H82" s="37" t="inlineStr">
        <is>
          <t>7/16-20</t>
        </is>
      </c>
      <c r="I82" s="37" t="n"/>
      <c r="J82" s="37" t="inlineStr">
        <is>
          <t>SAE J1926-3</t>
        </is>
      </c>
      <c r="K82" s="37" t="inlineStr">
        <is>
          <t>SAE J514-1</t>
        </is>
      </c>
      <c r="L82" s="37" t="n">
        <v>1.21</v>
      </c>
      <c r="M82" s="37" t="n">
        <v>1.7</v>
      </c>
      <c r="N82" s="37" t="n">
        <v>1</v>
      </c>
      <c r="O82" s="37" t="n">
        <v>0.88</v>
      </c>
      <c r="P82" s="37" t="n">
        <v>0.17</v>
      </c>
      <c r="Q82" s="37" t="n">
        <v>0.48</v>
      </c>
      <c r="R82" s="44" t="n">
        <v>0.88</v>
      </c>
      <c r="S82" s="44" t="n">
        <v>1</v>
      </c>
      <c r="T82" s="37" t="n">
        <v>90</v>
      </c>
      <c r="U82" s="37" t="inlineStr">
        <is>
          <t>ASSUMED</t>
        </is>
      </c>
      <c r="V82" s="37" t="inlineStr">
        <is>
          <t>MS51527 covers matched-dash sizes only; Air-Way remains single source.</t>
        </is>
      </c>
      <c r="W82" s="37" t="inlineStr">
        <is>
          <t>BUILD</t>
        </is>
      </c>
      <c r="X82" s="37" t="inlineStr">
        <is>
          <t>Hex = Air-Way C4 column (per-part). Matched sizes in this topology corroborate the column.</t>
        </is>
      </c>
      <c r="Z82" s="45" t="inlineStr">
        <is>
          <t>Carbon Steel</t>
        </is>
      </c>
      <c r="AA82" s="45" t="inlineStr">
        <is>
          <t>ASTM A108 12L14</t>
        </is>
      </c>
      <c r="AB82" s="45" t="inlineStr">
        <is>
          <t>Trivalent Cr3 Zinc</t>
        </is>
      </c>
      <c r="AC82" s="45" t="inlineStr">
        <is>
          <t>ASTM B633 Type V/VI</t>
        </is>
      </c>
      <c r="AD82" s="46" t="n">
        <v>3500</v>
      </c>
      <c r="AE82" s="46" t="inlineStr">
        <is>
          <t>generic SAE table @ dash -10 (governing end)</t>
        </is>
      </c>
      <c r="AF82" s="46" t="n">
        <v>-65</v>
      </c>
      <c r="AG82" s="46" t="n">
        <v>400</v>
      </c>
      <c r="AH82" s="37" t="inlineStr">
        <is>
          <t>Ham-Let + hoseandfittings (pressure); Parker Cat.4300 (material); ASTM B633 (finish); see StandardsData</t>
        </is>
      </c>
    </row>
    <row r="83" ht="15" customHeight="1" s="35">
      <c r="A83" s="37" t="inlineStr">
        <is>
          <t>6801-04-10-NWO</t>
        </is>
      </c>
      <c r="B83" s="37" t="inlineStr">
        <is>
          <t>6801-4-10 NWO</t>
        </is>
      </c>
      <c r="C83" s="37" t="inlineStr">
        <is>
          <t>6801</t>
        </is>
      </c>
      <c r="D83" s="37" t="n">
        <v>134</v>
      </c>
      <c r="E83" s="37" t="inlineStr">
        <is>
          <t>90 deg</t>
        </is>
      </c>
      <c r="F83" s="37" t="inlineStr">
        <is>
          <t>90 deg Straight Thread Elbow, 7/16-20 x 7/8-14</t>
        </is>
      </c>
      <c r="G83" s="37" t="inlineStr">
        <is>
          <t>7/8-14</t>
        </is>
      </c>
      <c r="H83" s="37" t="inlineStr">
        <is>
          <t>7/16-20</t>
        </is>
      </c>
      <c r="I83" s="37" t="n"/>
      <c r="J83" s="37" t="inlineStr">
        <is>
          <t>SAE J1926-3</t>
        </is>
      </c>
      <c r="K83" s="37" t="inlineStr">
        <is>
          <t>SAE J514-1</t>
        </is>
      </c>
      <c r="L83" s="37" t="n">
        <v>1.11</v>
      </c>
      <c r="M83" s="37" t="n">
        <v>1.7</v>
      </c>
      <c r="N83" s="37" t="n">
        <v>1</v>
      </c>
      <c r="O83" s="37" t="n">
        <v>0.9399999999999999</v>
      </c>
      <c r="P83" s="37" t="n">
        <v>0.17</v>
      </c>
      <c r="Q83" s="37" t="n">
        <v>0.48</v>
      </c>
      <c r="R83" s="44" t="n">
        <v>0.9399999999999999</v>
      </c>
      <c r="S83" s="44" t="n">
        <v>1</v>
      </c>
      <c r="T83" s="37" t="n">
        <v>90</v>
      </c>
      <c r="U83" s="37" t="inlineStr">
        <is>
          <t>ASSUMED</t>
        </is>
      </c>
      <c r="V83" s="37" t="inlineStr">
        <is>
          <t>MS51527 covers matched-dash sizes only; Air-Way remains single source.</t>
        </is>
      </c>
      <c r="W83" s="37" t="inlineStr">
        <is>
          <t>BUILD</t>
        </is>
      </c>
      <c r="X83" s="37" t="inlineStr">
        <is>
          <t>Hex = Air-Way C4 column (per-part). Matched sizes in this topology corroborate the column.</t>
        </is>
      </c>
      <c r="Z83" s="45" t="inlineStr">
        <is>
          <t>Carbon Steel</t>
        </is>
      </c>
      <c r="AA83" s="45" t="inlineStr">
        <is>
          <t>ASTM A108 12L14</t>
        </is>
      </c>
      <c r="AB83" s="45" t="inlineStr">
        <is>
          <t>Trivalent Cr3 Zinc</t>
        </is>
      </c>
      <c r="AC83" s="45" t="inlineStr">
        <is>
          <t>ASTM B633 Type V/VI</t>
        </is>
      </c>
      <c r="AD83" s="46" t="n">
        <v>3500</v>
      </c>
      <c r="AE83" s="46" t="inlineStr">
        <is>
          <t>generic SAE table @ dash -10 (governing end)</t>
        </is>
      </c>
      <c r="AF83" s="46" t="n">
        <v>-65</v>
      </c>
      <c r="AG83" s="46" t="n">
        <v>400</v>
      </c>
      <c r="AH83" s="37" t="inlineStr">
        <is>
          <t>Ham-Let + hoseandfittings (pressure); Parker Cat.4300 (material); ASTM B633 (finish); see StandardsData</t>
        </is>
      </c>
    </row>
    <row r="84" ht="15" customHeight="1" s="35">
      <c r="A84" s="37" t="inlineStr">
        <is>
          <t>6801-05-04-NWO-FG</t>
        </is>
      </c>
      <c r="B84" s="37" t="inlineStr">
        <is>
          <t>6801-5-4 NWO-FG</t>
        </is>
      </c>
      <c r="C84" s="37" t="inlineStr">
        <is>
          <t>6801</t>
        </is>
      </c>
      <c r="D84" s="37" t="n">
        <v>134</v>
      </c>
      <c r="E84" s="37" t="inlineStr">
        <is>
          <t>90 deg</t>
        </is>
      </c>
      <c r="F84" s="37" t="inlineStr">
        <is>
          <t>90 deg Straight Thread Elbow, 1/2-20 x 7/16-20</t>
        </is>
      </c>
      <c r="G84" s="37" t="inlineStr">
        <is>
          <t>7/16-20</t>
        </is>
      </c>
      <c r="H84" s="37" t="inlineStr">
        <is>
          <t>1/2-20</t>
        </is>
      </c>
      <c r="I84" s="37" t="n"/>
      <c r="J84" s="37" t="inlineStr">
        <is>
          <t>SAE J1926-3</t>
        </is>
      </c>
      <c r="K84" s="37" t="inlineStr">
        <is>
          <t>SAE J514-1</t>
        </is>
      </c>
      <c r="L84" s="37" t="n">
        <v>0.95</v>
      </c>
      <c r="M84" s="37" t="n">
        <v>1.13</v>
      </c>
      <c r="N84" s="37" t="n">
        <v>0.5600000000000001</v>
      </c>
      <c r="O84" s="37" t="n">
        <v>0.5600000000000001</v>
      </c>
      <c r="P84" s="37" t="n">
        <v>0.23</v>
      </c>
      <c r="Q84" s="37" t="n">
        <v>0.17</v>
      </c>
      <c r="R84" s="44" t="n">
        <v>0.5600000000000001</v>
      </c>
      <c r="S84" s="44" t="n">
        <v>0.5600000000000001</v>
      </c>
      <c r="T84" s="37" t="n">
        <v>90</v>
      </c>
      <c r="U84" s="37" t="inlineStr">
        <is>
          <t>ASSUMED</t>
        </is>
      </c>
      <c r="V84" s="37" t="inlineStr">
        <is>
          <t>MS51527 covers matched-dash sizes only; Air-Way remains single source.</t>
        </is>
      </c>
      <c r="W84" s="37" t="inlineStr">
        <is>
          <t>BUILD</t>
        </is>
      </c>
      <c r="X84" s="37" t="inlineStr">
        <is>
          <t>Hex = Air-Way C4 column (per-part). Matched sizes in this topology corroborate the column.</t>
        </is>
      </c>
      <c r="Z84" s="45" t="inlineStr">
        <is>
          <t>Carbon Steel</t>
        </is>
      </c>
      <c r="AA84" s="45" t="inlineStr">
        <is>
          <t>ASTM A108 12L14</t>
        </is>
      </c>
      <c r="AB84" s="45" t="inlineStr">
        <is>
          <t>Trivalent Cr3 Zinc</t>
        </is>
      </c>
      <c r="AC84" s="45" t="inlineStr">
        <is>
          <t>ASTM B633 Type V/VI</t>
        </is>
      </c>
      <c r="AD84" s="46" t="n">
        <v>5000</v>
      </c>
      <c r="AE84" s="46" t="inlineStr">
        <is>
          <t>generic SAE table @ dash -5 (governing end)</t>
        </is>
      </c>
      <c r="AF84" s="46" t="n">
        <v>-65</v>
      </c>
      <c r="AG84" s="46" t="n">
        <v>400</v>
      </c>
      <c r="AH84" s="37" t="inlineStr">
        <is>
          <t>Ham-Let + hoseandfittings (pressure); Parker Cat.4300 (material); ASTM B633 (finish); see StandardsData</t>
        </is>
      </c>
    </row>
    <row r="85" ht="15" customHeight="1" s="35">
      <c r="A85" s="37" t="inlineStr">
        <is>
          <t>6801-05-04-NWO</t>
        </is>
      </c>
      <c r="B85" s="37" t="inlineStr">
        <is>
          <t>6801-5-4 NWO</t>
        </is>
      </c>
      <c r="C85" s="37" t="inlineStr">
        <is>
          <t>6801</t>
        </is>
      </c>
      <c r="D85" s="37" t="n">
        <v>134</v>
      </c>
      <c r="E85" s="37" t="inlineStr">
        <is>
          <t>90 deg</t>
        </is>
      </c>
      <c r="F85" s="37" t="inlineStr">
        <is>
          <t>90 deg Straight Thread Elbow, 1/2-20 x 7/16-20</t>
        </is>
      </c>
      <c r="G85" s="37" t="inlineStr">
        <is>
          <t>7/16-20</t>
        </is>
      </c>
      <c r="H85" s="37" t="inlineStr">
        <is>
          <t>1/2-20</t>
        </is>
      </c>
      <c r="I85" s="37" t="n"/>
      <c r="J85" s="37" t="inlineStr">
        <is>
          <t>SAE J1926-3</t>
        </is>
      </c>
      <c r="K85" s="37" t="inlineStr">
        <is>
          <t>SAE J514-1</t>
        </is>
      </c>
      <c r="L85" s="37" t="n">
        <v>0.95</v>
      </c>
      <c r="M85" s="37" t="n">
        <v>1.06</v>
      </c>
      <c r="N85" s="37" t="n">
        <v>0.5600000000000001</v>
      </c>
      <c r="O85" s="37" t="n">
        <v>0.5600000000000001</v>
      </c>
      <c r="P85" s="37" t="n">
        <v>0.23</v>
      </c>
      <c r="Q85" s="37" t="n">
        <v>0.17</v>
      </c>
      <c r="R85" s="44" t="n">
        <v>0.5600000000000001</v>
      </c>
      <c r="S85" s="44" t="n">
        <v>0.5600000000000001</v>
      </c>
      <c r="T85" s="37" t="n">
        <v>90</v>
      </c>
      <c r="U85" s="37" t="inlineStr">
        <is>
          <t>ASSUMED</t>
        </is>
      </c>
      <c r="V85" s="37" t="inlineStr">
        <is>
          <t>MS51527 covers matched-dash sizes only; Air-Way remains single source.</t>
        </is>
      </c>
      <c r="W85" s="37" t="inlineStr">
        <is>
          <t>BUILD</t>
        </is>
      </c>
      <c r="X85" s="37" t="inlineStr">
        <is>
          <t>Hex = Air-Way C4 column (per-part). Matched sizes in this topology corroborate the column.</t>
        </is>
      </c>
      <c r="Z85" s="45" t="inlineStr">
        <is>
          <t>Carbon Steel</t>
        </is>
      </c>
      <c r="AA85" s="45" t="inlineStr">
        <is>
          <t>ASTM A108 12L14</t>
        </is>
      </c>
      <c r="AB85" s="45" t="inlineStr">
        <is>
          <t>Trivalent Cr3 Zinc</t>
        </is>
      </c>
      <c r="AC85" s="45" t="inlineStr">
        <is>
          <t>ASTM B633 Type V/VI</t>
        </is>
      </c>
      <c r="AD85" s="46" t="n">
        <v>5000</v>
      </c>
      <c r="AE85" s="46" t="inlineStr">
        <is>
          <t>generic SAE table @ dash -5 (governing end)</t>
        </is>
      </c>
      <c r="AF85" s="46" t="n">
        <v>-65</v>
      </c>
      <c r="AG85" s="46" t="n">
        <v>400</v>
      </c>
      <c r="AH85" s="37" t="inlineStr">
        <is>
          <t>Ham-Let + hoseandfittings (pressure); Parker Cat.4300 (material); ASTM B633 (finish); see StandardsData</t>
        </is>
      </c>
    </row>
    <row r="86" ht="15" customHeight="1" s="35">
      <c r="A86" s="37" t="inlineStr">
        <is>
          <t>6801-05-05-NWO-FG</t>
        </is>
      </c>
      <c r="B86" s="37" t="inlineStr">
        <is>
          <t>6801-5-5 NWO-FG</t>
        </is>
      </c>
      <c r="C86" s="37" t="inlineStr">
        <is>
          <t>6801</t>
        </is>
      </c>
      <c r="D86" s="37" t="n">
        <v>134</v>
      </c>
      <c r="E86" s="37" t="inlineStr">
        <is>
          <t>90 deg</t>
        </is>
      </c>
      <c r="F86" s="37" t="inlineStr">
        <is>
          <t>90 deg Straight Thread Elbow, 1/2-20 x 1/2-20</t>
        </is>
      </c>
      <c r="G86" s="37" t="inlineStr">
        <is>
          <t>1/2-20</t>
        </is>
      </c>
      <c r="H86" s="37" t="inlineStr">
        <is>
          <t>1/2-20</t>
        </is>
      </c>
      <c r="I86" s="37" t="n"/>
      <c r="J86" s="37" t="inlineStr">
        <is>
          <t>SAE J1926-3</t>
        </is>
      </c>
      <c r="K86" s="37" t="inlineStr">
        <is>
          <t>SAE J514-1</t>
        </is>
      </c>
      <c r="L86" s="37" t="n">
        <v>0.95</v>
      </c>
      <c r="M86" s="37" t="n">
        <v>1.13</v>
      </c>
      <c r="N86" s="37" t="n">
        <v>0.63</v>
      </c>
      <c r="O86" s="37" t="n">
        <v>0.5600000000000001</v>
      </c>
      <c r="P86" s="37" t="n">
        <v>0.23</v>
      </c>
      <c r="Q86" s="37" t="n">
        <v>0.23</v>
      </c>
      <c r="R86" s="44" t="n">
        <v>0.5600000000000001</v>
      </c>
      <c r="S86" s="44" t="n">
        <v>0.63</v>
      </c>
      <c r="T86" s="37" t="n">
        <v>90</v>
      </c>
      <c r="U86" s="37" t="inlineStr">
        <is>
          <t>VERIFIED</t>
        </is>
      </c>
      <c r="V86" s="37" t="inlineStr">
        <is>
          <t>RESOLVED 2-1: boss leg M7=1.13 (Air-Way+Brennan drawing; MS51527 1.090 was a misread). 2026-09-05 Brennan product-drawing tiebreak</t>
        </is>
      </c>
      <c r="W86" s="37" t="inlineStr">
        <is>
          <t>BUILD</t>
        </is>
      </c>
      <c r="X86" s="37" t="inlineStr">
        <is>
          <t>Hex = Air-Way C4 column (per-part). Matched sizes in this topology corroborate the column. | MS51527 DIVERGES on legB (AW M=0.95,M7=1.13,D1=0.23,D2=0.23 vs MS M3=0.95,M4=1.09,D=0.234). Blocked pending decision.</t>
        </is>
      </c>
      <c r="Z86" s="45" t="inlineStr">
        <is>
          <t>Carbon Steel</t>
        </is>
      </c>
      <c r="AA86" s="45" t="inlineStr">
        <is>
          <t>ASTM A108 12L14</t>
        </is>
      </c>
      <c r="AB86" s="45" t="inlineStr">
        <is>
          <t>Trivalent Cr3 Zinc</t>
        </is>
      </c>
      <c r="AC86" s="45" t="inlineStr">
        <is>
          <t>ASTM B633 Type V/VI</t>
        </is>
      </c>
      <c r="AD86" s="46" t="n">
        <v>5000</v>
      </c>
      <c r="AE86" s="46" t="inlineStr">
        <is>
          <t>generic SAE table @ dash -5 (governing end)</t>
        </is>
      </c>
      <c r="AF86" s="46" t="n">
        <v>-65</v>
      </c>
      <c r="AG86" s="46" t="n">
        <v>400</v>
      </c>
      <c r="AH86" s="37" t="inlineStr">
        <is>
          <t>Ham-Let + hoseandfittings (pressure); Parker Cat.4300 (material); ASTM B633 (finish); see StandardsData</t>
        </is>
      </c>
    </row>
    <row r="87" ht="15" customHeight="1" s="35">
      <c r="A87" s="37" t="inlineStr">
        <is>
          <t>6801-05-06-NWO-FG</t>
        </is>
      </c>
      <c r="B87" s="37" t="inlineStr">
        <is>
          <t>6801-5-6 NWO-FG</t>
        </is>
      </c>
      <c r="C87" s="37" t="inlineStr">
        <is>
          <t>6801</t>
        </is>
      </c>
      <c r="D87" s="37" t="n">
        <v>134</v>
      </c>
      <c r="E87" s="37" t="inlineStr">
        <is>
          <t>90 deg</t>
        </is>
      </c>
      <c r="F87" s="37" t="inlineStr">
        <is>
          <t>90 deg Straight Thread Elbow, 1/2-20 x 9/16-18</t>
        </is>
      </c>
      <c r="G87" s="37" t="inlineStr">
        <is>
          <t>9/16-18</t>
        </is>
      </c>
      <c r="H87" s="37" t="inlineStr">
        <is>
          <t>1/2-20</t>
        </is>
      </c>
      <c r="I87" s="37" t="n"/>
      <c r="J87" s="37" t="inlineStr">
        <is>
          <t>SAE J1926-3</t>
        </is>
      </c>
      <c r="K87" s="37" t="inlineStr">
        <is>
          <t>SAE J514-1</t>
        </is>
      </c>
      <c r="L87" s="37" t="n">
        <v>1.05</v>
      </c>
      <c r="M87" s="37" t="n">
        <v>1.25</v>
      </c>
      <c r="N87" s="37" t="n">
        <v>0.6899999999999999</v>
      </c>
      <c r="O87" s="37" t="n">
        <v>0.5600000000000001</v>
      </c>
      <c r="P87" s="37" t="n">
        <v>0.23</v>
      </c>
      <c r="Q87" s="37" t="n">
        <v>0.3</v>
      </c>
      <c r="R87" s="44" t="n">
        <v>0.5600000000000001</v>
      </c>
      <c r="S87" s="44" t="n">
        <v>0.6899999999999999</v>
      </c>
      <c r="T87" s="37" t="n">
        <v>90</v>
      </c>
      <c r="U87" s="37" t="inlineStr">
        <is>
          <t>ASSUMED</t>
        </is>
      </c>
      <c r="V87" s="37" t="inlineStr">
        <is>
          <t>MS51527 covers matched-dash sizes only; Air-Way remains single source.</t>
        </is>
      </c>
      <c r="W87" s="37" t="inlineStr">
        <is>
          <t>BUILD</t>
        </is>
      </c>
      <c r="X87" s="37" t="inlineStr">
        <is>
          <t>Hex = Air-Way C4 column (per-part). Matched sizes in this topology corroborate the column.</t>
        </is>
      </c>
      <c r="Z87" s="45" t="inlineStr">
        <is>
          <t>Carbon Steel</t>
        </is>
      </c>
      <c r="AA87" s="45" t="inlineStr">
        <is>
          <t>ASTM A108 12L14</t>
        </is>
      </c>
      <c r="AB87" s="45" t="inlineStr">
        <is>
          <t>Trivalent Cr3 Zinc</t>
        </is>
      </c>
      <c r="AC87" s="45" t="inlineStr">
        <is>
          <t>ASTM B633 Type V/VI</t>
        </is>
      </c>
      <c r="AD87" s="46" t="n">
        <v>5000</v>
      </c>
      <c r="AE87" s="46" t="inlineStr">
        <is>
          <t>generic SAE table @ dash -6 (governing end)</t>
        </is>
      </c>
      <c r="AF87" s="46" t="n">
        <v>-65</v>
      </c>
      <c r="AG87" s="46" t="n">
        <v>400</v>
      </c>
      <c r="AH87" s="37" t="inlineStr">
        <is>
          <t>Ham-Let + hoseandfittings (pressure); Parker Cat.4300 (material); ASTM B633 (finish); see StandardsData</t>
        </is>
      </c>
    </row>
    <row r="88" ht="15" customHeight="1" s="35">
      <c r="A88" s="37" t="inlineStr">
        <is>
          <t>6801-05-05-NWO</t>
        </is>
      </c>
      <c r="B88" s="37" t="inlineStr">
        <is>
          <t>6801-5-5 NWO</t>
        </is>
      </c>
      <c r="C88" s="37" t="inlineStr">
        <is>
          <t>6801</t>
        </is>
      </c>
      <c r="D88" s="37" t="n">
        <v>134</v>
      </c>
      <c r="E88" s="37" t="inlineStr">
        <is>
          <t>90 deg</t>
        </is>
      </c>
      <c r="F88" s="37" t="inlineStr">
        <is>
          <t>90 deg Straight Thread Elbow, 1/2-20 x 1/2-20</t>
        </is>
      </c>
      <c r="G88" s="37" t="inlineStr">
        <is>
          <t>1/2-20</t>
        </is>
      </c>
      <c r="H88" s="37" t="inlineStr">
        <is>
          <t>1/2-20</t>
        </is>
      </c>
      <c r="I88" s="37" t="n"/>
      <c r="J88" s="37" t="inlineStr">
        <is>
          <t>SAE J1926-3</t>
        </is>
      </c>
      <c r="K88" s="37" t="inlineStr">
        <is>
          <t>SAE J514-1</t>
        </is>
      </c>
      <c r="L88" s="37" t="n">
        <v>0.95</v>
      </c>
      <c r="M88" s="37" t="n">
        <v>1.13</v>
      </c>
      <c r="N88" s="37" t="n">
        <v>0.63</v>
      </c>
      <c r="O88" s="37" t="n">
        <v>0.5600000000000001</v>
      </c>
      <c r="P88" s="37" t="n">
        <v>0.23</v>
      </c>
      <c r="Q88" s="37" t="n">
        <v>0.23</v>
      </c>
      <c r="R88" s="44" t="n">
        <v>0.5600000000000001</v>
      </c>
      <c r="S88" s="44" t="n">
        <v>0.63</v>
      </c>
      <c r="T88" s="37" t="n">
        <v>90</v>
      </c>
      <c r="U88" s="37" t="inlineStr">
        <is>
          <t>VERIFIED</t>
        </is>
      </c>
      <c r="V88" s="37" t="inlineStr">
        <is>
          <t>RESOLVED 2-1: boss leg M7=1.13 (Air-Way+Brennan drawing; MS51527 1.090 was a misread). 2026-09-05 Brennan product-drawing tiebreak</t>
        </is>
      </c>
      <c r="W88" s="37" t="inlineStr">
        <is>
          <t>BUILD</t>
        </is>
      </c>
      <c r="X88" s="37" t="inlineStr">
        <is>
          <t>Hex = Air-Way C4 column (per-part). Matched sizes in this topology corroborate the column. | MS51527 DIVERGES on legB (AW M=0.95,M7=1.13,D1=0.23,D2=0.23 vs MS M3=0.95,M4=1.09,D=0.234). Blocked pending decision.</t>
        </is>
      </c>
      <c r="Z88" s="45" t="inlineStr">
        <is>
          <t>Carbon Steel</t>
        </is>
      </c>
      <c r="AA88" s="45" t="inlineStr">
        <is>
          <t>ASTM A108 12L14</t>
        </is>
      </c>
      <c r="AB88" s="45" t="inlineStr">
        <is>
          <t>Trivalent Cr3 Zinc</t>
        </is>
      </c>
      <c r="AC88" s="45" t="inlineStr">
        <is>
          <t>ASTM B633 Type V/VI</t>
        </is>
      </c>
      <c r="AD88" s="46" t="n">
        <v>5000</v>
      </c>
      <c r="AE88" s="46" t="inlineStr">
        <is>
          <t>generic SAE table @ dash -5 (governing end)</t>
        </is>
      </c>
      <c r="AF88" s="46" t="n">
        <v>-65</v>
      </c>
      <c r="AG88" s="46" t="n">
        <v>400</v>
      </c>
      <c r="AH88" s="37" t="inlineStr">
        <is>
          <t>Ham-Let + hoseandfittings (pressure); Parker Cat.4300 (material); ASTM B633 (finish); see StandardsData</t>
        </is>
      </c>
    </row>
    <row r="89" ht="15" customHeight="1" s="35">
      <c r="A89" s="37" t="inlineStr">
        <is>
          <t>6801-05-06-NWO</t>
        </is>
      </c>
      <c r="B89" s="37" t="inlineStr">
        <is>
          <t>6801-5-6 NWO</t>
        </is>
      </c>
      <c r="C89" s="37" t="inlineStr">
        <is>
          <t>6801</t>
        </is>
      </c>
      <c r="D89" s="37" t="n">
        <v>134</v>
      </c>
      <c r="E89" s="37" t="inlineStr">
        <is>
          <t>90 deg</t>
        </is>
      </c>
      <c r="F89" s="37" t="inlineStr">
        <is>
          <t>90 deg Straight Thread Elbow, 1/2-20 x 9/16-18</t>
        </is>
      </c>
      <c r="G89" s="37" t="inlineStr">
        <is>
          <t>9/16-18</t>
        </is>
      </c>
      <c r="H89" s="37" t="inlineStr">
        <is>
          <t>1/2-20</t>
        </is>
      </c>
      <c r="I89" s="37" t="n"/>
      <c r="J89" s="37" t="inlineStr">
        <is>
          <t>SAE J1926-3</t>
        </is>
      </c>
      <c r="K89" s="37" t="inlineStr">
        <is>
          <t>SAE J514-1</t>
        </is>
      </c>
      <c r="L89" s="37" t="n">
        <v>0.98</v>
      </c>
      <c r="M89" s="37" t="n">
        <v>1.25</v>
      </c>
      <c r="N89" s="37" t="n">
        <v>0.6899999999999999</v>
      </c>
      <c r="O89" s="37" t="n">
        <v>0.63</v>
      </c>
      <c r="P89" s="37" t="n">
        <v>0.23</v>
      </c>
      <c r="Q89" s="37" t="n">
        <v>0.3</v>
      </c>
      <c r="R89" s="44" t="n">
        <v>0.63</v>
      </c>
      <c r="S89" s="44" t="n">
        <v>0.6899999999999999</v>
      </c>
      <c r="T89" s="37" t="n">
        <v>90</v>
      </c>
      <c r="U89" s="37" t="inlineStr">
        <is>
          <t>ASSUMED</t>
        </is>
      </c>
      <c r="V89" s="37" t="inlineStr">
        <is>
          <t>MS51527 covers matched-dash sizes only; Air-Way remains single source.</t>
        </is>
      </c>
      <c r="W89" s="37" t="inlineStr">
        <is>
          <t>BUILD</t>
        </is>
      </c>
      <c r="X89" s="37" t="inlineStr">
        <is>
          <t>Hex = Air-Way C4 column (per-part). Matched sizes in this topology corroborate the column.</t>
        </is>
      </c>
      <c r="Z89" s="45" t="inlineStr">
        <is>
          <t>Carbon Steel</t>
        </is>
      </c>
      <c r="AA89" s="45" t="inlineStr">
        <is>
          <t>ASTM A108 12L14</t>
        </is>
      </c>
      <c r="AB89" s="45" t="inlineStr">
        <is>
          <t>Trivalent Cr3 Zinc</t>
        </is>
      </c>
      <c r="AC89" s="45" t="inlineStr">
        <is>
          <t>ASTM B633 Type V/VI</t>
        </is>
      </c>
      <c r="AD89" s="46" t="n">
        <v>5000</v>
      </c>
      <c r="AE89" s="46" t="inlineStr">
        <is>
          <t>generic SAE table @ dash -6 (governing end)</t>
        </is>
      </c>
      <c r="AF89" s="46" t="n">
        <v>-65</v>
      </c>
      <c r="AG89" s="46" t="n">
        <v>400</v>
      </c>
      <c r="AH89" s="37" t="inlineStr">
        <is>
          <t>Ham-Let + hoseandfittings (pressure); Parker Cat.4300 (material); ASTM B633 (finish); see StandardsData</t>
        </is>
      </c>
    </row>
    <row r="90" ht="15" customHeight="1" s="35">
      <c r="A90" s="37" t="inlineStr">
        <is>
          <t>6801-05-08-NWO</t>
        </is>
      </c>
      <c r="B90" s="37" t="inlineStr">
        <is>
          <t>6801-5-8 NWO</t>
        </is>
      </c>
      <c r="C90" s="37" t="inlineStr">
        <is>
          <t>6801</t>
        </is>
      </c>
      <c r="D90" s="37" t="n">
        <v>134</v>
      </c>
      <c r="E90" s="37" t="inlineStr">
        <is>
          <t>90 deg</t>
        </is>
      </c>
      <c r="F90" s="37" t="inlineStr">
        <is>
          <t>90 deg Straight Thread Elbow, 1/2-20 x 3/4-16</t>
        </is>
      </c>
      <c r="G90" s="37" t="inlineStr">
        <is>
          <t>3/4-16</t>
        </is>
      </c>
      <c r="H90" s="37" t="inlineStr">
        <is>
          <t>1/2-20</t>
        </is>
      </c>
      <c r="I90" s="37" t="n"/>
      <c r="J90" s="37" t="inlineStr">
        <is>
          <t>SAE J1926-3</t>
        </is>
      </c>
      <c r="K90" s="37" t="inlineStr">
        <is>
          <t>SAE J514-1</t>
        </is>
      </c>
      <c r="L90" s="37" t="n">
        <v>1.08</v>
      </c>
      <c r="M90" s="37" t="n">
        <v>1.45</v>
      </c>
      <c r="N90" s="37" t="n">
        <v>0.88</v>
      </c>
      <c r="O90" s="37" t="n">
        <v>0.8100000000000001</v>
      </c>
      <c r="P90" s="37" t="n">
        <v>0.23</v>
      </c>
      <c r="Q90" s="37" t="n">
        <v>0.39</v>
      </c>
      <c r="R90" s="44" t="n">
        <v>0.8100000000000001</v>
      </c>
      <c r="S90" s="44" t="n">
        <v>0.88</v>
      </c>
      <c r="T90" s="37" t="n">
        <v>90</v>
      </c>
      <c r="U90" s="37" t="inlineStr">
        <is>
          <t>ASSUMED</t>
        </is>
      </c>
      <c r="V90" s="37" t="inlineStr">
        <is>
          <t>MS51527 covers matched-dash sizes only; Air-Way remains single source.</t>
        </is>
      </c>
      <c r="W90" s="37" t="inlineStr">
        <is>
          <t>BUILD</t>
        </is>
      </c>
      <c r="X90" s="37" t="inlineStr">
        <is>
          <t>Hex = Air-Way C4 column (per-part). Matched sizes in this topology corroborate the column.</t>
        </is>
      </c>
      <c r="Z90" s="45" t="inlineStr">
        <is>
          <t>Carbon Steel</t>
        </is>
      </c>
      <c r="AA90" s="45" t="inlineStr">
        <is>
          <t>ASTM A108 12L14</t>
        </is>
      </c>
      <c r="AB90" s="45" t="inlineStr">
        <is>
          <t>Trivalent Cr3 Zinc</t>
        </is>
      </c>
      <c r="AC90" s="45" t="inlineStr">
        <is>
          <t>ASTM B633 Type V/VI</t>
        </is>
      </c>
      <c r="AD90" s="46" t="n">
        <v>4500</v>
      </c>
      <c r="AE90" s="46" t="inlineStr">
        <is>
          <t>generic SAE table @ dash -8 (governing end)</t>
        </is>
      </c>
      <c r="AF90" s="46" t="n">
        <v>-65</v>
      </c>
      <c r="AG90" s="46" t="n">
        <v>400</v>
      </c>
      <c r="AH90" s="37" t="inlineStr">
        <is>
          <t>Ham-Let + hoseandfittings (pressure); Parker Cat.4300 (material); ASTM B633 (finish); see StandardsData</t>
        </is>
      </c>
    </row>
    <row r="91" ht="15" customHeight="1" s="35">
      <c r="A91" s="37" t="inlineStr">
        <is>
          <t>6801-06-04-NWO-FG</t>
        </is>
      </c>
      <c r="B91" s="37" t="inlineStr">
        <is>
          <t>6801-6-4 NWO-FG</t>
        </is>
      </c>
      <c r="C91" s="37" t="inlineStr">
        <is>
          <t>6801</t>
        </is>
      </c>
      <c r="D91" s="37" t="n">
        <v>134</v>
      </c>
      <c r="E91" s="37" t="inlineStr">
        <is>
          <t>90 deg</t>
        </is>
      </c>
      <c r="F91" s="37" t="inlineStr">
        <is>
          <t>90 deg Straight Thread Elbow, 9/16-18 x 7/16-20</t>
        </is>
      </c>
      <c r="G91" s="37" t="inlineStr">
        <is>
          <t>7/16-20</t>
        </is>
      </c>
      <c r="H91" s="37" t="inlineStr">
        <is>
          <t>9/16-18</t>
        </is>
      </c>
      <c r="I91" s="37" t="n"/>
      <c r="J91" s="37" t="inlineStr">
        <is>
          <t>SAE J1926-3</t>
        </is>
      </c>
      <c r="K91" s="37" t="inlineStr">
        <is>
          <t>SAE J514-1</t>
        </is>
      </c>
      <c r="L91" s="37" t="n">
        <v>1.06</v>
      </c>
      <c r="M91" s="37" t="n">
        <v>1.19</v>
      </c>
      <c r="N91" s="37" t="n">
        <v>0.5600000000000001</v>
      </c>
      <c r="O91" s="37" t="n">
        <v>0.5600000000000001</v>
      </c>
      <c r="P91" s="37" t="n">
        <v>0.3</v>
      </c>
      <c r="Q91" s="37" t="n">
        <v>0.17</v>
      </c>
      <c r="R91" s="44" t="n">
        <v>0.5600000000000001</v>
      </c>
      <c r="S91" s="44" t="n">
        <v>0.5600000000000001</v>
      </c>
      <c r="T91" s="37" t="n">
        <v>90</v>
      </c>
      <c r="U91" s="37" t="inlineStr">
        <is>
          <t>ASSUMED</t>
        </is>
      </c>
      <c r="V91" s="37" t="inlineStr">
        <is>
          <t>MS51527 covers matched-dash sizes only; Air-Way remains single source.</t>
        </is>
      </c>
      <c r="W91" s="37" t="inlineStr">
        <is>
          <t>BUILD</t>
        </is>
      </c>
      <c r="X91" s="37" t="inlineStr">
        <is>
          <t>Hex = Air-Way C4 column (per-part). Matched sizes in this topology corroborate the column.</t>
        </is>
      </c>
      <c r="Z91" s="45" t="inlineStr">
        <is>
          <t>Carbon Steel</t>
        </is>
      </c>
      <c r="AA91" s="45" t="inlineStr">
        <is>
          <t>ASTM A108 12L14</t>
        </is>
      </c>
      <c r="AB91" s="45" t="inlineStr">
        <is>
          <t>Trivalent Cr3 Zinc</t>
        </is>
      </c>
      <c r="AC91" s="45" t="inlineStr">
        <is>
          <t>ASTM B633 Type V/VI</t>
        </is>
      </c>
      <c r="AD91" s="46" t="n">
        <v>5000</v>
      </c>
      <c r="AE91" s="46" t="inlineStr">
        <is>
          <t>generic SAE table @ dash -6 (governing end)</t>
        </is>
      </c>
      <c r="AF91" s="46" t="n">
        <v>-65</v>
      </c>
      <c r="AG91" s="46" t="n">
        <v>400</v>
      </c>
      <c r="AH91" s="37" t="inlineStr">
        <is>
          <t>Ham-Let + hoseandfittings (pressure); Parker Cat.4300 (material); ASTM B633 (finish); see StandardsData</t>
        </is>
      </c>
    </row>
    <row r="92" ht="15" customHeight="1" s="35">
      <c r="A92" s="37" t="inlineStr">
        <is>
          <t>6801-06-04-NWO</t>
        </is>
      </c>
      <c r="B92" s="37" t="inlineStr">
        <is>
          <t>6801-6-4 NWO</t>
        </is>
      </c>
      <c r="C92" s="37" t="inlineStr">
        <is>
          <t>6801</t>
        </is>
      </c>
      <c r="D92" s="37" t="n">
        <v>134</v>
      </c>
      <c r="E92" s="37" t="inlineStr">
        <is>
          <t>90 deg</t>
        </is>
      </c>
      <c r="F92" s="37" t="inlineStr">
        <is>
          <t>90 deg Straight Thread Elbow, 9/16-18 x 7/16-20</t>
        </is>
      </c>
      <c r="G92" s="37" t="inlineStr">
        <is>
          <t>7/16-20</t>
        </is>
      </c>
      <c r="H92" s="37" t="inlineStr">
        <is>
          <t>9/16-18</t>
        </is>
      </c>
      <c r="I92" s="37" t="n"/>
      <c r="J92" s="37" t="inlineStr">
        <is>
          <t>SAE J1926-3</t>
        </is>
      </c>
      <c r="K92" s="37" t="inlineStr">
        <is>
          <t>SAE J514-1</t>
        </is>
      </c>
      <c r="L92" s="37" t="n">
        <v>1.08</v>
      </c>
      <c r="M92" s="37" t="n">
        <v>1.09</v>
      </c>
      <c r="N92" s="37" t="n">
        <v>0.5600000000000001</v>
      </c>
      <c r="O92" s="37" t="n">
        <v>0.63</v>
      </c>
      <c r="P92" s="37" t="n">
        <v>0.3</v>
      </c>
      <c r="Q92" s="37" t="n">
        <v>0.17</v>
      </c>
      <c r="R92" s="44" t="n">
        <v>0.63</v>
      </c>
      <c r="S92" s="44" t="n">
        <v>0.5600000000000001</v>
      </c>
      <c r="T92" s="37" t="n">
        <v>90</v>
      </c>
      <c r="U92" s="37" t="inlineStr">
        <is>
          <t>ASSUMED</t>
        </is>
      </c>
      <c r="V92" s="37" t="inlineStr">
        <is>
          <t>MS51527 covers matched-dash sizes only; Air-Way remains single source.</t>
        </is>
      </c>
      <c r="W92" s="37" t="inlineStr">
        <is>
          <t>BUILD</t>
        </is>
      </c>
      <c r="X92" s="37" t="inlineStr">
        <is>
          <t>Hex = Air-Way C4 column (per-part). Matched sizes in this topology corroborate the column.</t>
        </is>
      </c>
      <c r="Z92" s="45" t="inlineStr">
        <is>
          <t>Carbon Steel</t>
        </is>
      </c>
      <c r="AA92" s="45" t="inlineStr">
        <is>
          <t>ASTM A108 12L14</t>
        </is>
      </c>
      <c r="AB92" s="45" t="inlineStr">
        <is>
          <t>Trivalent Cr3 Zinc</t>
        </is>
      </c>
      <c r="AC92" s="45" t="inlineStr">
        <is>
          <t>ASTM B633 Type V/VI</t>
        </is>
      </c>
      <c r="AD92" s="46" t="n">
        <v>5000</v>
      </c>
      <c r="AE92" s="46" t="inlineStr">
        <is>
          <t>generic SAE table @ dash -6 (governing end)</t>
        </is>
      </c>
      <c r="AF92" s="46" t="n">
        <v>-65</v>
      </c>
      <c r="AG92" s="46" t="n">
        <v>400</v>
      </c>
      <c r="AH92" s="37" t="inlineStr">
        <is>
          <t>Ham-Let + hoseandfittings (pressure); Parker Cat.4300 (material); ASTM B633 (finish); see StandardsData</t>
        </is>
      </c>
    </row>
    <row r="93" ht="15" customHeight="1" s="35">
      <c r="A93" s="37" t="inlineStr">
        <is>
          <t>6801-06-05-NWO-FG</t>
        </is>
      </c>
      <c r="B93" s="37" t="inlineStr">
        <is>
          <t>6801-6-5 NWO-FG</t>
        </is>
      </c>
      <c r="C93" s="37" t="inlineStr">
        <is>
          <t>6801</t>
        </is>
      </c>
      <c r="D93" s="37" t="n">
        <v>134</v>
      </c>
      <c r="E93" s="37" t="inlineStr">
        <is>
          <t>90 deg</t>
        </is>
      </c>
      <c r="F93" s="37" t="inlineStr">
        <is>
          <t>90 deg Straight Thread Elbow, 9/16-18 x 1/2-20</t>
        </is>
      </c>
      <c r="G93" s="37" t="inlineStr">
        <is>
          <t>1/2-20</t>
        </is>
      </c>
      <c r="H93" s="37" t="inlineStr">
        <is>
          <t>9/16-18</t>
        </is>
      </c>
      <c r="I93" s="37" t="n"/>
      <c r="J93" s="37" t="inlineStr">
        <is>
          <t>SAE J1926-3</t>
        </is>
      </c>
      <c r="K93" s="37" t="inlineStr">
        <is>
          <t>SAE J514-1</t>
        </is>
      </c>
      <c r="L93" s="37" t="n">
        <v>1.06</v>
      </c>
      <c r="M93" s="37" t="n">
        <v>1.19</v>
      </c>
      <c r="N93" s="37" t="n">
        <v>0.63</v>
      </c>
      <c r="O93" s="37" t="n">
        <v>0.5600000000000001</v>
      </c>
      <c r="P93" s="37" t="n">
        <v>0.3</v>
      </c>
      <c r="Q93" s="37" t="n">
        <v>0.23</v>
      </c>
      <c r="R93" s="44" t="n">
        <v>0.5600000000000001</v>
      </c>
      <c r="S93" s="44" t="n">
        <v>0.63</v>
      </c>
      <c r="T93" s="37" t="n">
        <v>90</v>
      </c>
      <c r="U93" s="37" t="inlineStr">
        <is>
          <t>ASSUMED</t>
        </is>
      </c>
      <c r="V93" s="37" t="inlineStr">
        <is>
          <t>MS51527 covers matched-dash sizes only; Air-Way remains single source.</t>
        </is>
      </c>
      <c r="W93" s="37" t="inlineStr">
        <is>
          <t>BUILD</t>
        </is>
      </c>
      <c r="X93" s="37" t="inlineStr">
        <is>
          <t>Hex = Air-Way C4 column (per-part). Matched sizes in this topology corroborate the column.</t>
        </is>
      </c>
      <c r="Z93" s="45" t="inlineStr">
        <is>
          <t>Carbon Steel</t>
        </is>
      </c>
      <c r="AA93" s="45" t="inlineStr">
        <is>
          <t>ASTM A108 12L14</t>
        </is>
      </c>
      <c r="AB93" s="45" t="inlineStr">
        <is>
          <t>Trivalent Cr3 Zinc</t>
        </is>
      </c>
      <c r="AC93" s="45" t="inlineStr">
        <is>
          <t>ASTM B633 Type V/VI</t>
        </is>
      </c>
      <c r="AD93" s="46" t="n">
        <v>5000</v>
      </c>
      <c r="AE93" s="46" t="inlineStr">
        <is>
          <t>generic SAE table @ dash -6 (governing end)</t>
        </is>
      </c>
      <c r="AF93" s="46" t="n">
        <v>-65</v>
      </c>
      <c r="AG93" s="46" t="n">
        <v>400</v>
      </c>
      <c r="AH93" s="37" t="inlineStr">
        <is>
          <t>Ham-Let + hoseandfittings (pressure); Parker Cat.4300 (material); ASTM B633 (finish); see StandardsData</t>
        </is>
      </c>
    </row>
    <row r="94" ht="15" customHeight="1" s="35">
      <c r="A94" s="37" t="inlineStr">
        <is>
          <t>6801-06-05-NWO</t>
        </is>
      </c>
      <c r="B94" s="37" t="inlineStr">
        <is>
          <t>6801-6-5 NWO</t>
        </is>
      </c>
      <c r="C94" s="37" t="inlineStr">
        <is>
          <t>6801</t>
        </is>
      </c>
      <c r="D94" s="37" t="n">
        <v>134</v>
      </c>
      <c r="E94" s="37" t="inlineStr">
        <is>
          <t>90 deg</t>
        </is>
      </c>
      <c r="F94" s="37" t="inlineStr">
        <is>
          <t>90 deg Straight Thread Elbow, 9/16-18 x 1/2-20</t>
        </is>
      </c>
      <c r="G94" s="37" t="inlineStr">
        <is>
          <t>1/2-20</t>
        </is>
      </c>
      <c r="H94" s="37" t="inlineStr">
        <is>
          <t>9/16-18</t>
        </is>
      </c>
      <c r="I94" s="37" t="n"/>
      <c r="J94" s="37" t="inlineStr">
        <is>
          <t>SAE J1926-3</t>
        </is>
      </c>
      <c r="K94" s="37" t="inlineStr">
        <is>
          <t>SAE J514-1</t>
        </is>
      </c>
      <c r="L94" s="37" t="n">
        <v>1.08</v>
      </c>
      <c r="M94" s="37" t="n">
        <v>1.16</v>
      </c>
      <c r="N94" s="37" t="n">
        <v>0.63</v>
      </c>
      <c r="O94" s="37" t="n">
        <v>0.63</v>
      </c>
      <c r="P94" s="37" t="n">
        <v>0.3</v>
      </c>
      <c r="Q94" s="37" t="n">
        <v>0.23</v>
      </c>
      <c r="R94" s="44" t="n">
        <v>0.63</v>
      </c>
      <c r="S94" s="44" t="n">
        <v>0.63</v>
      </c>
      <c r="T94" s="37" t="n">
        <v>90</v>
      </c>
      <c r="U94" s="37" t="inlineStr">
        <is>
          <t>ASSUMED</t>
        </is>
      </c>
      <c r="V94" s="37" t="inlineStr">
        <is>
          <t>MS51527 covers matched-dash sizes only; Air-Way remains single source.</t>
        </is>
      </c>
      <c r="W94" s="37" t="inlineStr">
        <is>
          <t>BUILD</t>
        </is>
      </c>
      <c r="X94" s="37" t="inlineStr">
        <is>
          <t>Hex = Air-Way C4 column (per-part). Matched sizes in this topology corroborate the column.</t>
        </is>
      </c>
      <c r="Z94" s="45" t="inlineStr">
        <is>
          <t>Carbon Steel</t>
        </is>
      </c>
      <c r="AA94" s="45" t="inlineStr">
        <is>
          <t>ASTM A108 12L14</t>
        </is>
      </c>
      <c r="AB94" s="45" t="inlineStr">
        <is>
          <t>Trivalent Cr3 Zinc</t>
        </is>
      </c>
      <c r="AC94" s="45" t="inlineStr">
        <is>
          <t>ASTM B633 Type V/VI</t>
        </is>
      </c>
      <c r="AD94" s="46" t="n">
        <v>5000</v>
      </c>
      <c r="AE94" s="46" t="inlineStr">
        <is>
          <t>generic SAE table @ dash -6 (governing end)</t>
        </is>
      </c>
      <c r="AF94" s="46" t="n">
        <v>-65</v>
      </c>
      <c r="AG94" s="46" t="n">
        <v>400</v>
      </c>
      <c r="AH94" s="37" t="inlineStr">
        <is>
          <t>Ham-Let + hoseandfittings (pressure); Parker Cat.4300 (material); ASTM B633 (finish); see StandardsData</t>
        </is>
      </c>
    </row>
    <row r="95" ht="15" customHeight="1" s="35">
      <c r="A95" s="37" t="inlineStr">
        <is>
          <t>6801-06-06-NWO-FG</t>
        </is>
      </c>
      <c r="B95" s="37" t="inlineStr">
        <is>
          <t>6801-6-6 NWO-FG</t>
        </is>
      </c>
      <c r="C95" s="37" t="inlineStr">
        <is>
          <t>6801</t>
        </is>
      </c>
      <c r="D95" s="37" t="n">
        <v>134</v>
      </c>
      <c r="E95" s="37" t="inlineStr">
        <is>
          <t>90 deg</t>
        </is>
      </c>
      <c r="F95" s="37" t="inlineStr">
        <is>
          <t>90 deg Straight Thread Elbow, 9/16-18 x 9/16-18</t>
        </is>
      </c>
      <c r="G95" s="37" t="inlineStr">
        <is>
          <t>9/16-18</t>
        </is>
      </c>
      <c r="H95" s="37" t="inlineStr">
        <is>
          <t>9/16-18</t>
        </is>
      </c>
      <c r="I95" s="37" t="n"/>
      <c r="J95" s="37" t="inlineStr">
        <is>
          <t>SAE J1926-3</t>
        </is>
      </c>
      <c r="K95" s="37" t="inlineStr">
        <is>
          <t>SAE J514-1</t>
        </is>
      </c>
      <c r="L95" s="37" t="n">
        <v>1.06</v>
      </c>
      <c r="M95" s="37" t="n">
        <v>1.25</v>
      </c>
      <c r="N95" s="37" t="n">
        <v>0.6899999999999999</v>
      </c>
      <c r="O95" s="37" t="n">
        <v>0.5600000000000001</v>
      </c>
      <c r="P95" s="37" t="n">
        <v>0.3</v>
      </c>
      <c r="Q95" s="37" t="n">
        <v>0.3</v>
      </c>
      <c r="R95" s="45" t="n">
        <v>0.5600000000000001</v>
      </c>
      <c r="S95" s="45" t="n">
        <v>0.6899999999999999</v>
      </c>
      <c r="T95" s="37" t="n">
        <v>90</v>
      </c>
      <c r="U95" s="37" t="inlineStr">
        <is>
          <t>VERIFIED</t>
        </is>
      </c>
      <c r="V95" s="37" t="inlineStr">
        <is>
          <t>MS51527 cross-check 2026-09-04: threads, both legs, both bores AGREE.</t>
        </is>
      </c>
      <c r="W95" s="37" t="inlineStr">
        <is>
          <t>BUILD</t>
        </is>
      </c>
      <c r="X95" s="37" t="inlineStr">
        <is>
          <t>Hex = Air-Way C4 column, CONFIRMED vs PressureConnections/Purvis.</t>
        </is>
      </c>
      <c r="Z95" s="45" t="inlineStr">
        <is>
          <t>Carbon Steel</t>
        </is>
      </c>
      <c r="AA95" s="45" t="inlineStr">
        <is>
          <t>ASTM A108 12L14</t>
        </is>
      </c>
      <c r="AB95" s="45" t="inlineStr">
        <is>
          <t>Trivalent Cr3 Zinc</t>
        </is>
      </c>
      <c r="AC95" s="45" t="inlineStr">
        <is>
          <t>ASTM B633 Type V/VI</t>
        </is>
      </c>
      <c r="AD95" s="46" t="n">
        <v>5000</v>
      </c>
      <c r="AE95" s="46" t="inlineStr">
        <is>
          <t>generic SAE table @ dash -6 (governing end)</t>
        </is>
      </c>
      <c r="AF95" s="46" t="n">
        <v>-65</v>
      </c>
      <c r="AG95" s="46" t="n">
        <v>400</v>
      </c>
      <c r="AH95" s="37" t="inlineStr">
        <is>
          <t>Ham-Let + hoseandfittings (pressure); Parker Cat.4300 (material); ASTM B633 (finish); see StandardsData</t>
        </is>
      </c>
    </row>
    <row r="96" ht="15" customHeight="1" s="35">
      <c r="A96" s="37" t="inlineStr">
        <is>
          <t>6801-06-06-NWO</t>
        </is>
      </c>
      <c r="B96" s="37" t="inlineStr">
        <is>
          <t>6801-6-6 NWO</t>
        </is>
      </c>
      <c r="C96" s="37" t="inlineStr">
        <is>
          <t>6801</t>
        </is>
      </c>
      <c r="D96" s="37" t="n">
        <v>134</v>
      </c>
      <c r="E96" s="37" t="inlineStr">
        <is>
          <t>90 deg</t>
        </is>
      </c>
      <c r="F96" s="37" t="inlineStr">
        <is>
          <t>90 deg Straight Thread Elbow, 9/16-18 x 9/16-18</t>
        </is>
      </c>
      <c r="G96" s="37" t="inlineStr">
        <is>
          <t>9/16-18</t>
        </is>
      </c>
      <c r="H96" s="37" t="inlineStr">
        <is>
          <t>9/16-18</t>
        </is>
      </c>
      <c r="I96" s="37" t="n"/>
      <c r="J96" s="37" t="inlineStr">
        <is>
          <t>SAE J1926-3</t>
        </is>
      </c>
      <c r="K96" s="37" t="inlineStr">
        <is>
          <t>SAE J514-1</t>
        </is>
      </c>
      <c r="L96" s="37" t="n">
        <v>1.06</v>
      </c>
      <c r="M96" s="37" t="n">
        <v>1.25</v>
      </c>
      <c r="N96" s="37" t="n">
        <v>0.6899999999999999</v>
      </c>
      <c r="O96" s="37" t="n">
        <v>0.63</v>
      </c>
      <c r="P96" s="37" t="n">
        <v>0.3</v>
      </c>
      <c r="Q96" s="37" t="n">
        <v>0.3</v>
      </c>
      <c r="R96" s="45" t="n">
        <v>0.63</v>
      </c>
      <c r="S96" s="45" t="n">
        <v>0.6899999999999999</v>
      </c>
      <c r="T96" s="37" t="n">
        <v>90</v>
      </c>
      <c r="U96" s="37" t="inlineStr">
        <is>
          <t>VERIFIED</t>
        </is>
      </c>
      <c r="V96" s="37" t="inlineStr">
        <is>
          <t>MS51527 cross-check 2026-09-04: threads, both legs, both bores AGREE.</t>
        </is>
      </c>
      <c r="W96" s="37" t="inlineStr">
        <is>
          <t>BUILD</t>
        </is>
      </c>
      <c r="X96" s="37" t="inlineStr">
        <is>
          <t>Hex = Air-Way C4 column, CONFIRMED vs PressureConnections/Purvis.</t>
        </is>
      </c>
      <c r="Z96" s="45" t="inlineStr">
        <is>
          <t>Carbon Steel</t>
        </is>
      </c>
      <c r="AA96" s="45" t="inlineStr">
        <is>
          <t>ASTM A108 12L14</t>
        </is>
      </c>
      <c r="AB96" s="45" t="inlineStr">
        <is>
          <t>Trivalent Cr3 Zinc</t>
        </is>
      </c>
      <c r="AC96" s="45" t="inlineStr">
        <is>
          <t>ASTM B633 Type V/VI</t>
        </is>
      </c>
      <c r="AD96" s="46" t="n">
        <v>5000</v>
      </c>
      <c r="AE96" s="46" t="inlineStr">
        <is>
          <t>generic SAE table @ dash -6 (governing end)</t>
        </is>
      </c>
      <c r="AF96" s="46" t="n">
        <v>-65</v>
      </c>
      <c r="AG96" s="46" t="n">
        <v>400</v>
      </c>
      <c r="AH96" s="37" t="inlineStr">
        <is>
          <t>Ham-Let + hoseandfittings (pressure); Parker Cat.4300 (material); ASTM B633 (finish); see StandardsData</t>
        </is>
      </c>
    </row>
    <row r="97" ht="15" customHeight="1" s="35">
      <c r="A97" s="37" t="inlineStr">
        <is>
          <t>6801-06-08-NWO-FG</t>
        </is>
      </c>
      <c r="B97" s="37" t="inlineStr">
        <is>
          <t>6801-6-8 NWO-FG</t>
        </is>
      </c>
      <c r="C97" s="37" t="inlineStr">
        <is>
          <t>6801</t>
        </is>
      </c>
      <c r="D97" s="37" t="n">
        <v>134</v>
      </c>
      <c r="E97" s="37" t="inlineStr">
        <is>
          <t>90 deg</t>
        </is>
      </c>
      <c r="F97" s="37" t="inlineStr">
        <is>
          <t>90 deg Straight Thread Elbow, 9/16-18 x 3/4-16</t>
        </is>
      </c>
      <c r="G97" s="37" t="inlineStr">
        <is>
          <t>3/4-16</t>
        </is>
      </c>
      <c r="H97" s="37" t="inlineStr">
        <is>
          <t>9/16-18</t>
        </is>
      </c>
      <c r="I97" s="37" t="n"/>
      <c r="J97" s="37" t="inlineStr">
        <is>
          <t>SAE J1926-3</t>
        </is>
      </c>
      <c r="K97" s="37" t="inlineStr">
        <is>
          <t>SAE J514-1</t>
        </is>
      </c>
      <c r="L97" s="37" t="n">
        <v>1.14</v>
      </c>
      <c r="M97" s="37" t="n">
        <v>1.45</v>
      </c>
      <c r="N97" s="37" t="n">
        <v>0.88</v>
      </c>
      <c r="O97" s="37" t="n">
        <v>0.75</v>
      </c>
      <c r="P97" s="37" t="n">
        <v>0.3</v>
      </c>
      <c r="Q97" s="37" t="n">
        <v>0.39</v>
      </c>
      <c r="R97" s="44" t="n">
        <v>0.75</v>
      </c>
      <c r="S97" s="44" t="n">
        <v>0.88</v>
      </c>
      <c r="T97" s="37" t="n">
        <v>90</v>
      </c>
      <c r="U97" s="37" t="inlineStr">
        <is>
          <t>ASSUMED</t>
        </is>
      </c>
      <c r="V97" s="37" t="inlineStr">
        <is>
          <t>MS51527 covers matched-dash sizes only; Air-Way remains single source.</t>
        </is>
      </c>
      <c r="W97" s="37" t="inlineStr">
        <is>
          <t>BUILD</t>
        </is>
      </c>
      <c r="X97" s="37" t="inlineStr">
        <is>
          <t>Hex = Air-Way C4 column (per-part). Matched sizes in this topology corroborate the column.</t>
        </is>
      </c>
      <c r="Z97" s="45" t="inlineStr">
        <is>
          <t>Carbon Steel</t>
        </is>
      </c>
      <c r="AA97" s="45" t="inlineStr">
        <is>
          <t>ASTM A108 12L14</t>
        </is>
      </c>
      <c r="AB97" s="45" t="inlineStr">
        <is>
          <t>Trivalent Cr3 Zinc</t>
        </is>
      </c>
      <c r="AC97" s="45" t="inlineStr">
        <is>
          <t>ASTM B633 Type V/VI</t>
        </is>
      </c>
      <c r="AD97" s="46" t="n">
        <v>4500</v>
      </c>
      <c r="AE97" s="46" t="inlineStr">
        <is>
          <t>generic SAE table @ dash -8 (governing end)</t>
        </is>
      </c>
      <c r="AF97" s="46" t="n">
        <v>-65</v>
      </c>
      <c r="AG97" s="46" t="n">
        <v>400</v>
      </c>
      <c r="AH97" s="37" t="inlineStr">
        <is>
          <t>Ham-Let + hoseandfittings (pressure); Parker Cat.4300 (material); ASTM B633 (finish); see StandardsData</t>
        </is>
      </c>
    </row>
    <row r="98" ht="15" customHeight="1" s="35">
      <c r="A98" s="37" t="inlineStr">
        <is>
          <t>6801-06-08-NWO</t>
        </is>
      </c>
      <c r="B98" s="37" t="inlineStr">
        <is>
          <t>6801-6-8 NWO</t>
        </is>
      </c>
      <c r="C98" s="37" t="inlineStr">
        <is>
          <t>6801</t>
        </is>
      </c>
      <c r="D98" s="37" t="n">
        <v>134</v>
      </c>
      <c r="E98" s="37" t="inlineStr">
        <is>
          <t>90 deg</t>
        </is>
      </c>
      <c r="F98" s="37" t="inlineStr">
        <is>
          <t>90 deg Straight Thread Elbow, 9/16-18 x 3/4-16</t>
        </is>
      </c>
      <c r="G98" s="37" t="inlineStr">
        <is>
          <t>3/4-16</t>
        </is>
      </c>
      <c r="H98" s="37" t="inlineStr">
        <is>
          <t>9/16-18</t>
        </is>
      </c>
      <c r="I98" s="37" t="n"/>
      <c r="J98" s="37" t="inlineStr">
        <is>
          <t>SAE J1926-3</t>
        </is>
      </c>
      <c r="K98" s="37" t="inlineStr">
        <is>
          <t>SAE J514-1</t>
        </is>
      </c>
      <c r="L98" s="37" t="n">
        <v>1.15</v>
      </c>
      <c r="M98" s="37" t="n">
        <v>1.45</v>
      </c>
      <c r="N98" s="37" t="n">
        <v>0.88</v>
      </c>
      <c r="O98" s="37" t="n">
        <v>0.8100000000000001</v>
      </c>
      <c r="P98" s="37" t="n">
        <v>0.3</v>
      </c>
      <c r="Q98" s="37" t="n">
        <v>0.39</v>
      </c>
      <c r="R98" s="44" t="n">
        <v>0.8100000000000001</v>
      </c>
      <c r="S98" s="44" t="n">
        <v>0.88</v>
      </c>
      <c r="T98" s="37" t="n">
        <v>90</v>
      </c>
      <c r="U98" s="37" t="inlineStr">
        <is>
          <t>ASSUMED</t>
        </is>
      </c>
      <c r="V98" s="37" t="inlineStr">
        <is>
          <t>MS51527 covers matched-dash sizes only; Air-Way remains single source.</t>
        </is>
      </c>
      <c r="W98" s="37" t="inlineStr">
        <is>
          <t>BUILD</t>
        </is>
      </c>
      <c r="X98" s="37" t="inlineStr">
        <is>
          <t>Hex = Air-Way C4 column (per-part). Matched sizes in this topology corroborate the column.</t>
        </is>
      </c>
      <c r="Z98" s="45" t="inlineStr">
        <is>
          <t>Carbon Steel</t>
        </is>
      </c>
      <c r="AA98" s="45" t="inlineStr">
        <is>
          <t>ASTM A108 12L14</t>
        </is>
      </c>
      <c r="AB98" s="45" t="inlineStr">
        <is>
          <t>Trivalent Cr3 Zinc</t>
        </is>
      </c>
      <c r="AC98" s="45" t="inlineStr">
        <is>
          <t>ASTM B633 Type V/VI</t>
        </is>
      </c>
      <c r="AD98" s="46" t="n">
        <v>4500</v>
      </c>
      <c r="AE98" s="46" t="inlineStr">
        <is>
          <t>generic SAE table @ dash -8 (governing end)</t>
        </is>
      </c>
      <c r="AF98" s="46" t="n">
        <v>-65</v>
      </c>
      <c r="AG98" s="46" t="n">
        <v>400</v>
      </c>
      <c r="AH98" s="37" t="inlineStr">
        <is>
          <t>Ham-Let + hoseandfittings (pressure); Parker Cat.4300 (material); ASTM B633 (finish); see StandardsData</t>
        </is>
      </c>
    </row>
    <row r="99" ht="15" customHeight="1" s="35">
      <c r="A99" s="37" t="inlineStr">
        <is>
          <t>6801-06-10-NWO-FG</t>
        </is>
      </c>
      <c r="B99" s="37" t="inlineStr">
        <is>
          <t>6801-6-10 NWO-FG</t>
        </is>
      </c>
      <c r="C99" s="37" t="inlineStr">
        <is>
          <t>6801</t>
        </is>
      </c>
      <c r="D99" s="37" t="n">
        <v>134</v>
      </c>
      <c r="E99" s="37" t="inlineStr">
        <is>
          <t>90 deg</t>
        </is>
      </c>
      <c r="F99" s="37" t="inlineStr">
        <is>
          <t>90 deg Straight Thread Elbow, 9/16-18 x 7/8-14</t>
        </is>
      </c>
      <c r="G99" s="37" t="inlineStr">
        <is>
          <t>7/8-14</t>
        </is>
      </c>
      <c r="H99" s="37" t="inlineStr">
        <is>
          <t>9/16-18</t>
        </is>
      </c>
      <c r="I99" s="37" t="n"/>
      <c r="J99" s="37" t="inlineStr">
        <is>
          <t>SAE J1926-3</t>
        </is>
      </c>
      <c r="K99" s="37" t="inlineStr">
        <is>
          <t>SAE J514-1</t>
        </is>
      </c>
      <c r="L99" s="37" t="n">
        <v>1.22</v>
      </c>
      <c r="M99" s="37" t="n">
        <v>1.7</v>
      </c>
      <c r="N99" s="37" t="n">
        <v>1</v>
      </c>
      <c r="O99" s="37" t="n">
        <v>0.88</v>
      </c>
      <c r="P99" s="37" t="n">
        <v>0.3</v>
      </c>
      <c r="Q99" s="37" t="n">
        <v>0.48</v>
      </c>
      <c r="R99" s="44" t="n">
        <v>0.88</v>
      </c>
      <c r="S99" s="44" t="n">
        <v>1</v>
      </c>
      <c r="T99" s="37" t="n">
        <v>90</v>
      </c>
      <c r="U99" s="37" t="inlineStr">
        <is>
          <t>ASSUMED</t>
        </is>
      </c>
      <c r="V99" s="37" t="inlineStr">
        <is>
          <t>MS51527 covers matched-dash sizes only; Air-Way remains single source.</t>
        </is>
      </c>
      <c r="W99" s="37" t="inlineStr">
        <is>
          <t>BUILD</t>
        </is>
      </c>
      <c r="X99" s="37" t="inlineStr">
        <is>
          <t>Hex = Air-Way C4 column (per-part). Matched sizes in this topology corroborate the column.</t>
        </is>
      </c>
      <c r="Z99" s="45" t="inlineStr">
        <is>
          <t>Carbon Steel</t>
        </is>
      </c>
      <c r="AA99" s="45" t="inlineStr">
        <is>
          <t>ASTM A108 12L14</t>
        </is>
      </c>
      <c r="AB99" s="45" t="inlineStr">
        <is>
          <t>Trivalent Cr3 Zinc</t>
        </is>
      </c>
      <c r="AC99" s="45" t="inlineStr">
        <is>
          <t>ASTM B633 Type V/VI</t>
        </is>
      </c>
      <c r="AD99" s="46" t="n">
        <v>3500</v>
      </c>
      <c r="AE99" s="46" t="inlineStr">
        <is>
          <t>generic SAE table @ dash -10 (governing end)</t>
        </is>
      </c>
      <c r="AF99" s="46" t="n">
        <v>-65</v>
      </c>
      <c r="AG99" s="46" t="n">
        <v>400</v>
      </c>
      <c r="AH99" s="37" t="inlineStr">
        <is>
          <t>Ham-Let + hoseandfittings (pressure); Parker Cat.4300 (material); ASTM B633 (finish); see StandardsData</t>
        </is>
      </c>
    </row>
    <row r="100" ht="15" customHeight="1" s="35">
      <c r="A100" s="37" t="inlineStr">
        <is>
          <t>6801-06-10-NWO</t>
        </is>
      </c>
      <c r="B100" s="37" t="inlineStr">
        <is>
          <t>6801-6-10 NWO</t>
        </is>
      </c>
      <c r="C100" s="37" t="inlineStr">
        <is>
          <t>6801</t>
        </is>
      </c>
      <c r="D100" s="37" t="n">
        <v>134</v>
      </c>
      <c r="E100" s="37" t="inlineStr">
        <is>
          <t>90 deg</t>
        </is>
      </c>
      <c r="F100" s="37" t="inlineStr">
        <is>
          <t>90 deg Straight Thread Elbow, 9/16-18 x 7/8-14</t>
        </is>
      </c>
      <c r="G100" s="37" t="inlineStr">
        <is>
          <t>7/8-14</t>
        </is>
      </c>
      <c r="H100" s="37" t="inlineStr">
        <is>
          <t>9/16-18</t>
        </is>
      </c>
      <c r="I100" s="37" t="n"/>
      <c r="J100" s="37" t="inlineStr">
        <is>
          <t>SAE J1926-3</t>
        </is>
      </c>
      <c r="K100" s="37" t="inlineStr">
        <is>
          <t>SAE J514-1</t>
        </is>
      </c>
      <c r="L100" s="37" t="n">
        <v>1.22</v>
      </c>
      <c r="M100" s="37" t="n">
        <v>1.7</v>
      </c>
      <c r="N100" s="37" t="n">
        <v>1</v>
      </c>
      <c r="O100" s="37" t="n">
        <v>0.9399999999999999</v>
      </c>
      <c r="P100" s="37" t="n">
        <v>0.3</v>
      </c>
      <c r="Q100" s="37" t="n">
        <v>0.48</v>
      </c>
      <c r="R100" s="44" t="n">
        <v>0.9399999999999999</v>
      </c>
      <c r="S100" s="44" t="n">
        <v>1</v>
      </c>
      <c r="T100" s="37" t="n">
        <v>90</v>
      </c>
      <c r="U100" s="37" t="inlineStr">
        <is>
          <t>ASSUMED</t>
        </is>
      </c>
      <c r="V100" s="37" t="inlineStr">
        <is>
          <t>MS51527 covers matched-dash sizes only; Air-Way remains single source.</t>
        </is>
      </c>
      <c r="W100" s="37" t="inlineStr">
        <is>
          <t>BUILD</t>
        </is>
      </c>
      <c r="X100" s="37" t="inlineStr">
        <is>
          <t>Hex = Air-Way C4 column (per-part). Matched sizes in this topology corroborate the column.</t>
        </is>
      </c>
      <c r="Z100" s="45" t="inlineStr">
        <is>
          <t>Carbon Steel</t>
        </is>
      </c>
      <c r="AA100" s="45" t="inlineStr">
        <is>
          <t>ASTM A108 12L14</t>
        </is>
      </c>
      <c r="AB100" s="45" t="inlineStr">
        <is>
          <t>Trivalent Cr3 Zinc</t>
        </is>
      </c>
      <c r="AC100" s="45" t="inlineStr">
        <is>
          <t>ASTM B633 Type V/VI</t>
        </is>
      </c>
      <c r="AD100" s="46" t="n">
        <v>3500</v>
      </c>
      <c r="AE100" s="46" t="inlineStr">
        <is>
          <t>generic SAE table @ dash -10 (governing end)</t>
        </is>
      </c>
      <c r="AF100" s="46" t="n">
        <v>-65</v>
      </c>
      <c r="AG100" s="46" t="n">
        <v>400</v>
      </c>
      <c r="AH100" s="37" t="inlineStr">
        <is>
          <t>Ham-Let + hoseandfittings (pressure); Parker Cat.4300 (material); ASTM B633 (finish); see StandardsData</t>
        </is>
      </c>
    </row>
    <row r="101" ht="15" customHeight="1" s="35">
      <c r="A101" s="37" t="inlineStr">
        <is>
          <t>6801-06-12-NWO-FG</t>
        </is>
      </c>
      <c r="B101" s="37" t="inlineStr">
        <is>
          <t>6801-6-12 NWO-FG</t>
        </is>
      </c>
      <c r="C101" s="37" t="inlineStr">
        <is>
          <t>6801</t>
        </is>
      </c>
      <c r="D101" s="37" t="n">
        <v>134</v>
      </c>
      <c r="E101" s="37" t="inlineStr">
        <is>
          <t>90 deg</t>
        </is>
      </c>
      <c r="F101" s="37" t="inlineStr">
        <is>
          <t>90 deg Straight Thread Elbow, 9/16-18 x 1 1/16-12</t>
        </is>
      </c>
      <c r="G101" s="37" t="inlineStr">
        <is>
          <t>1 1/16-12</t>
        </is>
      </c>
      <c r="H101" s="37" t="inlineStr">
        <is>
          <t>9/16-18</t>
        </is>
      </c>
      <c r="I101" s="37" t="n"/>
      <c r="J101" s="37" t="inlineStr">
        <is>
          <t>SAE J1926-3</t>
        </is>
      </c>
      <c r="K101" s="37" t="inlineStr">
        <is>
          <t>SAE J514-1</t>
        </is>
      </c>
      <c r="L101" s="37" t="n">
        <v>1.31</v>
      </c>
      <c r="M101" s="37" t="n">
        <v>1.94</v>
      </c>
      <c r="N101" s="37" t="n">
        <v>1.25</v>
      </c>
      <c r="O101" s="37" t="n">
        <v>1.06</v>
      </c>
      <c r="P101" s="37" t="n">
        <v>0.3</v>
      </c>
      <c r="Q101" s="37" t="n">
        <v>0.61</v>
      </c>
      <c r="R101" s="44" t="n">
        <v>1.06</v>
      </c>
      <c r="S101" s="44" t="n">
        <v>1.25</v>
      </c>
      <c r="T101" s="37" t="n">
        <v>90</v>
      </c>
      <c r="U101" s="37" t="inlineStr">
        <is>
          <t>ASSUMED</t>
        </is>
      </c>
      <c r="V101" s="37" t="inlineStr">
        <is>
          <t>MS51527 covers matched-dash sizes only; Air-Way remains single source.</t>
        </is>
      </c>
      <c r="W101" s="37" t="inlineStr">
        <is>
          <t>BUILD</t>
        </is>
      </c>
      <c r="X101" s="37" t="inlineStr">
        <is>
          <t>Hex = Air-Way C4 column (per-part). Matched sizes in this topology corroborate the column.</t>
        </is>
      </c>
      <c r="Z101" s="45" t="inlineStr">
        <is>
          <t>Carbon Steel</t>
        </is>
      </c>
      <c r="AA101" s="45" t="inlineStr">
        <is>
          <t>ASTM A108 12L14</t>
        </is>
      </c>
      <c r="AB101" s="45" t="inlineStr">
        <is>
          <t>Trivalent Cr3 Zinc</t>
        </is>
      </c>
      <c r="AC101" s="45" t="inlineStr">
        <is>
          <t>ASTM B633 Type V/VI</t>
        </is>
      </c>
      <c r="AD101" s="46" t="n">
        <v>3500</v>
      </c>
      <c r="AE101" s="46" t="inlineStr">
        <is>
          <t>generic SAE table @ dash -12 (governing end)</t>
        </is>
      </c>
      <c r="AF101" s="46" t="n">
        <v>-65</v>
      </c>
      <c r="AG101" s="46" t="n">
        <v>400</v>
      </c>
      <c r="AH101" s="37" t="inlineStr">
        <is>
          <t>Ham-Let + hoseandfittings (pressure); Parker Cat.4300 (material); ASTM B633 (finish); see StandardsData</t>
        </is>
      </c>
    </row>
    <row r="102" ht="15" customHeight="1" s="35">
      <c r="A102" s="37" t="inlineStr">
        <is>
          <t>6801-06-12-NWO</t>
        </is>
      </c>
      <c r="B102" s="37" t="inlineStr">
        <is>
          <t>6801-6-12 NWO</t>
        </is>
      </c>
      <c r="C102" s="37" t="inlineStr">
        <is>
          <t>6801</t>
        </is>
      </c>
      <c r="D102" s="37" t="n">
        <v>134</v>
      </c>
      <c r="E102" s="37" t="inlineStr">
        <is>
          <t>90 deg</t>
        </is>
      </c>
      <c r="F102" s="37" t="inlineStr">
        <is>
          <t>90 deg Straight Thread Elbow, 9/16-18 x 1 1/16-12</t>
        </is>
      </c>
      <c r="G102" s="37" t="inlineStr">
        <is>
          <t>1 1/16-12</t>
        </is>
      </c>
      <c r="H102" s="37" t="inlineStr">
        <is>
          <t>9/16-18</t>
        </is>
      </c>
      <c r="I102" s="37" t="n"/>
      <c r="J102" s="37" t="inlineStr">
        <is>
          <t>SAE J1926-3</t>
        </is>
      </c>
      <c r="K102" s="37" t="inlineStr">
        <is>
          <t>SAE J514-1</t>
        </is>
      </c>
      <c r="L102" s="37" t="n">
        <v>1.31</v>
      </c>
      <c r="M102" s="37" t="n">
        <v>1.94</v>
      </c>
      <c r="N102" s="37" t="n">
        <v>1.25</v>
      </c>
      <c r="O102" s="37" t="n">
        <v>1.13</v>
      </c>
      <c r="P102" s="37" t="n">
        <v>0.3</v>
      </c>
      <c r="Q102" s="37" t="n">
        <v>0.61</v>
      </c>
      <c r="R102" s="44" t="n">
        <v>1.13</v>
      </c>
      <c r="S102" s="44" t="n">
        <v>1.25</v>
      </c>
      <c r="T102" s="37" t="n">
        <v>90</v>
      </c>
      <c r="U102" s="37" t="inlineStr">
        <is>
          <t>ASSUMED</t>
        </is>
      </c>
      <c r="V102" s="37" t="inlineStr">
        <is>
          <t>MS51527 covers matched-dash sizes only; Air-Way remains single source.</t>
        </is>
      </c>
      <c r="W102" s="37" t="inlineStr">
        <is>
          <t>BUILD</t>
        </is>
      </c>
      <c r="X102" s="37" t="inlineStr">
        <is>
          <t>Hex = Air-Way C4 column (per-part). Matched sizes in this topology corroborate the column.</t>
        </is>
      </c>
      <c r="Z102" s="45" t="inlineStr">
        <is>
          <t>Carbon Steel</t>
        </is>
      </c>
      <c r="AA102" s="45" t="inlineStr">
        <is>
          <t>ASTM A108 12L14</t>
        </is>
      </c>
      <c r="AB102" s="45" t="inlineStr">
        <is>
          <t>Trivalent Cr3 Zinc</t>
        </is>
      </c>
      <c r="AC102" s="45" t="inlineStr">
        <is>
          <t>ASTM B633 Type V/VI</t>
        </is>
      </c>
      <c r="AD102" s="46" t="n">
        <v>3500</v>
      </c>
      <c r="AE102" s="46" t="inlineStr">
        <is>
          <t>generic SAE table @ dash -12 (governing end)</t>
        </is>
      </c>
      <c r="AF102" s="46" t="n">
        <v>-65</v>
      </c>
      <c r="AG102" s="46" t="n">
        <v>400</v>
      </c>
      <c r="AH102" s="37" t="inlineStr">
        <is>
          <t>Ham-Let + hoseandfittings (pressure); Parker Cat.4300 (material); ASTM B633 (finish); see StandardsData</t>
        </is>
      </c>
    </row>
    <row r="103" ht="15" customHeight="1" s="35">
      <c r="A103" s="37" t="inlineStr">
        <is>
          <t>6801-08-04-NWO</t>
        </is>
      </c>
      <c r="B103" s="37" t="inlineStr">
        <is>
          <t>6801-8-4 NWO</t>
        </is>
      </c>
      <c r="C103" s="37" t="inlineStr">
        <is>
          <t>6801</t>
        </is>
      </c>
      <c r="D103" s="37" t="n">
        <v>134</v>
      </c>
      <c r="E103" s="37" t="inlineStr">
        <is>
          <t>90 deg</t>
        </is>
      </c>
      <c r="F103" s="37" t="inlineStr">
        <is>
          <t>90 deg Straight Thread Elbow, 3/4-16 x 7/16-20</t>
        </is>
      </c>
      <c r="G103" s="37" t="inlineStr">
        <is>
          <t>7/16-20</t>
        </is>
      </c>
      <c r="H103" s="37" t="inlineStr">
        <is>
          <t>3/4-16</t>
        </is>
      </c>
      <c r="I103" s="37" t="n"/>
      <c r="J103" s="37" t="inlineStr">
        <is>
          <t>SAE J1926-3</t>
        </is>
      </c>
      <c r="K103" s="37" t="inlineStr">
        <is>
          <t>SAE J514-1</t>
        </is>
      </c>
      <c r="L103" s="37" t="n">
        <v>1.25</v>
      </c>
      <c r="M103" s="37" t="n">
        <v>1.18</v>
      </c>
      <c r="N103" s="37" t="n">
        <v>0.5600000000000001</v>
      </c>
      <c r="O103" s="37" t="n">
        <v>0.8100000000000001</v>
      </c>
      <c r="P103" s="37" t="n">
        <v>0.39</v>
      </c>
      <c r="Q103" s="37" t="n">
        <v>0.17</v>
      </c>
      <c r="R103" s="44" t="n">
        <v>0.8100000000000001</v>
      </c>
      <c r="S103" s="44" t="n">
        <v>0.5600000000000001</v>
      </c>
      <c r="T103" s="37" t="n">
        <v>90</v>
      </c>
      <c r="U103" s="37" t="inlineStr">
        <is>
          <t>ASSUMED</t>
        </is>
      </c>
      <c r="V103" s="37" t="inlineStr">
        <is>
          <t>MS51527 covers matched-dash sizes only; Air-Way remains single source.</t>
        </is>
      </c>
      <c r="W103" s="37" t="inlineStr">
        <is>
          <t>BUILD</t>
        </is>
      </c>
      <c r="X103" s="37" t="inlineStr">
        <is>
          <t>Hex = Air-Way C4 column (per-part). Matched sizes in this topology corroborate the column.</t>
        </is>
      </c>
      <c r="Z103" s="45" t="inlineStr">
        <is>
          <t>Carbon Steel</t>
        </is>
      </c>
      <c r="AA103" s="45" t="inlineStr">
        <is>
          <t>ASTM A108 12L14</t>
        </is>
      </c>
      <c r="AB103" s="45" t="inlineStr">
        <is>
          <t>Trivalent Cr3 Zinc</t>
        </is>
      </c>
      <c r="AC103" s="45" t="inlineStr">
        <is>
          <t>ASTM B633 Type V/VI</t>
        </is>
      </c>
      <c r="AD103" s="46" t="n">
        <v>4500</v>
      </c>
      <c r="AE103" s="46" t="inlineStr">
        <is>
          <t>generic SAE table @ dash -8 (governing end)</t>
        </is>
      </c>
      <c r="AF103" s="46" t="n">
        <v>-65</v>
      </c>
      <c r="AG103" s="46" t="n">
        <v>400</v>
      </c>
      <c r="AH103" s="37" t="inlineStr">
        <is>
          <t>Ham-Let + hoseandfittings (pressure); Parker Cat.4300 (material); ASTM B633 (finish); see StandardsData</t>
        </is>
      </c>
    </row>
    <row r="104" ht="15" customHeight="1" s="35">
      <c r="A104" s="37" t="inlineStr">
        <is>
          <t>6801-08-05-NWO</t>
        </is>
      </c>
      <c r="B104" s="37" t="inlineStr">
        <is>
          <t>6801-8-5 NWO</t>
        </is>
      </c>
      <c r="C104" s="37" t="inlineStr">
        <is>
          <t>6801</t>
        </is>
      </c>
      <c r="D104" s="37" t="n">
        <v>134</v>
      </c>
      <c r="E104" s="37" t="inlineStr">
        <is>
          <t>90 deg</t>
        </is>
      </c>
      <c r="F104" s="37" t="inlineStr">
        <is>
          <t>90 deg Straight Thread Elbow, 3/4-16 x 1/2-20</t>
        </is>
      </c>
      <c r="G104" s="37" t="inlineStr">
        <is>
          <t>1/2-20</t>
        </is>
      </c>
      <c r="H104" s="37" t="inlineStr">
        <is>
          <t>3/4-16</t>
        </is>
      </c>
      <c r="I104" s="37" t="n"/>
      <c r="J104" s="37" t="inlineStr">
        <is>
          <t>SAE J1926-3</t>
        </is>
      </c>
      <c r="K104" s="37" t="inlineStr">
        <is>
          <t>SAE J514-1</t>
        </is>
      </c>
      <c r="L104" s="37" t="n">
        <v>1.25</v>
      </c>
      <c r="M104" s="37" t="n">
        <v>1.25</v>
      </c>
      <c r="N104" s="37" t="n">
        <v>0.63</v>
      </c>
      <c r="O104" s="37" t="n">
        <v>0.8100000000000001</v>
      </c>
      <c r="P104" s="37" t="n">
        <v>0.39</v>
      </c>
      <c r="Q104" s="37" t="n">
        <v>0.23</v>
      </c>
      <c r="R104" s="44" t="n">
        <v>0.8100000000000001</v>
      </c>
      <c r="S104" s="44" t="n">
        <v>0.63</v>
      </c>
      <c r="T104" s="37" t="n">
        <v>90</v>
      </c>
      <c r="U104" s="37" t="inlineStr">
        <is>
          <t>ASSUMED</t>
        </is>
      </c>
      <c r="V104" s="37" t="inlineStr">
        <is>
          <t>MS51527 covers matched-dash sizes only; Air-Way remains single source.</t>
        </is>
      </c>
      <c r="W104" s="37" t="inlineStr">
        <is>
          <t>BUILD</t>
        </is>
      </c>
      <c r="X104" s="37" t="inlineStr">
        <is>
          <t>Hex = Air-Way C4 column (per-part). Matched sizes in this topology corroborate the column.</t>
        </is>
      </c>
      <c r="Z104" s="45" t="inlineStr">
        <is>
          <t>Carbon Steel</t>
        </is>
      </c>
      <c r="AA104" s="45" t="inlineStr">
        <is>
          <t>ASTM A108 12L14</t>
        </is>
      </c>
      <c r="AB104" s="45" t="inlineStr">
        <is>
          <t>Trivalent Cr3 Zinc</t>
        </is>
      </c>
      <c r="AC104" s="45" t="inlineStr">
        <is>
          <t>ASTM B633 Type V/VI</t>
        </is>
      </c>
      <c r="AD104" s="46" t="n">
        <v>4500</v>
      </c>
      <c r="AE104" s="46" t="inlineStr">
        <is>
          <t>generic SAE table @ dash -8 (governing end)</t>
        </is>
      </c>
      <c r="AF104" s="46" t="n">
        <v>-65</v>
      </c>
      <c r="AG104" s="46" t="n">
        <v>400</v>
      </c>
      <c r="AH104" s="37" t="inlineStr">
        <is>
          <t>Ham-Let + hoseandfittings (pressure); Parker Cat.4300 (material); ASTM B633 (finish); see StandardsData</t>
        </is>
      </c>
    </row>
    <row r="105" ht="15" customHeight="1" s="35">
      <c r="A105" s="37" t="inlineStr">
        <is>
          <t>6801-08-06-NWO-FG</t>
        </is>
      </c>
      <c r="B105" s="37" t="inlineStr">
        <is>
          <t>6801-8-6 NWO-FG</t>
        </is>
      </c>
      <c r="C105" s="37" t="inlineStr">
        <is>
          <t>6801</t>
        </is>
      </c>
      <c r="D105" s="37" t="n">
        <v>134</v>
      </c>
      <c r="E105" s="37" t="inlineStr">
        <is>
          <t>90 deg</t>
        </is>
      </c>
      <c r="F105" s="37" t="inlineStr">
        <is>
          <t>90 deg Straight Thread Elbow, 3/4-16 x 9/16-18</t>
        </is>
      </c>
      <c r="G105" s="37" t="inlineStr">
        <is>
          <t>9/16-18</t>
        </is>
      </c>
      <c r="H105" s="37" t="inlineStr">
        <is>
          <t>3/4-16</t>
        </is>
      </c>
      <c r="I105" s="37" t="n"/>
      <c r="J105" s="37" t="inlineStr">
        <is>
          <t>SAE J1926-3</t>
        </is>
      </c>
      <c r="K105" s="37" t="inlineStr">
        <is>
          <t>SAE J514-1</t>
        </is>
      </c>
      <c r="L105" s="37" t="n">
        <v>1.25</v>
      </c>
      <c r="M105" s="37" t="n">
        <v>1.32</v>
      </c>
      <c r="N105" s="37" t="n">
        <v>0.6899999999999999</v>
      </c>
      <c r="O105" s="37" t="n">
        <v>0.75</v>
      </c>
      <c r="P105" s="37" t="n">
        <v>0.39</v>
      </c>
      <c r="Q105" s="37" t="n">
        <v>0.3</v>
      </c>
      <c r="R105" s="44" t="n">
        <v>0.75</v>
      </c>
      <c r="S105" s="44" t="n">
        <v>0.6899999999999999</v>
      </c>
      <c r="T105" s="37" t="n">
        <v>90</v>
      </c>
      <c r="U105" s="37" t="inlineStr">
        <is>
          <t>ASSUMED</t>
        </is>
      </c>
      <c r="V105" s="37" t="inlineStr">
        <is>
          <t>MS51527 covers matched-dash sizes only; Air-Way remains single source.</t>
        </is>
      </c>
      <c r="W105" s="37" t="inlineStr">
        <is>
          <t>BUILD</t>
        </is>
      </c>
      <c r="X105" s="37" t="inlineStr">
        <is>
          <t>Hex = Air-Way C4 column (per-part). Matched sizes in this topology corroborate the column.</t>
        </is>
      </c>
      <c r="Z105" s="45" t="inlineStr">
        <is>
          <t>Carbon Steel</t>
        </is>
      </c>
      <c r="AA105" s="45" t="inlineStr">
        <is>
          <t>ASTM A108 12L14</t>
        </is>
      </c>
      <c r="AB105" s="45" t="inlineStr">
        <is>
          <t>Trivalent Cr3 Zinc</t>
        </is>
      </c>
      <c r="AC105" s="45" t="inlineStr">
        <is>
          <t>ASTM B633 Type V/VI</t>
        </is>
      </c>
      <c r="AD105" s="46" t="n">
        <v>4500</v>
      </c>
      <c r="AE105" s="46" t="inlineStr">
        <is>
          <t>generic SAE table @ dash -8 (governing end)</t>
        </is>
      </c>
      <c r="AF105" s="46" t="n">
        <v>-65</v>
      </c>
      <c r="AG105" s="46" t="n">
        <v>400</v>
      </c>
      <c r="AH105" s="37" t="inlineStr">
        <is>
          <t>Ham-Let + hoseandfittings (pressure); Parker Cat.4300 (material); ASTM B633 (finish); see StandardsData</t>
        </is>
      </c>
    </row>
    <row r="106" ht="15" customHeight="1" s="35">
      <c r="A106" s="37" t="inlineStr">
        <is>
          <t>6801-08-06-NWO</t>
        </is>
      </c>
      <c r="B106" s="37" t="inlineStr">
        <is>
          <t>6801-8-6 NWO</t>
        </is>
      </c>
      <c r="C106" s="37" t="inlineStr">
        <is>
          <t>6801</t>
        </is>
      </c>
      <c r="D106" s="37" t="n">
        <v>134</v>
      </c>
      <c r="E106" s="37" t="inlineStr">
        <is>
          <t>90 deg</t>
        </is>
      </c>
      <c r="F106" s="37" t="inlineStr">
        <is>
          <t>90 deg Straight Thread Elbow, 3/4-16 x 9/16-18</t>
        </is>
      </c>
      <c r="G106" s="37" t="inlineStr">
        <is>
          <t>9/16-18</t>
        </is>
      </c>
      <c r="H106" s="37" t="inlineStr">
        <is>
          <t>3/4-16</t>
        </is>
      </c>
      <c r="I106" s="37" t="n"/>
      <c r="J106" s="37" t="inlineStr">
        <is>
          <t>SAE J1926-3</t>
        </is>
      </c>
      <c r="K106" s="37" t="inlineStr">
        <is>
          <t>SAE J514-1</t>
        </is>
      </c>
      <c r="L106" s="37" t="n">
        <v>1.25</v>
      </c>
      <c r="M106" s="37" t="n">
        <v>1.34</v>
      </c>
      <c r="N106" s="37" t="n">
        <v>0.6899999999999999</v>
      </c>
      <c r="O106" s="37" t="n">
        <v>0.8100000000000001</v>
      </c>
      <c r="P106" s="37" t="n">
        <v>0.39</v>
      </c>
      <c r="Q106" s="37" t="n">
        <v>0.3</v>
      </c>
      <c r="R106" s="44" t="n">
        <v>0.8100000000000001</v>
      </c>
      <c r="S106" s="44" t="n">
        <v>0.6899999999999999</v>
      </c>
      <c r="T106" s="37" t="n">
        <v>90</v>
      </c>
      <c r="U106" s="37" t="inlineStr">
        <is>
          <t>ASSUMED</t>
        </is>
      </c>
      <c r="V106" s="37" t="inlineStr">
        <is>
          <t>MS51527 covers matched-dash sizes only; Air-Way remains single source.</t>
        </is>
      </c>
      <c r="W106" s="37" t="inlineStr">
        <is>
          <t>BUILD</t>
        </is>
      </c>
      <c r="X106" s="37" t="inlineStr">
        <is>
          <t>Hex = Air-Way C4 column (per-part). Matched sizes in this topology corroborate the column.</t>
        </is>
      </c>
      <c r="Z106" s="45" t="inlineStr">
        <is>
          <t>Carbon Steel</t>
        </is>
      </c>
      <c r="AA106" s="45" t="inlineStr">
        <is>
          <t>ASTM A108 12L14</t>
        </is>
      </c>
      <c r="AB106" s="45" t="inlineStr">
        <is>
          <t>Trivalent Cr3 Zinc</t>
        </is>
      </c>
      <c r="AC106" s="45" t="inlineStr">
        <is>
          <t>ASTM B633 Type V/VI</t>
        </is>
      </c>
      <c r="AD106" s="46" t="n">
        <v>4500</v>
      </c>
      <c r="AE106" s="46" t="inlineStr">
        <is>
          <t>generic SAE table @ dash -8 (governing end)</t>
        </is>
      </c>
      <c r="AF106" s="46" t="n">
        <v>-65</v>
      </c>
      <c r="AG106" s="46" t="n">
        <v>400</v>
      </c>
      <c r="AH106" s="37" t="inlineStr">
        <is>
          <t>Ham-Let + hoseandfittings (pressure); Parker Cat.4300 (material); ASTM B633 (finish); see StandardsData</t>
        </is>
      </c>
    </row>
    <row r="107" ht="15" customHeight="1" s="35">
      <c r="A107" s="37" t="inlineStr">
        <is>
          <t>6801-08-08-NWO-FG</t>
        </is>
      </c>
      <c r="B107" s="37" t="inlineStr">
        <is>
          <t>6801-8-8 NWO-FG</t>
        </is>
      </c>
      <c r="C107" s="37" t="inlineStr">
        <is>
          <t>6801</t>
        </is>
      </c>
      <c r="D107" s="37" t="n">
        <v>134</v>
      </c>
      <c r="E107" s="37" t="inlineStr">
        <is>
          <t>90 deg</t>
        </is>
      </c>
      <c r="F107" s="37" t="inlineStr">
        <is>
          <t>90 deg Straight Thread Elbow, 3/4-16 x 3/4-16</t>
        </is>
      </c>
      <c r="G107" s="37" t="inlineStr">
        <is>
          <t>3/4-16</t>
        </is>
      </c>
      <c r="H107" s="37" t="inlineStr">
        <is>
          <t>3/4-16</t>
        </is>
      </c>
      <c r="I107" s="37" t="n"/>
      <c r="J107" s="37" t="inlineStr">
        <is>
          <t>SAE J1926-3</t>
        </is>
      </c>
      <c r="K107" s="37" t="inlineStr">
        <is>
          <t>SAE J514-1</t>
        </is>
      </c>
      <c r="L107" s="37" t="n">
        <v>1.25</v>
      </c>
      <c r="M107" s="37" t="n">
        <v>1.45</v>
      </c>
      <c r="N107" s="37" t="n">
        <v>0.88</v>
      </c>
      <c r="O107" s="37" t="n">
        <v>0.75</v>
      </c>
      <c r="P107" s="37" t="n">
        <v>0.39</v>
      </c>
      <c r="Q107" s="37" t="n">
        <v>0.39</v>
      </c>
      <c r="R107" s="45" t="n">
        <v>0.75</v>
      </c>
      <c r="S107" s="45" t="n">
        <v>0.88</v>
      </c>
      <c r="T107" s="37" t="n">
        <v>90</v>
      </c>
      <c r="U107" s="37" t="inlineStr">
        <is>
          <t>VERIFIED</t>
        </is>
      </c>
      <c r="V107" s="37" t="inlineStr">
        <is>
          <t>MS51527 cross-check 2026-09-04: threads, both legs, both bores AGREE.</t>
        </is>
      </c>
      <c r="W107" s="37" t="inlineStr">
        <is>
          <t>BUILD</t>
        </is>
      </c>
      <c r="X107" s="37" t="inlineStr">
        <is>
          <t>Hex = Air-Way C4 column, CONFIRMED vs PressureConnections/Purvis.</t>
        </is>
      </c>
      <c r="Z107" s="45" t="inlineStr">
        <is>
          <t>Carbon Steel</t>
        </is>
      </c>
      <c r="AA107" s="45" t="inlineStr">
        <is>
          <t>ASTM A108 12L14</t>
        </is>
      </c>
      <c r="AB107" s="45" t="inlineStr">
        <is>
          <t>Trivalent Cr3 Zinc</t>
        </is>
      </c>
      <c r="AC107" s="45" t="inlineStr">
        <is>
          <t>ASTM B633 Type V/VI</t>
        </is>
      </c>
      <c r="AD107" s="46" t="n">
        <v>4500</v>
      </c>
      <c r="AE107" s="46" t="inlineStr">
        <is>
          <t>generic SAE table @ dash -8 (governing end)</t>
        </is>
      </c>
      <c r="AF107" s="46" t="n">
        <v>-65</v>
      </c>
      <c r="AG107" s="46" t="n">
        <v>400</v>
      </c>
      <c r="AH107" s="37" t="inlineStr">
        <is>
          <t>Ham-Let + hoseandfittings (pressure); Parker Cat.4300 (material); ASTM B633 (finish); see StandardsData</t>
        </is>
      </c>
    </row>
    <row r="108" ht="15" customHeight="1" s="35">
      <c r="A108" s="37" t="inlineStr">
        <is>
          <t>6801-08-08-NWO</t>
        </is>
      </c>
      <c r="B108" s="37" t="inlineStr">
        <is>
          <t>6801-8-8 NWO</t>
        </is>
      </c>
      <c r="C108" s="37" t="inlineStr">
        <is>
          <t>6801</t>
        </is>
      </c>
      <c r="D108" s="37" t="n">
        <v>134</v>
      </c>
      <c r="E108" s="37" t="inlineStr">
        <is>
          <t>90 deg</t>
        </is>
      </c>
      <c r="F108" s="37" t="inlineStr">
        <is>
          <t>90 deg Straight Thread Elbow, 3/4-16 x 3/4-16</t>
        </is>
      </c>
      <c r="G108" s="37" t="inlineStr">
        <is>
          <t>3/4-16</t>
        </is>
      </c>
      <c r="H108" s="37" t="inlineStr">
        <is>
          <t>3/4-16</t>
        </is>
      </c>
      <c r="I108" s="37" t="n"/>
      <c r="J108" s="37" t="inlineStr">
        <is>
          <t>SAE J1926-3</t>
        </is>
      </c>
      <c r="K108" s="37" t="inlineStr">
        <is>
          <t>SAE J514-1</t>
        </is>
      </c>
      <c r="L108" s="37" t="n">
        <v>1.25</v>
      </c>
      <c r="M108" s="37" t="n">
        <v>1.45</v>
      </c>
      <c r="N108" s="37" t="n">
        <v>0.88</v>
      </c>
      <c r="O108" s="37" t="n">
        <v>0.8100000000000001</v>
      </c>
      <c r="P108" s="37" t="n">
        <v>0.39</v>
      </c>
      <c r="Q108" s="37" t="n">
        <v>0.39</v>
      </c>
      <c r="R108" s="45" t="n">
        <v>0.8100000000000001</v>
      </c>
      <c r="S108" s="45" t="n">
        <v>0.88</v>
      </c>
      <c r="T108" s="37" t="n">
        <v>90</v>
      </c>
      <c r="U108" s="37" t="inlineStr">
        <is>
          <t>VERIFIED</t>
        </is>
      </c>
      <c r="V108" s="37" t="inlineStr">
        <is>
          <t>MS51527 cross-check 2026-09-04: threads, both legs, both bores AGREE.</t>
        </is>
      </c>
      <c r="W108" s="37" t="inlineStr">
        <is>
          <t>BUILD</t>
        </is>
      </c>
      <c r="X108" s="37" t="inlineStr">
        <is>
          <t>Hex = Air-Way C4 column, CONFIRMED vs PressureConnections/Purvis.</t>
        </is>
      </c>
      <c r="Z108" s="45" t="inlineStr">
        <is>
          <t>Carbon Steel</t>
        </is>
      </c>
      <c r="AA108" s="45" t="inlineStr">
        <is>
          <t>ASTM A108 12L14</t>
        </is>
      </c>
      <c r="AB108" s="45" t="inlineStr">
        <is>
          <t>Trivalent Cr3 Zinc</t>
        </is>
      </c>
      <c r="AC108" s="45" t="inlineStr">
        <is>
          <t>ASTM B633 Type V/VI</t>
        </is>
      </c>
      <c r="AD108" s="46" t="n">
        <v>4500</v>
      </c>
      <c r="AE108" s="46" t="inlineStr">
        <is>
          <t>generic SAE table @ dash -8 (governing end)</t>
        </is>
      </c>
      <c r="AF108" s="46" t="n">
        <v>-65</v>
      </c>
      <c r="AG108" s="46" t="n">
        <v>400</v>
      </c>
      <c r="AH108" s="37" t="inlineStr">
        <is>
          <t>Ham-Let + hoseandfittings (pressure); Parker Cat.4300 (material); ASTM B633 (finish); see StandardsData</t>
        </is>
      </c>
    </row>
    <row r="109" ht="15" customHeight="1" s="35">
      <c r="A109" s="37" t="inlineStr">
        <is>
          <t>6801-08-10-NWO-FG</t>
        </is>
      </c>
      <c r="B109" s="37" t="inlineStr">
        <is>
          <t>6801-8-10 NWO-FG</t>
        </is>
      </c>
      <c r="C109" s="37" t="inlineStr">
        <is>
          <t>6801</t>
        </is>
      </c>
      <c r="D109" s="37" t="n">
        <v>134</v>
      </c>
      <c r="E109" s="37" t="inlineStr">
        <is>
          <t>90 deg</t>
        </is>
      </c>
      <c r="F109" s="37" t="inlineStr">
        <is>
          <t>90 deg Straight Thread Elbow, 3/4-16 x 7/8-14</t>
        </is>
      </c>
      <c r="G109" s="37" t="inlineStr">
        <is>
          <t>7/8-14</t>
        </is>
      </c>
      <c r="H109" s="37" t="inlineStr">
        <is>
          <t>3/4-16</t>
        </is>
      </c>
      <c r="I109" s="37" t="n"/>
      <c r="J109" s="37" t="inlineStr">
        <is>
          <t>SAE J1926-3</t>
        </is>
      </c>
      <c r="K109" s="37" t="inlineStr">
        <is>
          <t>SAE J514-1</t>
        </is>
      </c>
      <c r="L109" s="37" t="n">
        <v>1.33</v>
      </c>
      <c r="M109" s="37" t="n">
        <v>1.7</v>
      </c>
      <c r="N109" s="37" t="n">
        <v>1</v>
      </c>
      <c r="O109" s="37" t="n">
        <v>0.88</v>
      </c>
      <c r="P109" s="37" t="n">
        <v>0.39</v>
      </c>
      <c r="Q109" s="37" t="n">
        <v>0.48</v>
      </c>
      <c r="R109" s="44" t="n">
        <v>0.88</v>
      </c>
      <c r="S109" s="44" t="n">
        <v>1</v>
      </c>
      <c r="T109" s="37" t="n">
        <v>90</v>
      </c>
      <c r="U109" s="37" t="inlineStr">
        <is>
          <t>ASSUMED</t>
        </is>
      </c>
      <c r="V109" s="37" t="inlineStr">
        <is>
          <t>MS51527 covers matched-dash sizes only; Air-Way remains single source.</t>
        </is>
      </c>
      <c r="W109" s="37" t="inlineStr">
        <is>
          <t>BUILD</t>
        </is>
      </c>
      <c r="X109" s="37" t="inlineStr">
        <is>
          <t>Hex = Air-Way C4 column (per-part). Matched sizes in this topology corroborate the column.</t>
        </is>
      </c>
      <c r="Z109" s="45" t="inlineStr">
        <is>
          <t>Carbon Steel</t>
        </is>
      </c>
      <c r="AA109" s="45" t="inlineStr">
        <is>
          <t>ASTM A108 12L14</t>
        </is>
      </c>
      <c r="AB109" s="45" t="inlineStr">
        <is>
          <t>Trivalent Cr3 Zinc</t>
        </is>
      </c>
      <c r="AC109" s="45" t="inlineStr">
        <is>
          <t>ASTM B633 Type V/VI</t>
        </is>
      </c>
      <c r="AD109" s="46" t="n">
        <v>3500</v>
      </c>
      <c r="AE109" s="46" t="inlineStr">
        <is>
          <t>generic SAE table @ dash -10 (governing end)</t>
        </is>
      </c>
      <c r="AF109" s="46" t="n">
        <v>-65</v>
      </c>
      <c r="AG109" s="46" t="n">
        <v>400</v>
      </c>
      <c r="AH109" s="37" t="inlineStr">
        <is>
          <t>Ham-Let + hoseandfittings (pressure); Parker Cat.4300 (material); ASTM B633 (finish); see StandardsData</t>
        </is>
      </c>
    </row>
    <row r="110" ht="15" customHeight="1" s="35">
      <c r="A110" s="37" t="inlineStr">
        <is>
          <t>6801-08-10-NWO</t>
        </is>
      </c>
      <c r="B110" s="37" t="inlineStr">
        <is>
          <t>6801-8-10 NWO</t>
        </is>
      </c>
      <c r="C110" s="37" t="inlineStr">
        <is>
          <t>6801</t>
        </is>
      </c>
      <c r="D110" s="37" t="n">
        <v>134</v>
      </c>
      <c r="E110" s="37" t="inlineStr">
        <is>
          <t>90 deg</t>
        </is>
      </c>
      <c r="F110" s="37" t="inlineStr">
        <is>
          <t>90 deg Straight Thread Elbow, 3/4-16 x 7/8-14</t>
        </is>
      </c>
      <c r="G110" s="37" t="inlineStr">
        <is>
          <t>7/8-14</t>
        </is>
      </c>
      <c r="H110" s="37" t="inlineStr">
        <is>
          <t>3/4-16</t>
        </is>
      </c>
      <c r="I110" s="37" t="n"/>
      <c r="J110" s="37" t="inlineStr">
        <is>
          <t>SAE J1926-3</t>
        </is>
      </c>
      <c r="K110" s="37" t="inlineStr">
        <is>
          <t>SAE J514-1</t>
        </is>
      </c>
      <c r="L110" s="37" t="n">
        <v>1.31</v>
      </c>
      <c r="M110" s="37" t="n">
        <v>1.7</v>
      </c>
      <c r="N110" s="37" t="n">
        <v>1</v>
      </c>
      <c r="O110" s="37" t="n">
        <v>0.9399999999999999</v>
      </c>
      <c r="P110" s="37" t="n">
        <v>0.39</v>
      </c>
      <c r="Q110" s="37" t="n">
        <v>0.48</v>
      </c>
      <c r="R110" s="44" t="n">
        <v>0.9399999999999999</v>
      </c>
      <c r="S110" s="44" t="n">
        <v>1</v>
      </c>
      <c r="T110" s="37" t="n">
        <v>90</v>
      </c>
      <c r="U110" s="37" t="inlineStr">
        <is>
          <t>ASSUMED</t>
        </is>
      </c>
      <c r="V110" s="37" t="inlineStr">
        <is>
          <t>MS51527 covers matched-dash sizes only; Air-Way remains single source.</t>
        </is>
      </c>
      <c r="W110" s="37" t="inlineStr">
        <is>
          <t>BUILD</t>
        </is>
      </c>
      <c r="X110" s="37" t="inlineStr">
        <is>
          <t>Hex = Air-Way C4 column (per-part). Matched sizes in this topology corroborate the column.</t>
        </is>
      </c>
      <c r="Z110" s="45" t="inlineStr">
        <is>
          <t>Carbon Steel</t>
        </is>
      </c>
      <c r="AA110" s="45" t="inlineStr">
        <is>
          <t>ASTM A108 12L14</t>
        </is>
      </c>
      <c r="AB110" s="45" t="inlineStr">
        <is>
          <t>Trivalent Cr3 Zinc</t>
        </is>
      </c>
      <c r="AC110" s="45" t="inlineStr">
        <is>
          <t>ASTM B633 Type V/VI</t>
        </is>
      </c>
      <c r="AD110" s="46" t="n">
        <v>3500</v>
      </c>
      <c r="AE110" s="46" t="inlineStr">
        <is>
          <t>generic SAE table @ dash -10 (governing end)</t>
        </is>
      </c>
      <c r="AF110" s="46" t="n">
        <v>-65</v>
      </c>
      <c r="AG110" s="46" t="n">
        <v>400</v>
      </c>
      <c r="AH110" s="37" t="inlineStr">
        <is>
          <t>Ham-Let + hoseandfittings (pressure); Parker Cat.4300 (material); ASTM B633 (finish); see StandardsData</t>
        </is>
      </c>
    </row>
    <row r="111" ht="15" customHeight="1" s="35">
      <c r="A111" s="37" t="inlineStr">
        <is>
          <t>6801-08-12-NWO</t>
        </is>
      </c>
      <c r="B111" s="37" t="inlineStr">
        <is>
          <t>6801-8-12 NWO</t>
        </is>
      </c>
      <c r="C111" s="37" t="inlineStr">
        <is>
          <t>6801</t>
        </is>
      </c>
      <c r="D111" s="37" t="n">
        <v>134</v>
      </c>
      <c r="E111" s="37" t="inlineStr">
        <is>
          <t>90 deg</t>
        </is>
      </c>
      <c r="F111" s="37" t="inlineStr">
        <is>
          <t>90 deg Straight Thread Elbow, 3/4-16 x 1 1/16-12</t>
        </is>
      </c>
      <c r="G111" s="37" t="inlineStr">
        <is>
          <t>1 1/16-12</t>
        </is>
      </c>
      <c r="H111" s="37" t="inlineStr">
        <is>
          <t>3/4-16</t>
        </is>
      </c>
      <c r="I111" s="37" t="n"/>
      <c r="J111" s="37" t="inlineStr">
        <is>
          <t>SAE J1926-3</t>
        </is>
      </c>
      <c r="K111" s="37" t="inlineStr">
        <is>
          <t>SAE J514-1</t>
        </is>
      </c>
      <c r="L111" s="37" t="n">
        <v>1.4</v>
      </c>
      <c r="M111" s="37" t="n">
        <v>1.94</v>
      </c>
      <c r="N111" s="37" t="n">
        <v>1.25</v>
      </c>
      <c r="O111" s="37" t="n">
        <v>1.13</v>
      </c>
      <c r="P111" s="37" t="n">
        <v>0.39</v>
      </c>
      <c r="Q111" s="37" t="n">
        <v>0.61</v>
      </c>
      <c r="R111" s="44" t="n">
        <v>1.13</v>
      </c>
      <c r="S111" s="44" t="n">
        <v>1.25</v>
      </c>
      <c r="T111" s="37" t="n">
        <v>90</v>
      </c>
      <c r="U111" s="37" t="inlineStr">
        <is>
          <t>ASSUMED</t>
        </is>
      </c>
      <c r="V111" s="37" t="inlineStr">
        <is>
          <t>MS51527 covers matched-dash sizes only; Air-Way remains single source.</t>
        </is>
      </c>
      <c r="W111" s="37" t="inlineStr">
        <is>
          <t>BUILD</t>
        </is>
      </c>
      <c r="X111" s="37" t="inlineStr">
        <is>
          <t>Hex = Air-Way C4 column (per-part). Matched sizes in this topology corroborate the column.</t>
        </is>
      </c>
      <c r="Z111" s="45" t="inlineStr">
        <is>
          <t>Carbon Steel</t>
        </is>
      </c>
      <c r="AA111" s="45" t="inlineStr">
        <is>
          <t>ASTM A108 12L14</t>
        </is>
      </c>
      <c r="AB111" s="45" t="inlineStr">
        <is>
          <t>Trivalent Cr3 Zinc</t>
        </is>
      </c>
      <c r="AC111" s="45" t="inlineStr">
        <is>
          <t>ASTM B633 Type V/VI</t>
        </is>
      </c>
      <c r="AD111" s="46" t="n">
        <v>3500</v>
      </c>
      <c r="AE111" s="46" t="inlineStr">
        <is>
          <t>generic SAE table @ dash -12 (governing end)</t>
        </is>
      </c>
      <c r="AF111" s="46" t="n">
        <v>-65</v>
      </c>
      <c r="AG111" s="46" t="n">
        <v>400</v>
      </c>
      <c r="AH111" s="37" t="inlineStr">
        <is>
          <t>Ham-Let + hoseandfittings (pressure); Parker Cat.4300 (material); ASTM B633 (finish); see StandardsData</t>
        </is>
      </c>
    </row>
    <row r="112" ht="15" customHeight="1" s="35">
      <c r="A112" s="37" t="inlineStr">
        <is>
          <t>6801-08-14-NWO</t>
        </is>
      </c>
      <c r="B112" s="37" t="inlineStr">
        <is>
          <t>6801-8-14 NWO</t>
        </is>
      </c>
      <c r="C112" s="37" t="inlineStr">
        <is>
          <t>6801</t>
        </is>
      </c>
      <c r="D112" s="37" t="n">
        <v>134</v>
      </c>
      <c r="E112" s="37" t="inlineStr">
        <is>
          <t>90 deg</t>
        </is>
      </c>
      <c r="F112" s="37" t="inlineStr">
        <is>
          <t>90 deg Straight Thread Elbow, 3/4-16 x 1 3/16-12</t>
        </is>
      </c>
      <c r="G112" s="37" t="inlineStr">
        <is>
          <t>1 3/16-12</t>
        </is>
      </c>
      <c r="H112" s="37" t="inlineStr">
        <is>
          <t>3/4-16</t>
        </is>
      </c>
      <c r="I112" s="37" t="n"/>
      <c r="J112" s="37" t="inlineStr">
        <is>
          <t>SAE J1926-3</t>
        </is>
      </c>
      <c r="K112" s="37" t="inlineStr">
        <is>
          <t>SAE J514-1</t>
        </is>
      </c>
      <c r="L112" s="37" t="n">
        <v>1.47</v>
      </c>
      <c r="M112" s="37" t="n">
        <v>2</v>
      </c>
      <c r="N112" s="37" t="n">
        <v>1.38</v>
      </c>
      <c r="O112" s="37" t="n">
        <v>1.25</v>
      </c>
      <c r="P112" s="37" t="n">
        <v>0.39</v>
      </c>
      <c r="Q112" s="37" t="n">
        <v>0.72</v>
      </c>
      <c r="R112" s="44" t="n">
        <v>1.25</v>
      </c>
      <c r="S112" s="44" t="n">
        <v>1.38</v>
      </c>
      <c r="T112" s="37" t="n">
        <v>90</v>
      </c>
      <c r="U112" s="37" t="inlineStr">
        <is>
          <t>ASSUMED</t>
        </is>
      </c>
      <c r="V112" s="37" t="inlineStr">
        <is>
          <t>MS51527 covers matched-dash sizes only; Air-Way remains single source.</t>
        </is>
      </c>
      <c r="W112" s="37" t="inlineStr">
        <is>
          <t>BUILD</t>
        </is>
      </c>
      <c r="X112" s="37" t="inlineStr">
        <is>
          <t>Hex = Air-Way C4 column (per-part). Matched sizes in this topology corroborate the column.</t>
        </is>
      </c>
      <c r="Z112" s="45" t="inlineStr">
        <is>
          <t>Carbon Steel</t>
        </is>
      </c>
      <c r="AA112" s="45" t="inlineStr">
        <is>
          <t>ASTM A108 12L14</t>
        </is>
      </c>
      <c r="AB112" s="45" t="inlineStr">
        <is>
          <t>Trivalent Cr3 Zinc</t>
        </is>
      </c>
      <c r="AC112" s="45" t="inlineStr">
        <is>
          <t>ASTM B633 Type V/VI</t>
        </is>
      </c>
      <c r="AD112" s="46" t="n">
        <v>3000</v>
      </c>
      <c r="AE112" s="46" t="inlineStr">
        <is>
          <t>generic SAE table @ dash -14 (governing end)</t>
        </is>
      </c>
      <c r="AF112" s="46" t="n">
        <v>-65</v>
      </c>
      <c r="AG112" s="46" t="n">
        <v>400</v>
      </c>
      <c r="AH112" s="37" t="inlineStr">
        <is>
          <t>Ham-Let + hoseandfittings (pressure); Parker Cat.4300 (material); ASTM B633 (finish); see StandardsData</t>
        </is>
      </c>
    </row>
    <row r="113" ht="15" customHeight="1" s="35">
      <c r="A113" s="37" t="inlineStr">
        <is>
          <t>6801-08-16-NWO</t>
        </is>
      </c>
      <c r="B113" s="37" t="inlineStr">
        <is>
          <t>6801-8-16 NWO</t>
        </is>
      </c>
      <c r="C113" s="37" t="inlineStr">
        <is>
          <t>6801</t>
        </is>
      </c>
      <c r="D113" s="37" t="n">
        <v>134</v>
      </c>
      <c r="E113" s="37" t="inlineStr">
        <is>
          <t>90 deg</t>
        </is>
      </c>
      <c r="F113" s="37" t="inlineStr">
        <is>
          <t>90 deg Straight Thread Elbow, 3/4-16 x 1 5/16-12</t>
        </is>
      </c>
      <c r="G113" s="37" t="inlineStr">
        <is>
          <t>1 5/16-12</t>
        </is>
      </c>
      <c r="H113" s="37" t="inlineStr">
        <is>
          <t>3/4-16</t>
        </is>
      </c>
      <c r="I113" s="37" t="n"/>
      <c r="J113" s="37" t="inlineStr">
        <is>
          <t>SAE J1926-3</t>
        </is>
      </c>
      <c r="K113" s="37" t="inlineStr">
        <is>
          <t>SAE J514-1</t>
        </is>
      </c>
      <c r="L113" s="37" t="n">
        <v>1.53</v>
      </c>
      <c r="M113" s="37" t="n">
        <v>2.05</v>
      </c>
      <c r="N113" s="37" t="n">
        <v>1.5</v>
      </c>
      <c r="O113" s="37" t="n">
        <v>1.38</v>
      </c>
      <c r="P113" s="37" t="n">
        <v>0.39</v>
      </c>
      <c r="Q113" s="37" t="n">
        <v>0.84</v>
      </c>
      <c r="R113" s="44" t="n">
        <v>1.38</v>
      </c>
      <c r="S113" s="44" t="n">
        <v>1.5</v>
      </c>
      <c r="T113" s="37" t="n">
        <v>90</v>
      </c>
      <c r="U113" s="37" t="inlineStr">
        <is>
          <t>ASSUMED</t>
        </is>
      </c>
      <c r="V113" s="37" t="inlineStr">
        <is>
          <t>MS51527 covers matched-dash sizes only; Air-Way remains single source.</t>
        </is>
      </c>
      <c r="W113" s="37" t="inlineStr">
        <is>
          <t>BUILD</t>
        </is>
      </c>
      <c r="X113" s="37" t="inlineStr">
        <is>
          <t>Hex = Air-Way C4 column (per-part). Matched sizes in this topology corroborate the column.</t>
        </is>
      </c>
      <c r="Z113" s="45" t="inlineStr">
        <is>
          <t>Carbon Steel</t>
        </is>
      </c>
      <c r="AA113" s="45" t="inlineStr">
        <is>
          <t>ASTM A108 12L14</t>
        </is>
      </c>
      <c r="AB113" s="45" t="inlineStr">
        <is>
          <t>Trivalent Cr3 Zinc</t>
        </is>
      </c>
      <c r="AC113" s="45" t="inlineStr">
        <is>
          <t>ASTM B633 Type V/VI</t>
        </is>
      </c>
      <c r="AD113" s="46" t="n">
        <v>3000</v>
      </c>
      <c r="AE113" s="46" t="inlineStr">
        <is>
          <t>generic SAE table @ dash -16 (governing end)</t>
        </is>
      </c>
      <c r="AF113" s="46" t="n">
        <v>-65</v>
      </c>
      <c r="AG113" s="46" t="n">
        <v>400</v>
      </c>
      <c r="AH113" s="37" t="inlineStr">
        <is>
          <t>Ham-Let + hoseandfittings (pressure); Parker Cat.4300 (material); ASTM B633 (finish); see StandardsData</t>
        </is>
      </c>
    </row>
    <row r="114" ht="15" customHeight="1" s="35">
      <c r="A114" s="37" t="inlineStr">
        <is>
          <t>6801-10-08-NWO-FG</t>
        </is>
      </c>
      <c r="B114" s="37" t="inlineStr">
        <is>
          <t>6801-10-8 NWO-FG</t>
        </is>
      </c>
      <c r="C114" s="37" t="inlineStr">
        <is>
          <t>6801</t>
        </is>
      </c>
      <c r="D114" s="37" t="n">
        <v>134</v>
      </c>
      <c r="E114" s="37" t="inlineStr">
        <is>
          <t>90 deg</t>
        </is>
      </c>
      <c r="F114" s="37" t="inlineStr">
        <is>
          <t>90 deg Straight Thread Elbow, 7/8-14 x 3/4-16</t>
        </is>
      </c>
      <c r="G114" s="37" t="inlineStr">
        <is>
          <t>3/4-16</t>
        </is>
      </c>
      <c r="H114" s="37" t="inlineStr">
        <is>
          <t>7/8-14</t>
        </is>
      </c>
      <c r="I114" s="37" t="n"/>
      <c r="J114" s="37" t="inlineStr">
        <is>
          <t>SAE J1926-3</t>
        </is>
      </c>
      <c r="K114" s="37" t="inlineStr">
        <is>
          <t>SAE J514-1</t>
        </is>
      </c>
      <c r="L114" s="37" t="n">
        <v>1.45</v>
      </c>
      <c r="M114" s="37" t="n">
        <v>1.6</v>
      </c>
      <c r="N114" s="37" t="n">
        <v>0.88</v>
      </c>
      <c r="O114" s="37" t="n">
        <v>0.88</v>
      </c>
      <c r="P114" s="37" t="n">
        <v>0.48</v>
      </c>
      <c r="Q114" s="37" t="n">
        <v>0.39</v>
      </c>
      <c r="R114" s="44" t="n">
        <v>0.88</v>
      </c>
      <c r="S114" s="44" t="n">
        <v>0.88</v>
      </c>
      <c r="T114" s="37" t="n">
        <v>90</v>
      </c>
      <c r="U114" s="37" t="inlineStr">
        <is>
          <t>ASSUMED</t>
        </is>
      </c>
      <c r="V114" s="37" t="inlineStr">
        <is>
          <t>MS51527 covers matched-dash sizes only; Air-Way remains single source.</t>
        </is>
      </c>
      <c r="W114" s="37" t="inlineStr">
        <is>
          <t>BUILD</t>
        </is>
      </c>
      <c r="X114" s="37" t="inlineStr">
        <is>
          <t>Hex = Air-Way C4 column (per-part). Matched sizes in this topology corroborate the column.</t>
        </is>
      </c>
      <c r="Z114" s="45" t="inlineStr">
        <is>
          <t>Carbon Steel</t>
        </is>
      </c>
      <c r="AA114" s="45" t="inlineStr">
        <is>
          <t>ASTM A108 12L14</t>
        </is>
      </c>
      <c r="AB114" s="45" t="inlineStr">
        <is>
          <t>Trivalent Cr3 Zinc</t>
        </is>
      </c>
      <c r="AC114" s="45" t="inlineStr">
        <is>
          <t>ASTM B633 Type V/VI</t>
        </is>
      </c>
      <c r="AD114" s="46" t="n">
        <v>3500</v>
      </c>
      <c r="AE114" s="46" t="inlineStr">
        <is>
          <t>generic SAE table @ dash -10 (governing end)</t>
        </is>
      </c>
      <c r="AF114" s="46" t="n">
        <v>-65</v>
      </c>
      <c r="AG114" s="46" t="n">
        <v>400</v>
      </c>
      <c r="AH114" s="37" t="inlineStr">
        <is>
          <t>Ham-Let + hoseandfittings (pressure); Parker Cat.4300 (material); ASTM B633 (finish); see StandardsData</t>
        </is>
      </c>
    </row>
    <row r="115" ht="15" customHeight="1" s="35">
      <c r="A115" s="37" t="inlineStr">
        <is>
          <t>6801-10-08-NWO</t>
        </is>
      </c>
      <c r="B115" s="37" t="inlineStr">
        <is>
          <t>6801-10-8 NWO</t>
        </is>
      </c>
      <c r="C115" s="37" t="inlineStr">
        <is>
          <t>6801</t>
        </is>
      </c>
      <c r="D115" s="37" t="n">
        <v>134</v>
      </c>
      <c r="E115" s="37" t="inlineStr">
        <is>
          <t>90 deg</t>
        </is>
      </c>
      <c r="F115" s="37" t="inlineStr">
        <is>
          <t>90 deg Straight Thread Elbow, 7/8-14 x 3/4-16</t>
        </is>
      </c>
      <c r="G115" s="37" t="inlineStr">
        <is>
          <t>3/4-16</t>
        </is>
      </c>
      <c r="H115" s="37" t="inlineStr">
        <is>
          <t>7/8-14</t>
        </is>
      </c>
      <c r="I115" s="37" t="n"/>
      <c r="J115" s="37" t="inlineStr">
        <is>
          <t>SAE J1926-3</t>
        </is>
      </c>
      <c r="K115" s="37" t="inlineStr">
        <is>
          <t>SAE J514-1</t>
        </is>
      </c>
      <c r="L115" s="37" t="n">
        <v>1.45</v>
      </c>
      <c r="M115" s="37" t="n">
        <v>1.51</v>
      </c>
      <c r="N115" s="37" t="n">
        <v>0.88</v>
      </c>
      <c r="O115" s="37" t="n">
        <v>0.9399999999999999</v>
      </c>
      <c r="P115" s="37" t="n">
        <v>0.48</v>
      </c>
      <c r="Q115" s="37" t="n">
        <v>0.39</v>
      </c>
      <c r="R115" s="44" t="n">
        <v>0.9399999999999999</v>
      </c>
      <c r="S115" s="44" t="n">
        <v>0.88</v>
      </c>
      <c r="T115" s="37" t="n">
        <v>90</v>
      </c>
      <c r="U115" s="37" t="inlineStr">
        <is>
          <t>ASSUMED</t>
        </is>
      </c>
      <c r="V115" s="37" t="inlineStr">
        <is>
          <t>MS51527 covers matched-dash sizes only; Air-Way remains single source.</t>
        </is>
      </c>
      <c r="W115" s="37" t="inlineStr">
        <is>
          <t>BUILD</t>
        </is>
      </c>
      <c r="X115" s="37" t="inlineStr">
        <is>
          <t>Hex = Air-Way C4 column (per-part). Matched sizes in this topology corroborate the column.</t>
        </is>
      </c>
      <c r="Z115" s="45" t="inlineStr">
        <is>
          <t>Carbon Steel</t>
        </is>
      </c>
      <c r="AA115" s="45" t="inlineStr">
        <is>
          <t>ASTM A108 12L14</t>
        </is>
      </c>
      <c r="AB115" s="45" t="inlineStr">
        <is>
          <t>Trivalent Cr3 Zinc</t>
        </is>
      </c>
      <c r="AC115" s="45" t="inlineStr">
        <is>
          <t>ASTM B633 Type V/VI</t>
        </is>
      </c>
      <c r="AD115" s="46" t="n">
        <v>3500</v>
      </c>
      <c r="AE115" s="46" t="inlineStr">
        <is>
          <t>generic SAE table @ dash -10 (governing end)</t>
        </is>
      </c>
      <c r="AF115" s="46" t="n">
        <v>-65</v>
      </c>
      <c r="AG115" s="46" t="n">
        <v>400</v>
      </c>
      <c r="AH115" s="37" t="inlineStr">
        <is>
          <t>Ham-Let + hoseandfittings (pressure); Parker Cat.4300 (material); ASTM B633 (finish); see StandardsData</t>
        </is>
      </c>
    </row>
    <row r="116" ht="15" customHeight="1" s="35">
      <c r="A116" s="37" t="inlineStr">
        <is>
          <t>6801-08-12-NWO-FG</t>
        </is>
      </c>
      <c r="B116" s="37" t="inlineStr">
        <is>
          <t>6801-8-12 NWO-FG</t>
        </is>
      </c>
      <c r="C116" s="37" t="inlineStr">
        <is>
          <t>6801</t>
        </is>
      </c>
      <c r="D116" s="37" t="n">
        <v>134</v>
      </c>
      <c r="E116" s="37" t="inlineStr">
        <is>
          <t>90 deg</t>
        </is>
      </c>
      <c r="F116" s="37" t="inlineStr">
        <is>
          <t>90 deg Straight Thread Elbow, 3/4-16 x 1 1/16-12</t>
        </is>
      </c>
      <c r="G116" s="37" t="inlineStr">
        <is>
          <t>1 1/16-12</t>
        </is>
      </c>
      <c r="H116" s="37" t="inlineStr">
        <is>
          <t>3/4-16</t>
        </is>
      </c>
      <c r="I116" s="37" t="n"/>
      <c r="J116" s="37" t="inlineStr">
        <is>
          <t>SAE J1926-3</t>
        </is>
      </c>
      <c r="K116" s="37" t="inlineStr">
        <is>
          <t>SAE J514-1</t>
        </is>
      </c>
      <c r="L116" s="37" t="n">
        <v>1.42</v>
      </c>
      <c r="M116" s="37" t="n">
        <v>1.94</v>
      </c>
      <c r="N116" s="37" t="n">
        <v>1.25</v>
      </c>
      <c r="O116" s="37" t="n">
        <v>1.06</v>
      </c>
      <c r="P116" s="37" t="n">
        <v>0.39</v>
      </c>
      <c r="Q116" s="37" t="n">
        <v>0.61</v>
      </c>
      <c r="R116" s="44" t="n">
        <v>1.06</v>
      </c>
      <c r="S116" s="44" t="n">
        <v>1.25</v>
      </c>
      <c r="T116" s="37" t="n">
        <v>90</v>
      </c>
      <c r="U116" s="37" t="inlineStr">
        <is>
          <t>ASSUMED</t>
        </is>
      </c>
      <c r="V116" s="37" t="inlineStr">
        <is>
          <t>MS51527 covers matched-dash sizes only; Air-Way remains single source.</t>
        </is>
      </c>
      <c r="W116" s="37" t="inlineStr">
        <is>
          <t>BUILD</t>
        </is>
      </c>
      <c r="X116" s="37" t="inlineStr">
        <is>
          <t>Hex = Air-Way C4 column (per-part). Matched sizes in this topology corroborate the column.</t>
        </is>
      </c>
      <c r="Z116" s="45" t="inlineStr">
        <is>
          <t>Carbon Steel</t>
        </is>
      </c>
      <c r="AA116" s="45" t="inlineStr">
        <is>
          <t>ASTM A108 12L14</t>
        </is>
      </c>
      <c r="AB116" s="45" t="inlineStr">
        <is>
          <t>Trivalent Cr3 Zinc</t>
        </is>
      </c>
      <c r="AC116" s="45" t="inlineStr">
        <is>
          <t>ASTM B633 Type V/VI</t>
        </is>
      </c>
      <c r="AD116" s="46" t="n">
        <v>3500</v>
      </c>
      <c r="AE116" s="46" t="inlineStr">
        <is>
          <t>generic SAE table @ dash -12 (governing end)</t>
        </is>
      </c>
      <c r="AF116" s="46" t="n">
        <v>-65</v>
      </c>
      <c r="AG116" s="46" t="n">
        <v>400</v>
      </c>
      <c r="AH116" s="37" t="inlineStr">
        <is>
          <t>Ham-Let + hoseandfittings (pressure); Parker Cat.4300 (material); ASTM B633 (finish); see StandardsData</t>
        </is>
      </c>
    </row>
    <row r="117" ht="15" customHeight="1" s="35">
      <c r="A117" s="37" t="inlineStr">
        <is>
          <t>6801-10-06-NWO-FG</t>
        </is>
      </c>
      <c r="B117" s="37" t="inlineStr">
        <is>
          <t>6801-10-6 NWO-FG</t>
        </is>
      </c>
      <c r="C117" s="37" t="inlineStr">
        <is>
          <t>6801</t>
        </is>
      </c>
      <c r="D117" s="37" t="n">
        <v>134</v>
      </c>
      <c r="E117" s="37" t="inlineStr">
        <is>
          <t>90 deg</t>
        </is>
      </c>
      <c r="F117" s="37" t="inlineStr">
        <is>
          <t>90 deg Straight Thread Elbow, 7/8-14 x 9/16-18</t>
        </is>
      </c>
      <c r="G117" s="37" t="inlineStr">
        <is>
          <t>9/16-18</t>
        </is>
      </c>
      <c r="H117" s="37" t="inlineStr">
        <is>
          <t>7/8-14</t>
        </is>
      </c>
      <c r="I117" s="37" t="n"/>
      <c r="J117" s="37" t="inlineStr">
        <is>
          <t>SAE J1926-3</t>
        </is>
      </c>
      <c r="K117" s="37" t="inlineStr">
        <is>
          <t>SAE J514-1</t>
        </is>
      </c>
      <c r="L117" s="37" t="n">
        <v>1.45</v>
      </c>
      <c r="M117" s="37" t="n">
        <v>1.41</v>
      </c>
      <c r="N117" s="37" t="n">
        <v>0.6899999999999999</v>
      </c>
      <c r="O117" s="37" t="n">
        <v>0.88</v>
      </c>
      <c r="P117" s="37" t="n">
        <v>0.48</v>
      </c>
      <c r="Q117" s="37" t="n">
        <v>0.29</v>
      </c>
      <c r="R117" s="44" t="n">
        <v>0.88</v>
      </c>
      <c r="S117" s="44" t="n">
        <v>0.6899999999999999</v>
      </c>
      <c r="T117" s="37" t="n">
        <v>90</v>
      </c>
      <c r="U117" s="37" t="inlineStr">
        <is>
          <t>ASSUMED</t>
        </is>
      </c>
      <c r="V117" s="37" t="inlineStr">
        <is>
          <t>MS51527 covers matched-dash sizes only; Air-Way remains single source.</t>
        </is>
      </c>
      <c r="W117" s="37" t="inlineStr">
        <is>
          <t>BUILD</t>
        </is>
      </c>
      <c r="X117" s="37" t="inlineStr">
        <is>
          <t>Hex = Air-Way C4 column (per-part). Matched sizes in this topology corroborate the column.</t>
        </is>
      </c>
      <c r="Z117" s="45" t="inlineStr">
        <is>
          <t>Carbon Steel</t>
        </is>
      </c>
      <c r="AA117" s="45" t="inlineStr">
        <is>
          <t>ASTM A108 12L14</t>
        </is>
      </c>
      <c r="AB117" s="45" t="inlineStr">
        <is>
          <t>Trivalent Cr3 Zinc</t>
        </is>
      </c>
      <c r="AC117" s="45" t="inlineStr">
        <is>
          <t>ASTM B633 Type V/VI</t>
        </is>
      </c>
      <c r="AD117" s="46" t="n">
        <v>3500</v>
      </c>
      <c r="AE117" s="46" t="inlineStr">
        <is>
          <t>generic SAE table @ dash -10 (governing end)</t>
        </is>
      </c>
      <c r="AF117" s="46" t="n">
        <v>-65</v>
      </c>
      <c r="AG117" s="46" t="n">
        <v>400</v>
      </c>
      <c r="AH117" s="37" t="inlineStr">
        <is>
          <t>Ham-Let + hoseandfittings (pressure); Parker Cat.4300 (material); ASTM B633 (finish); see StandardsData</t>
        </is>
      </c>
    </row>
    <row r="118" ht="15" customHeight="1" s="35">
      <c r="A118" s="37" t="inlineStr">
        <is>
          <t>6801-10-06-NWO</t>
        </is>
      </c>
      <c r="B118" s="37" t="inlineStr">
        <is>
          <t>6801-10-6 NWO</t>
        </is>
      </c>
      <c r="C118" s="37" t="inlineStr">
        <is>
          <t>6801</t>
        </is>
      </c>
      <c r="D118" s="37" t="n">
        <v>134</v>
      </c>
      <c r="E118" s="37" t="inlineStr">
        <is>
          <t>90 deg</t>
        </is>
      </c>
      <c r="F118" s="37" t="inlineStr">
        <is>
          <t>90 deg Straight Thread Elbow, 7/8-14 x 9/16-18</t>
        </is>
      </c>
      <c r="G118" s="37" t="inlineStr">
        <is>
          <t>9/16-18</t>
        </is>
      </c>
      <c r="H118" s="37" t="inlineStr">
        <is>
          <t>7/8-14</t>
        </is>
      </c>
      <c r="I118" s="37" t="n"/>
      <c r="J118" s="37" t="inlineStr">
        <is>
          <t>SAE J1926-3</t>
        </is>
      </c>
      <c r="K118" s="37" t="inlineStr">
        <is>
          <t>SAE J514-1</t>
        </is>
      </c>
      <c r="L118" s="37" t="n">
        <v>1.45</v>
      </c>
      <c r="M118" s="37" t="n">
        <v>1.4</v>
      </c>
      <c r="N118" s="37" t="n">
        <v>0.6899999999999999</v>
      </c>
      <c r="O118" s="37" t="n">
        <v>0.9399999999999999</v>
      </c>
      <c r="P118" s="37" t="n">
        <v>0.48</v>
      </c>
      <c r="Q118" s="37" t="n">
        <v>0.3</v>
      </c>
      <c r="R118" s="44" t="n">
        <v>0.9399999999999999</v>
      </c>
      <c r="S118" s="44" t="n">
        <v>0.6899999999999999</v>
      </c>
      <c r="T118" s="37" t="n">
        <v>90</v>
      </c>
      <c r="U118" s="37" t="inlineStr">
        <is>
          <t>ASSUMED</t>
        </is>
      </c>
      <c r="V118" s="37" t="inlineStr">
        <is>
          <t>MS51527 covers matched-dash sizes only; Air-Way remains single source.</t>
        </is>
      </c>
      <c r="W118" s="37" t="inlineStr">
        <is>
          <t>BUILD</t>
        </is>
      </c>
      <c r="X118" s="37" t="inlineStr">
        <is>
          <t>Hex = Air-Way C4 column (per-part). Matched sizes in this topology corroborate the column.</t>
        </is>
      </c>
      <c r="Z118" s="45" t="inlineStr">
        <is>
          <t>Carbon Steel</t>
        </is>
      </c>
      <c r="AA118" s="45" t="inlineStr">
        <is>
          <t>ASTM A108 12L14</t>
        </is>
      </c>
      <c r="AB118" s="45" t="inlineStr">
        <is>
          <t>Trivalent Cr3 Zinc</t>
        </is>
      </c>
      <c r="AC118" s="45" t="inlineStr">
        <is>
          <t>ASTM B633 Type V/VI</t>
        </is>
      </c>
      <c r="AD118" s="46" t="n">
        <v>3500</v>
      </c>
      <c r="AE118" s="46" t="inlineStr">
        <is>
          <t>generic SAE table @ dash -10 (governing end)</t>
        </is>
      </c>
      <c r="AF118" s="46" t="n">
        <v>-65</v>
      </c>
      <c r="AG118" s="46" t="n">
        <v>400</v>
      </c>
      <c r="AH118" s="37" t="inlineStr">
        <is>
          <t>Ham-Let + hoseandfittings (pressure); Parker Cat.4300 (material); ASTM B633 (finish); see StandardsData</t>
        </is>
      </c>
    </row>
    <row r="119" ht="15" customHeight="1" s="35">
      <c r="A119" s="37" t="inlineStr">
        <is>
          <t>6801-10-10-NWO-FG</t>
        </is>
      </c>
      <c r="B119" s="37" t="inlineStr">
        <is>
          <t>6801-10-10 NWO-FG</t>
        </is>
      </c>
      <c r="C119" s="37" t="inlineStr">
        <is>
          <t>6801</t>
        </is>
      </c>
      <c r="D119" s="37" t="n">
        <v>134</v>
      </c>
      <c r="E119" s="37" t="inlineStr">
        <is>
          <t>90 deg</t>
        </is>
      </c>
      <c r="F119" s="37" t="inlineStr">
        <is>
          <t>90 deg Straight Thread Elbow, 7/8-14 x 7/8-14</t>
        </is>
      </c>
      <c r="G119" s="37" t="inlineStr">
        <is>
          <t>7/8-14</t>
        </is>
      </c>
      <c r="H119" s="37" t="inlineStr">
        <is>
          <t>7/8-14</t>
        </is>
      </c>
      <c r="I119" s="37" t="n"/>
      <c r="J119" s="37" t="inlineStr">
        <is>
          <t>SAE J1926-3</t>
        </is>
      </c>
      <c r="K119" s="37" t="inlineStr">
        <is>
          <t>SAE J514-1</t>
        </is>
      </c>
      <c r="L119" s="37" t="n">
        <v>1.45</v>
      </c>
      <c r="M119" s="37" t="n">
        <v>1.7</v>
      </c>
      <c r="N119" s="37" t="n">
        <v>1</v>
      </c>
      <c r="O119" s="37" t="n">
        <v>0.88</v>
      </c>
      <c r="P119" s="37" t="n">
        <v>0.48</v>
      </c>
      <c r="Q119" s="37" t="n">
        <v>0.48</v>
      </c>
      <c r="R119" s="45" t="n">
        <v>0.88</v>
      </c>
      <c r="S119" s="45" t="n">
        <v>1</v>
      </c>
      <c r="T119" s="37" t="n">
        <v>90</v>
      </c>
      <c r="U119" s="37" t="inlineStr">
        <is>
          <t>VERIFIED</t>
        </is>
      </c>
      <c r="V119" s="37" t="inlineStr">
        <is>
          <t>MS51527 cross-check 2026-09-04: threads, both legs, both bores AGREE.</t>
        </is>
      </c>
      <c r="W119" s="37" t="inlineStr">
        <is>
          <t>BUILD</t>
        </is>
      </c>
      <c r="X119" s="37" t="inlineStr">
        <is>
          <t>Hex = Air-Way C4 column, CONFIRMED vs PressureConnections/Purvis.</t>
        </is>
      </c>
      <c r="Z119" s="45" t="inlineStr">
        <is>
          <t>Carbon Steel</t>
        </is>
      </c>
      <c r="AA119" s="45" t="inlineStr">
        <is>
          <t>ASTM A108 12L14</t>
        </is>
      </c>
      <c r="AB119" s="45" t="inlineStr">
        <is>
          <t>Trivalent Cr3 Zinc</t>
        </is>
      </c>
      <c r="AC119" s="45" t="inlineStr">
        <is>
          <t>ASTM B633 Type V/VI</t>
        </is>
      </c>
      <c r="AD119" s="46" t="n">
        <v>3500</v>
      </c>
      <c r="AE119" s="46" t="inlineStr">
        <is>
          <t>generic SAE table @ dash -10 (governing end)</t>
        </is>
      </c>
      <c r="AF119" s="46" t="n">
        <v>-65</v>
      </c>
      <c r="AG119" s="46" t="n">
        <v>400</v>
      </c>
      <c r="AH119" s="37" t="inlineStr">
        <is>
          <t>Ham-Let + hoseandfittings (pressure); Parker Cat.4300 (material); ASTM B633 (finish); see StandardsData</t>
        </is>
      </c>
    </row>
    <row r="120" ht="15" customHeight="1" s="35">
      <c r="A120" s="37" t="inlineStr">
        <is>
          <t>6801-10-10-NWO</t>
        </is>
      </c>
      <c r="B120" s="37" t="inlineStr">
        <is>
          <t>6801-10-10 NWO</t>
        </is>
      </c>
      <c r="C120" s="37" t="inlineStr">
        <is>
          <t>6801</t>
        </is>
      </c>
      <c r="D120" s="37" t="n">
        <v>134</v>
      </c>
      <c r="E120" s="37" t="inlineStr">
        <is>
          <t>90 deg</t>
        </is>
      </c>
      <c r="F120" s="37" t="inlineStr">
        <is>
          <t>90 deg Straight Thread Elbow, 7/8-14 x 7/8-14</t>
        </is>
      </c>
      <c r="G120" s="37" t="inlineStr">
        <is>
          <t>7/8-14</t>
        </is>
      </c>
      <c r="H120" s="37" t="inlineStr">
        <is>
          <t>7/8-14</t>
        </is>
      </c>
      <c r="I120" s="37" t="n"/>
      <c r="J120" s="37" t="inlineStr">
        <is>
          <t>SAE J1926-3</t>
        </is>
      </c>
      <c r="K120" s="37" t="inlineStr">
        <is>
          <t>SAE J514-1</t>
        </is>
      </c>
      <c r="L120" s="37" t="n">
        <v>1.45</v>
      </c>
      <c r="M120" s="37" t="n">
        <v>1.7</v>
      </c>
      <c r="N120" s="37" t="n">
        <v>1</v>
      </c>
      <c r="O120" s="37" t="n">
        <v>0.9399999999999999</v>
      </c>
      <c r="P120" s="37" t="n">
        <v>0.48</v>
      </c>
      <c r="Q120" s="37" t="n">
        <v>0.48</v>
      </c>
      <c r="R120" s="45" t="n">
        <v>0.9399999999999999</v>
      </c>
      <c r="S120" s="45" t="n">
        <v>1</v>
      </c>
      <c r="T120" s="37" t="n">
        <v>90</v>
      </c>
      <c r="U120" s="37" t="inlineStr">
        <is>
          <t>VERIFIED</t>
        </is>
      </c>
      <c r="V120" s="37" t="inlineStr">
        <is>
          <t>MS51527 cross-check 2026-09-04: threads, both legs, both bores AGREE.</t>
        </is>
      </c>
      <c r="W120" s="37" t="inlineStr">
        <is>
          <t>BUILD</t>
        </is>
      </c>
      <c r="X120" s="37" t="inlineStr">
        <is>
          <t>Hex = Air-Way C4 column, CONFIRMED vs PressureConnections/Purvis.</t>
        </is>
      </c>
      <c r="Z120" s="45" t="inlineStr">
        <is>
          <t>Carbon Steel</t>
        </is>
      </c>
      <c r="AA120" s="45" t="inlineStr">
        <is>
          <t>ASTM A108 12L14</t>
        </is>
      </c>
      <c r="AB120" s="45" t="inlineStr">
        <is>
          <t>Trivalent Cr3 Zinc</t>
        </is>
      </c>
      <c r="AC120" s="45" t="inlineStr">
        <is>
          <t>ASTM B633 Type V/VI</t>
        </is>
      </c>
      <c r="AD120" s="46" t="n">
        <v>3500</v>
      </c>
      <c r="AE120" s="46" t="inlineStr">
        <is>
          <t>generic SAE table @ dash -10 (governing end)</t>
        </is>
      </c>
      <c r="AF120" s="46" t="n">
        <v>-65</v>
      </c>
      <c r="AG120" s="46" t="n">
        <v>400</v>
      </c>
      <c r="AH120" s="37" t="inlineStr">
        <is>
          <t>Ham-Let + hoseandfittings (pressure); Parker Cat.4300 (material); ASTM B633 (finish); see StandardsData</t>
        </is>
      </c>
    </row>
    <row r="121" ht="15" customHeight="1" s="35">
      <c r="A121" s="37" t="inlineStr">
        <is>
          <t>6801-10-12-NWO-FG</t>
        </is>
      </c>
      <c r="B121" s="37" t="inlineStr">
        <is>
          <t>6801-10-12 NWO-FG</t>
        </is>
      </c>
      <c r="C121" s="37" t="inlineStr">
        <is>
          <t>6801</t>
        </is>
      </c>
      <c r="D121" s="37" t="n">
        <v>134</v>
      </c>
      <c r="E121" s="37" t="inlineStr">
        <is>
          <t>90 deg</t>
        </is>
      </c>
      <c r="F121" s="37" t="inlineStr">
        <is>
          <t>90 deg Straight Thread Elbow, 7/8-14 x 1 1/16-12</t>
        </is>
      </c>
      <c r="G121" s="37" t="inlineStr">
        <is>
          <t>1 1/16-12</t>
        </is>
      </c>
      <c r="H121" s="37" t="inlineStr">
        <is>
          <t>7/8-14</t>
        </is>
      </c>
      <c r="I121" s="37" t="n"/>
      <c r="J121" s="37" t="inlineStr">
        <is>
          <t>SAE J1926-3</t>
        </is>
      </c>
      <c r="K121" s="37" t="inlineStr">
        <is>
          <t>SAE J514-1</t>
        </is>
      </c>
      <c r="L121" s="37" t="n">
        <v>1.54</v>
      </c>
      <c r="M121" s="37" t="n">
        <v>1.94</v>
      </c>
      <c r="N121" s="37" t="n">
        <v>1.25</v>
      </c>
      <c r="O121" s="37" t="n">
        <v>1.06</v>
      </c>
      <c r="P121" s="37" t="n">
        <v>0.48</v>
      </c>
      <c r="Q121" s="37" t="n">
        <v>0.61</v>
      </c>
      <c r="R121" s="44" t="n">
        <v>1.06</v>
      </c>
      <c r="S121" s="44" t="n">
        <v>1.25</v>
      </c>
      <c r="T121" s="37" t="n">
        <v>90</v>
      </c>
      <c r="U121" s="37" t="inlineStr">
        <is>
          <t>ASSUMED</t>
        </is>
      </c>
      <c r="V121" s="37" t="inlineStr">
        <is>
          <t>MS51527 covers matched-dash sizes only; Air-Way remains single source.</t>
        </is>
      </c>
      <c r="W121" s="37" t="inlineStr">
        <is>
          <t>BUILD</t>
        </is>
      </c>
      <c r="X121" s="37" t="inlineStr">
        <is>
          <t>Hex = Air-Way C4 column (per-part). Matched sizes in this topology corroborate the column.</t>
        </is>
      </c>
      <c r="Z121" s="45" t="inlineStr">
        <is>
          <t>Carbon Steel</t>
        </is>
      </c>
      <c r="AA121" s="45" t="inlineStr">
        <is>
          <t>ASTM A108 12L14</t>
        </is>
      </c>
      <c r="AB121" s="45" t="inlineStr">
        <is>
          <t>Trivalent Cr3 Zinc</t>
        </is>
      </c>
      <c r="AC121" s="45" t="inlineStr">
        <is>
          <t>ASTM B633 Type V/VI</t>
        </is>
      </c>
      <c r="AD121" s="46" t="n">
        <v>3500</v>
      </c>
      <c r="AE121" s="46" t="inlineStr">
        <is>
          <t>generic SAE table @ dash -12 (governing end)</t>
        </is>
      </c>
      <c r="AF121" s="46" t="n">
        <v>-65</v>
      </c>
      <c r="AG121" s="46" t="n">
        <v>400</v>
      </c>
      <c r="AH121" s="37" t="inlineStr">
        <is>
          <t>Ham-Let + hoseandfittings (pressure); Parker Cat.4300 (material); ASTM B633 (finish); see StandardsData</t>
        </is>
      </c>
    </row>
    <row r="122" ht="15" customHeight="1" s="35">
      <c r="A122" s="37" t="inlineStr">
        <is>
          <t>6801-10-12-NWO</t>
        </is>
      </c>
      <c r="B122" s="37" t="inlineStr">
        <is>
          <t>6801-10-12 NWO</t>
        </is>
      </c>
      <c r="C122" s="37" t="inlineStr">
        <is>
          <t>6801</t>
        </is>
      </c>
      <c r="D122" s="37" t="n">
        <v>134</v>
      </c>
      <c r="E122" s="37" t="inlineStr">
        <is>
          <t>90 deg</t>
        </is>
      </c>
      <c r="F122" s="37" t="inlineStr">
        <is>
          <t>90 deg Straight Thread Elbow, 7/8-14 x 1 1/16-12</t>
        </is>
      </c>
      <c r="G122" s="37" t="inlineStr">
        <is>
          <t>1 1/16-12</t>
        </is>
      </c>
      <c r="H122" s="37" t="inlineStr">
        <is>
          <t>7/8-14</t>
        </is>
      </c>
      <c r="I122" s="37" t="n"/>
      <c r="J122" s="37" t="inlineStr">
        <is>
          <t>SAE J1926-3</t>
        </is>
      </c>
      <c r="K122" s="37" t="inlineStr">
        <is>
          <t>SAE J514-1</t>
        </is>
      </c>
      <c r="L122" s="37" t="n">
        <v>1.55</v>
      </c>
      <c r="M122" s="37" t="n">
        <v>1.94</v>
      </c>
      <c r="N122" s="37" t="n">
        <v>1.25</v>
      </c>
      <c r="O122" s="37" t="n">
        <v>1.13</v>
      </c>
      <c r="P122" s="37" t="n">
        <v>0.48</v>
      </c>
      <c r="Q122" s="37" t="n">
        <v>0.61</v>
      </c>
      <c r="R122" s="44" t="n">
        <v>1.13</v>
      </c>
      <c r="S122" s="44" t="n">
        <v>1.25</v>
      </c>
      <c r="T122" s="37" t="n">
        <v>90</v>
      </c>
      <c r="U122" s="37" t="inlineStr">
        <is>
          <t>ASSUMED</t>
        </is>
      </c>
      <c r="V122" s="37" t="inlineStr">
        <is>
          <t>MS51527 covers matched-dash sizes only; Air-Way remains single source.</t>
        </is>
      </c>
      <c r="W122" s="37" t="inlineStr">
        <is>
          <t>BUILD</t>
        </is>
      </c>
      <c r="X122" s="37" t="inlineStr">
        <is>
          <t>Hex = Air-Way C4 column (per-part). Matched sizes in this topology corroborate the column.</t>
        </is>
      </c>
      <c r="Z122" s="45" t="inlineStr">
        <is>
          <t>Carbon Steel</t>
        </is>
      </c>
      <c r="AA122" s="45" t="inlineStr">
        <is>
          <t>ASTM A108 12L14</t>
        </is>
      </c>
      <c r="AB122" s="45" t="inlineStr">
        <is>
          <t>Trivalent Cr3 Zinc</t>
        </is>
      </c>
      <c r="AC122" s="45" t="inlineStr">
        <is>
          <t>ASTM B633 Type V/VI</t>
        </is>
      </c>
      <c r="AD122" s="46" t="n">
        <v>3500</v>
      </c>
      <c r="AE122" s="46" t="inlineStr">
        <is>
          <t>generic SAE table @ dash -12 (governing end)</t>
        </is>
      </c>
      <c r="AF122" s="46" t="n">
        <v>-65</v>
      </c>
      <c r="AG122" s="46" t="n">
        <v>400</v>
      </c>
      <c r="AH122" s="37" t="inlineStr">
        <is>
          <t>Ham-Let + hoseandfittings (pressure); Parker Cat.4300 (material); ASTM B633 (finish); see StandardsData</t>
        </is>
      </c>
    </row>
    <row r="123" ht="15" customHeight="1" s="35">
      <c r="A123" s="37" t="inlineStr">
        <is>
          <t>6801-10-16-NWO</t>
        </is>
      </c>
      <c r="B123" s="37" t="inlineStr">
        <is>
          <t>6801-10-16 NWO</t>
        </is>
      </c>
      <c r="C123" s="37" t="inlineStr">
        <is>
          <t>6801</t>
        </is>
      </c>
      <c r="D123" s="37" t="n">
        <v>134</v>
      </c>
      <c r="E123" s="37" t="inlineStr">
        <is>
          <t>90 deg</t>
        </is>
      </c>
      <c r="F123" s="37" t="inlineStr">
        <is>
          <t>90 deg Straight Thread Elbow, 7/8-14 x 1 5/16-12</t>
        </is>
      </c>
      <c r="G123" s="37" t="inlineStr">
        <is>
          <t>1 5/16-12</t>
        </is>
      </c>
      <c r="H123" s="37" t="inlineStr">
        <is>
          <t>7/8-14</t>
        </is>
      </c>
      <c r="I123" s="37" t="n"/>
      <c r="J123" s="37" t="inlineStr">
        <is>
          <t>SAE J1926-3</t>
        </is>
      </c>
      <c r="K123" s="37" t="inlineStr">
        <is>
          <t>SAE J514-1</t>
        </is>
      </c>
      <c r="L123" s="37" t="n">
        <v>1.67</v>
      </c>
      <c r="M123" s="37" t="n">
        <v>2.05</v>
      </c>
      <c r="N123" s="37" t="n">
        <v>1.5</v>
      </c>
      <c r="O123" s="37" t="n">
        <v>1.38</v>
      </c>
      <c r="P123" s="37" t="n">
        <v>0.48</v>
      </c>
      <c r="Q123" s="37" t="n">
        <v>0.84</v>
      </c>
      <c r="R123" s="44" t="n">
        <v>1.38</v>
      </c>
      <c r="S123" s="44" t="n">
        <v>1.5</v>
      </c>
      <c r="T123" s="37" t="n">
        <v>90</v>
      </c>
      <c r="U123" s="37" t="inlineStr">
        <is>
          <t>ASSUMED</t>
        </is>
      </c>
      <c r="V123" s="37" t="inlineStr">
        <is>
          <t>MS51527 covers matched-dash sizes only; Air-Way remains single source.</t>
        </is>
      </c>
      <c r="W123" s="37" t="inlineStr">
        <is>
          <t>BUILD</t>
        </is>
      </c>
      <c r="X123" s="37" t="inlineStr">
        <is>
          <t>Hex = Air-Way C4 column (per-part). Matched sizes in this topology corroborate the column.</t>
        </is>
      </c>
      <c r="Z123" s="45" t="inlineStr">
        <is>
          <t>Carbon Steel</t>
        </is>
      </c>
      <c r="AA123" s="45" t="inlineStr">
        <is>
          <t>ASTM A108 12L14</t>
        </is>
      </c>
      <c r="AB123" s="45" t="inlineStr">
        <is>
          <t>Trivalent Cr3 Zinc</t>
        </is>
      </c>
      <c r="AC123" s="45" t="inlineStr">
        <is>
          <t>ASTM B633 Type V/VI</t>
        </is>
      </c>
      <c r="AD123" s="46" t="n">
        <v>3000</v>
      </c>
      <c r="AE123" s="46" t="inlineStr">
        <is>
          <t>generic SAE table @ dash -16 (governing end)</t>
        </is>
      </c>
      <c r="AF123" s="46" t="n">
        <v>-65</v>
      </c>
      <c r="AG123" s="46" t="n">
        <v>400</v>
      </c>
      <c r="AH123" s="37" t="inlineStr">
        <is>
          <t>Ham-Let + hoseandfittings (pressure); Parker Cat.4300 (material); ASTM B633 (finish); see StandardsData</t>
        </is>
      </c>
    </row>
    <row r="124" ht="15" customHeight="1" s="35">
      <c r="A124" s="37" t="inlineStr">
        <is>
          <t>6801-12-06-NWO</t>
        </is>
      </c>
      <c r="B124" s="37" t="inlineStr">
        <is>
          <t>6801-12-6 NWO</t>
        </is>
      </c>
      <c r="C124" s="37" t="inlineStr">
        <is>
          <t>6801</t>
        </is>
      </c>
      <c r="D124" s="37" t="n">
        <v>134</v>
      </c>
      <c r="E124" s="37" t="inlineStr">
        <is>
          <t>90 deg</t>
        </is>
      </c>
      <c r="F124" s="37" t="inlineStr">
        <is>
          <t>90 deg Straight Thread Elbow, 1 1/16-12 x 9/16-18</t>
        </is>
      </c>
      <c r="G124" s="37" t="inlineStr">
        <is>
          <t>9/16-18</t>
        </is>
      </c>
      <c r="H124" s="37" t="inlineStr">
        <is>
          <t>1 1/16-12</t>
        </is>
      </c>
      <c r="I124" s="37" t="n"/>
      <c r="J124" s="37" t="inlineStr">
        <is>
          <t>SAE J1926-3</t>
        </is>
      </c>
      <c r="K124" s="37" t="inlineStr">
        <is>
          <t>SAE J514-1</t>
        </is>
      </c>
      <c r="L124" s="37" t="n">
        <v>1.66</v>
      </c>
      <c r="M124" s="37" t="n">
        <v>1.5</v>
      </c>
      <c r="N124" s="37" t="n">
        <v>0.6899999999999999</v>
      </c>
      <c r="O124" s="37" t="n">
        <v>1.13</v>
      </c>
      <c r="P124" s="37" t="n">
        <v>0.61</v>
      </c>
      <c r="Q124" s="37" t="n">
        <v>0.3</v>
      </c>
      <c r="R124" s="44" t="n">
        <v>1.13</v>
      </c>
      <c r="S124" s="44" t="n">
        <v>0.6899999999999999</v>
      </c>
      <c r="T124" s="37" t="n">
        <v>90</v>
      </c>
      <c r="U124" s="37" t="inlineStr">
        <is>
          <t>ASSUMED</t>
        </is>
      </c>
      <c r="V124" s="37" t="inlineStr">
        <is>
          <t>MS51527 covers matched-dash sizes only; Air-Way remains single source.</t>
        </is>
      </c>
      <c r="W124" s="37" t="inlineStr">
        <is>
          <t>BUILD</t>
        </is>
      </c>
      <c r="X124" s="37" t="inlineStr">
        <is>
          <t>Hex = Air-Way C4 column (per-part). Matched sizes in this topology corroborate the column.</t>
        </is>
      </c>
      <c r="Z124" s="45" t="inlineStr">
        <is>
          <t>Carbon Steel</t>
        </is>
      </c>
      <c r="AA124" s="45" t="inlineStr">
        <is>
          <t>ASTM A108 12L14</t>
        </is>
      </c>
      <c r="AB124" s="45" t="inlineStr">
        <is>
          <t>Trivalent Cr3 Zinc</t>
        </is>
      </c>
      <c r="AC124" s="45" t="inlineStr">
        <is>
          <t>ASTM B633 Type V/VI</t>
        </is>
      </c>
      <c r="AD124" s="46" t="n">
        <v>3500</v>
      </c>
      <c r="AE124" s="46" t="inlineStr">
        <is>
          <t>generic SAE table @ dash -12 (governing end)</t>
        </is>
      </c>
      <c r="AF124" s="46" t="n">
        <v>-65</v>
      </c>
      <c r="AG124" s="46" t="n">
        <v>400</v>
      </c>
      <c r="AH124" s="37" t="inlineStr">
        <is>
          <t>Ham-Let + hoseandfittings (pressure); Parker Cat.4300 (material); ASTM B633 (finish); see StandardsData</t>
        </is>
      </c>
    </row>
    <row r="125" ht="15" customHeight="1" s="35">
      <c r="A125" s="37" t="inlineStr">
        <is>
          <t>6801-12-08-NWO-FG</t>
        </is>
      </c>
      <c r="B125" s="37" t="inlineStr">
        <is>
          <t>6801-12-8 NWO-FG</t>
        </is>
      </c>
      <c r="C125" s="37" t="inlineStr">
        <is>
          <t>6801</t>
        </is>
      </c>
      <c r="D125" s="37" t="n">
        <v>134</v>
      </c>
      <c r="E125" s="37" t="inlineStr">
        <is>
          <t>90 deg</t>
        </is>
      </c>
      <c r="F125" s="37" t="inlineStr">
        <is>
          <t>90 deg Straight Thread Elbow, 1 1/16-12 x 3/4-16</t>
        </is>
      </c>
      <c r="G125" s="37" t="inlineStr">
        <is>
          <t>3/4-16</t>
        </is>
      </c>
      <c r="H125" s="37" t="inlineStr">
        <is>
          <t>1 1/16-12</t>
        </is>
      </c>
      <c r="I125" s="37" t="n"/>
      <c r="J125" s="37" t="inlineStr">
        <is>
          <t>SAE J1926-3</t>
        </is>
      </c>
      <c r="K125" s="37" t="inlineStr">
        <is>
          <t>SAE J514-1</t>
        </is>
      </c>
      <c r="L125" s="37" t="n">
        <v>1.66</v>
      </c>
      <c r="M125" s="37" t="n">
        <v>1.62</v>
      </c>
      <c r="N125" s="37" t="n">
        <v>0.88</v>
      </c>
      <c r="O125" s="37" t="n">
        <v>1.06</v>
      </c>
      <c r="P125" s="37" t="n">
        <v>0.61</v>
      </c>
      <c r="Q125" s="37" t="n">
        <v>0.39</v>
      </c>
      <c r="R125" s="44" t="n">
        <v>1.06</v>
      </c>
      <c r="S125" s="44" t="n">
        <v>0.88</v>
      </c>
      <c r="T125" s="37" t="n">
        <v>90</v>
      </c>
      <c r="U125" s="37" t="inlineStr">
        <is>
          <t>ASSUMED</t>
        </is>
      </c>
      <c r="V125" s="37" t="inlineStr">
        <is>
          <t>MS51527 covers matched-dash sizes only; Air-Way remains single source.</t>
        </is>
      </c>
      <c r="W125" s="37" t="inlineStr">
        <is>
          <t>BUILD</t>
        </is>
      </c>
      <c r="X125" s="37" t="inlineStr">
        <is>
          <t>Hex = Air-Way C4 column (per-part). Matched sizes in this topology corroborate the column.</t>
        </is>
      </c>
      <c r="Z125" s="45" t="inlineStr">
        <is>
          <t>Carbon Steel</t>
        </is>
      </c>
      <c r="AA125" s="45" t="inlineStr">
        <is>
          <t>ASTM A108 12L14</t>
        </is>
      </c>
      <c r="AB125" s="45" t="inlineStr">
        <is>
          <t>Trivalent Cr3 Zinc</t>
        </is>
      </c>
      <c r="AC125" s="45" t="inlineStr">
        <is>
          <t>ASTM B633 Type V/VI</t>
        </is>
      </c>
      <c r="AD125" s="46" t="n">
        <v>3500</v>
      </c>
      <c r="AE125" s="46" t="inlineStr">
        <is>
          <t>generic SAE table @ dash -12 (governing end)</t>
        </is>
      </c>
      <c r="AF125" s="46" t="n">
        <v>-65</v>
      </c>
      <c r="AG125" s="46" t="n">
        <v>400</v>
      </c>
      <c r="AH125" s="37" t="inlineStr">
        <is>
          <t>Ham-Let + hoseandfittings (pressure); Parker Cat.4300 (material); ASTM B633 (finish); see StandardsData</t>
        </is>
      </c>
    </row>
    <row r="126" ht="15" customHeight="1" s="35">
      <c r="A126" s="37" t="inlineStr">
        <is>
          <t>6801-12-08-NWO</t>
        </is>
      </c>
      <c r="B126" s="37" t="inlineStr">
        <is>
          <t>6801-12-8 NWO</t>
        </is>
      </c>
      <c r="C126" s="37" t="inlineStr">
        <is>
          <t>6801</t>
        </is>
      </c>
      <c r="D126" s="37" t="n">
        <v>134</v>
      </c>
      <c r="E126" s="37" t="inlineStr">
        <is>
          <t>90 deg</t>
        </is>
      </c>
      <c r="F126" s="37" t="inlineStr">
        <is>
          <t>90 deg Straight Thread Elbow, 1 1/16-12 x 3/4-16</t>
        </is>
      </c>
      <c r="G126" s="37" t="inlineStr">
        <is>
          <t>3/4-16</t>
        </is>
      </c>
      <c r="H126" s="37" t="inlineStr">
        <is>
          <t>1 1/16-12</t>
        </is>
      </c>
      <c r="I126" s="37" t="n"/>
      <c r="J126" s="37" t="inlineStr">
        <is>
          <t>SAE J1926-3</t>
        </is>
      </c>
      <c r="K126" s="37" t="inlineStr">
        <is>
          <t>SAE J514-1</t>
        </is>
      </c>
      <c r="L126" s="37" t="n">
        <v>1.66</v>
      </c>
      <c r="M126" s="37" t="n">
        <v>1.61</v>
      </c>
      <c r="N126" s="37" t="n">
        <v>0.88</v>
      </c>
      <c r="O126" s="37" t="n">
        <v>1.13</v>
      </c>
      <c r="P126" s="37" t="n">
        <v>0.61</v>
      </c>
      <c r="Q126" s="37" t="n">
        <v>0.39</v>
      </c>
      <c r="R126" s="44" t="n">
        <v>1.13</v>
      </c>
      <c r="S126" s="44" t="n">
        <v>0.88</v>
      </c>
      <c r="T126" s="37" t="n">
        <v>90</v>
      </c>
      <c r="U126" s="37" t="inlineStr">
        <is>
          <t>ASSUMED</t>
        </is>
      </c>
      <c r="V126" s="37" t="inlineStr">
        <is>
          <t>MS51527 covers matched-dash sizes only; Air-Way remains single source.</t>
        </is>
      </c>
      <c r="W126" s="37" t="inlineStr">
        <is>
          <t>BUILD</t>
        </is>
      </c>
      <c r="X126" s="37" t="inlineStr">
        <is>
          <t>Hex = Air-Way C4 column (per-part). Matched sizes in this topology corroborate the column.</t>
        </is>
      </c>
      <c r="Z126" s="45" t="inlineStr">
        <is>
          <t>Carbon Steel</t>
        </is>
      </c>
      <c r="AA126" s="45" t="inlineStr">
        <is>
          <t>ASTM A108 12L14</t>
        </is>
      </c>
      <c r="AB126" s="45" t="inlineStr">
        <is>
          <t>Trivalent Cr3 Zinc</t>
        </is>
      </c>
      <c r="AC126" s="45" t="inlineStr">
        <is>
          <t>ASTM B633 Type V/VI</t>
        </is>
      </c>
      <c r="AD126" s="46" t="n">
        <v>3500</v>
      </c>
      <c r="AE126" s="46" t="inlineStr">
        <is>
          <t>generic SAE table @ dash -12 (governing end)</t>
        </is>
      </c>
      <c r="AF126" s="46" t="n">
        <v>-65</v>
      </c>
      <c r="AG126" s="46" t="n">
        <v>400</v>
      </c>
      <c r="AH126" s="37" t="inlineStr">
        <is>
          <t>Ham-Let + hoseandfittings (pressure); Parker Cat.4300 (material); ASTM B633 (finish); see StandardsData</t>
        </is>
      </c>
    </row>
    <row r="127" ht="15" customHeight="1" s="35">
      <c r="A127" s="37" t="inlineStr">
        <is>
          <t>6801-12-10-NWO-FG</t>
        </is>
      </c>
      <c r="B127" s="37" t="inlineStr">
        <is>
          <t>6801-12-10 NWO-FG</t>
        </is>
      </c>
      <c r="C127" s="37" t="inlineStr">
        <is>
          <t>6801</t>
        </is>
      </c>
      <c r="D127" s="37" t="n">
        <v>134</v>
      </c>
      <c r="E127" s="37" t="inlineStr">
        <is>
          <t>90 deg</t>
        </is>
      </c>
      <c r="F127" s="37" t="inlineStr">
        <is>
          <t>90 deg Straight Thread Elbow, 1 1/16-12 x 7/8-14</t>
        </is>
      </c>
      <c r="G127" s="37" t="inlineStr">
        <is>
          <t>7/8-14</t>
        </is>
      </c>
      <c r="H127" s="37" t="inlineStr">
        <is>
          <t>1 1/16-12</t>
        </is>
      </c>
      <c r="I127" s="37" t="n"/>
      <c r="J127" s="37" t="inlineStr">
        <is>
          <t>SAE J1926-3</t>
        </is>
      </c>
      <c r="K127" s="37" t="inlineStr">
        <is>
          <t>SAE J514-1</t>
        </is>
      </c>
      <c r="L127" s="37" t="n">
        <v>1.66</v>
      </c>
      <c r="M127" s="37" t="n">
        <v>1.78</v>
      </c>
      <c r="N127" s="37" t="n">
        <v>1</v>
      </c>
      <c r="O127" s="37" t="n">
        <v>1.06</v>
      </c>
      <c r="P127" s="37" t="n">
        <v>0.61</v>
      </c>
      <c r="Q127" s="37" t="n">
        <v>0.48</v>
      </c>
      <c r="R127" s="44" t="n">
        <v>1.06</v>
      </c>
      <c r="S127" s="44" t="n">
        <v>1</v>
      </c>
      <c r="T127" s="37" t="n">
        <v>90</v>
      </c>
      <c r="U127" s="37" t="inlineStr">
        <is>
          <t>ASSUMED</t>
        </is>
      </c>
      <c r="V127" s="37" t="inlineStr">
        <is>
          <t>MS51527 covers matched-dash sizes only; Air-Way remains single source.</t>
        </is>
      </c>
      <c r="W127" s="37" t="inlineStr">
        <is>
          <t>BUILD</t>
        </is>
      </c>
      <c r="X127" s="37" t="inlineStr">
        <is>
          <t>Hex = Air-Way C4 column (per-part). Matched sizes in this topology corroborate the column.</t>
        </is>
      </c>
      <c r="Z127" s="45" t="inlineStr">
        <is>
          <t>Carbon Steel</t>
        </is>
      </c>
      <c r="AA127" s="45" t="inlineStr">
        <is>
          <t>ASTM A108 12L14</t>
        </is>
      </c>
      <c r="AB127" s="45" t="inlineStr">
        <is>
          <t>Trivalent Cr3 Zinc</t>
        </is>
      </c>
      <c r="AC127" s="45" t="inlineStr">
        <is>
          <t>ASTM B633 Type V/VI</t>
        </is>
      </c>
      <c r="AD127" s="46" t="n">
        <v>3500</v>
      </c>
      <c r="AE127" s="46" t="inlineStr">
        <is>
          <t>generic SAE table @ dash -12 (governing end)</t>
        </is>
      </c>
      <c r="AF127" s="46" t="n">
        <v>-65</v>
      </c>
      <c r="AG127" s="46" t="n">
        <v>400</v>
      </c>
      <c r="AH127" s="37" t="inlineStr">
        <is>
          <t>Ham-Let + hoseandfittings (pressure); Parker Cat.4300 (material); ASTM B633 (finish); see StandardsData</t>
        </is>
      </c>
    </row>
    <row r="128" ht="15" customHeight="1" s="35">
      <c r="A128" s="37" t="inlineStr">
        <is>
          <t>6801-12-10-NWO</t>
        </is>
      </c>
      <c r="B128" s="37" t="inlineStr">
        <is>
          <t>6801-12-10 NWO</t>
        </is>
      </c>
      <c r="C128" s="37" t="inlineStr">
        <is>
          <t>6801</t>
        </is>
      </c>
      <c r="D128" s="37" t="n">
        <v>134</v>
      </c>
      <c r="E128" s="37" t="inlineStr">
        <is>
          <t>90 deg</t>
        </is>
      </c>
      <c r="F128" s="37" t="inlineStr">
        <is>
          <t>90 deg Straight Thread Elbow, 1 1/16-12 x 7/8-14</t>
        </is>
      </c>
      <c r="G128" s="37" t="inlineStr">
        <is>
          <t>7/8-14</t>
        </is>
      </c>
      <c r="H128" s="37" t="inlineStr">
        <is>
          <t>1 1/16-12</t>
        </is>
      </c>
      <c r="I128" s="37" t="n"/>
      <c r="J128" s="37" t="inlineStr">
        <is>
          <t>SAE J1926-3</t>
        </is>
      </c>
      <c r="K128" s="37" t="inlineStr">
        <is>
          <t>SAE J514-1</t>
        </is>
      </c>
      <c r="L128" s="37" t="n">
        <v>1.66</v>
      </c>
      <c r="M128" s="37" t="n">
        <v>1.8</v>
      </c>
      <c r="N128" s="37" t="n">
        <v>1</v>
      </c>
      <c r="O128" s="37" t="n">
        <v>1.13</v>
      </c>
      <c r="P128" s="37" t="n">
        <v>0.61</v>
      </c>
      <c r="Q128" s="37" t="n">
        <v>0.48</v>
      </c>
      <c r="R128" s="44" t="n">
        <v>1.13</v>
      </c>
      <c r="S128" s="44" t="n">
        <v>1</v>
      </c>
      <c r="T128" s="37" t="n">
        <v>90</v>
      </c>
      <c r="U128" s="37" t="inlineStr">
        <is>
          <t>ASSUMED</t>
        </is>
      </c>
      <c r="V128" s="37" t="inlineStr">
        <is>
          <t>MS51527 covers matched-dash sizes only; Air-Way remains single source.</t>
        </is>
      </c>
      <c r="W128" s="37" t="inlineStr">
        <is>
          <t>BUILD</t>
        </is>
      </c>
      <c r="X128" s="37" t="inlineStr">
        <is>
          <t>Hex = Air-Way C4 column (per-part). Matched sizes in this topology corroborate the column.</t>
        </is>
      </c>
      <c r="Z128" s="45" t="inlineStr">
        <is>
          <t>Carbon Steel</t>
        </is>
      </c>
      <c r="AA128" s="45" t="inlineStr">
        <is>
          <t>ASTM A108 12L14</t>
        </is>
      </c>
      <c r="AB128" s="45" t="inlineStr">
        <is>
          <t>Trivalent Cr3 Zinc</t>
        </is>
      </c>
      <c r="AC128" s="45" t="inlineStr">
        <is>
          <t>ASTM B633 Type V/VI</t>
        </is>
      </c>
      <c r="AD128" s="46" t="n">
        <v>3500</v>
      </c>
      <c r="AE128" s="46" t="inlineStr">
        <is>
          <t>generic SAE table @ dash -12 (governing end)</t>
        </is>
      </c>
      <c r="AF128" s="46" t="n">
        <v>-65</v>
      </c>
      <c r="AG128" s="46" t="n">
        <v>400</v>
      </c>
      <c r="AH128" s="37" t="inlineStr">
        <is>
          <t>Ham-Let + hoseandfittings (pressure); Parker Cat.4300 (material); ASTM B633 (finish); see StandardsData</t>
        </is>
      </c>
    </row>
    <row r="129" ht="15" customHeight="1" s="35">
      <c r="A129" s="37" t="inlineStr">
        <is>
          <t>6801-12-12-NWO-FG</t>
        </is>
      </c>
      <c r="B129" s="37" t="inlineStr">
        <is>
          <t>6801-12-12 NWO-FG</t>
        </is>
      </c>
      <c r="C129" s="37" t="inlineStr">
        <is>
          <t>6801</t>
        </is>
      </c>
      <c r="D129" s="37" t="n">
        <v>134</v>
      </c>
      <c r="E129" s="37" t="inlineStr">
        <is>
          <t>90 deg</t>
        </is>
      </c>
      <c r="F129" s="37" t="inlineStr">
        <is>
          <t>90 deg Straight Thread Elbow, 1 1/16-12 x 1 1/16-12</t>
        </is>
      </c>
      <c r="G129" s="37" t="inlineStr">
        <is>
          <t>1 1/16-12</t>
        </is>
      </c>
      <c r="H129" s="37" t="inlineStr">
        <is>
          <t>1 1/16-12</t>
        </is>
      </c>
      <c r="I129" s="37" t="n"/>
      <c r="J129" s="37" t="inlineStr">
        <is>
          <t>SAE J1926-3</t>
        </is>
      </c>
      <c r="K129" s="37" t="inlineStr">
        <is>
          <t>SAE J514-1</t>
        </is>
      </c>
      <c r="L129" s="37" t="n">
        <v>1.66</v>
      </c>
      <c r="M129" s="37" t="n">
        <v>1.94</v>
      </c>
      <c r="N129" s="37" t="n">
        <v>1.25</v>
      </c>
      <c r="O129" s="37" t="n">
        <v>1.06</v>
      </c>
      <c r="P129" s="37" t="n">
        <v>0.61</v>
      </c>
      <c r="Q129" s="37" t="n">
        <v>0.61</v>
      </c>
      <c r="R129" s="45" t="n">
        <v>1.06</v>
      </c>
      <c r="S129" s="45" t="n">
        <v>1.25</v>
      </c>
      <c r="T129" s="37" t="n">
        <v>90</v>
      </c>
      <c r="U129" s="37" t="inlineStr">
        <is>
          <t>VERIFIED</t>
        </is>
      </c>
      <c r="V129" s="37" t="inlineStr">
        <is>
          <t>MS51527 cross-check 2026-09-04: threads, both legs, both bores AGREE.</t>
        </is>
      </c>
      <c r="W129" s="37" t="inlineStr">
        <is>
          <t>BUILD</t>
        </is>
      </c>
      <c r="X129" s="37" t="inlineStr">
        <is>
          <t>Hex = Air-Way C4 column, CONFIRMED vs PressureConnections/Purvis.</t>
        </is>
      </c>
      <c r="Z129" s="45" t="inlineStr">
        <is>
          <t>Carbon Steel</t>
        </is>
      </c>
      <c r="AA129" s="45" t="inlineStr">
        <is>
          <t>ASTM A108 12L14</t>
        </is>
      </c>
      <c r="AB129" s="45" t="inlineStr">
        <is>
          <t>Trivalent Cr3 Zinc</t>
        </is>
      </c>
      <c r="AC129" s="45" t="inlineStr">
        <is>
          <t>ASTM B633 Type V/VI</t>
        </is>
      </c>
      <c r="AD129" s="46" t="n">
        <v>3500</v>
      </c>
      <c r="AE129" s="46" t="inlineStr">
        <is>
          <t>generic SAE table @ dash -12 (governing end)</t>
        </is>
      </c>
      <c r="AF129" s="46" t="n">
        <v>-65</v>
      </c>
      <c r="AG129" s="46" t="n">
        <v>400</v>
      </c>
      <c r="AH129" s="37" t="inlineStr">
        <is>
          <t>Ham-Let + hoseandfittings (pressure); Parker Cat.4300 (material); ASTM B633 (finish); see StandardsData</t>
        </is>
      </c>
    </row>
    <row r="130" ht="15" customHeight="1" s="35">
      <c r="A130" s="37" t="inlineStr">
        <is>
          <t>6801-12-12-NWO</t>
        </is>
      </c>
      <c r="B130" s="37" t="inlineStr">
        <is>
          <t>6801-12-12 NWO</t>
        </is>
      </c>
      <c r="C130" s="37" t="inlineStr">
        <is>
          <t>6801</t>
        </is>
      </c>
      <c r="D130" s="37" t="n">
        <v>134</v>
      </c>
      <c r="E130" s="37" t="inlineStr">
        <is>
          <t>90 deg</t>
        </is>
      </c>
      <c r="F130" s="37" t="inlineStr">
        <is>
          <t>90 deg Straight Thread Elbow, 1 1/16-12 x 1 1/16-12</t>
        </is>
      </c>
      <c r="G130" s="37" t="inlineStr">
        <is>
          <t>1 1/16-12</t>
        </is>
      </c>
      <c r="H130" s="37" t="inlineStr">
        <is>
          <t>1 1/16-12</t>
        </is>
      </c>
      <c r="I130" s="37" t="n"/>
      <c r="J130" s="37" t="inlineStr">
        <is>
          <t>SAE J1926-3</t>
        </is>
      </c>
      <c r="K130" s="37" t="inlineStr">
        <is>
          <t>SAE J514-1</t>
        </is>
      </c>
      <c r="L130" s="37" t="n">
        <v>1.66</v>
      </c>
      <c r="M130" s="37" t="n">
        <v>1.94</v>
      </c>
      <c r="N130" s="37" t="n">
        <v>1.25</v>
      </c>
      <c r="O130" s="37" t="n">
        <v>1.13</v>
      </c>
      <c r="P130" s="37" t="n">
        <v>0.61</v>
      </c>
      <c r="Q130" s="37" t="n">
        <v>0.61</v>
      </c>
      <c r="R130" s="45" t="n">
        <v>1.13</v>
      </c>
      <c r="S130" s="45" t="n">
        <v>1.25</v>
      </c>
      <c r="T130" s="37" t="n">
        <v>90</v>
      </c>
      <c r="U130" s="37" t="inlineStr">
        <is>
          <t>VERIFIED</t>
        </is>
      </c>
      <c r="V130" s="37" t="inlineStr">
        <is>
          <t>MS51527 cross-check 2026-09-04: threads, both legs, both bores AGREE.</t>
        </is>
      </c>
      <c r="W130" s="37" t="inlineStr">
        <is>
          <t>BUILD</t>
        </is>
      </c>
      <c r="X130" s="37" t="inlineStr">
        <is>
          <t>Hex = Air-Way C4 column, CONFIRMED vs PressureConnections/Purvis.</t>
        </is>
      </c>
      <c r="Z130" s="45" t="inlineStr">
        <is>
          <t>Carbon Steel</t>
        </is>
      </c>
      <c r="AA130" s="45" t="inlineStr">
        <is>
          <t>ASTM A108 12L14</t>
        </is>
      </c>
      <c r="AB130" s="45" t="inlineStr">
        <is>
          <t>Trivalent Cr3 Zinc</t>
        </is>
      </c>
      <c r="AC130" s="45" t="inlineStr">
        <is>
          <t>ASTM B633 Type V/VI</t>
        </is>
      </c>
      <c r="AD130" s="46" t="n">
        <v>3500</v>
      </c>
      <c r="AE130" s="46" t="inlineStr">
        <is>
          <t>generic SAE table @ dash -12 (governing end)</t>
        </is>
      </c>
      <c r="AF130" s="46" t="n">
        <v>-65</v>
      </c>
      <c r="AG130" s="46" t="n">
        <v>400</v>
      </c>
      <c r="AH130" s="37" t="inlineStr">
        <is>
          <t>Ham-Let + hoseandfittings (pressure); Parker Cat.4300 (material); ASTM B633 (finish); see StandardsData</t>
        </is>
      </c>
    </row>
    <row r="131" ht="15" customHeight="1" s="35">
      <c r="A131" s="37" t="inlineStr">
        <is>
          <t>6801-12-14-NWO</t>
        </is>
      </c>
      <c r="B131" s="37" t="inlineStr">
        <is>
          <t>6801-12-14 NWO</t>
        </is>
      </c>
      <c r="C131" s="37" t="inlineStr">
        <is>
          <t>6801</t>
        </is>
      </c>
      <c r="D131" s="37" t="n">
        <v>134</v>
      </c>
      <c r="E131" s="37" t="inlineStr">
        <is>
          <t>90 deg</t>
        </is>
      </c>
      <c r="F131" s="37" t="inlineStr">
        <is>
          <t>90 deg Straight Thread Elbow, 1 1/16-12 x 1 3/16-12</t>
        </is>
      </c>
      <c r="G131" s="37" t="inlineStr">
        <is>
          <t>1 3/16-12</t>
        </is>
      </c>
      <c r="H131" s="37" t="inlineStr">
        <is>
          <t>1 1/16-12</t>
        </is>
      </c>
      <c r="I131" s="37" t="n"/>
      <c r="J131" s="37" t="inlineStr">
        <is>
          <t>SAE J1926-3</t>
        </is>
      </c>
      <c r="K131" s="37" t="inlineStr">
        <is>
          <t>SAE J514-1</t>
        </is>
      </c>
      <c r="L131" s="37" t="n">
        <v>1.72</v>
      </c>
      <c r="M131" s="37" t="n">
        <v>2</v>
      </c>
      <c r="N131" s="37" t="n">
        <v>1.38</v>
      </c>
      <c r="O131" s="37" t="n">
        <v>1.25</v>
      </c>
      <c r="P131" s="37" t="n">
        <v>0.61</v>
      </c>
      <c r="Q131" s="37" t="n">
        <v>0.72</v>
      </c>
      <c r="R131" s="44" t="n">
        <v>1.25</v>
      </c>
      <c r="S131" s="44" t="n">
        <v>1.38</v>
      </c>
      <c r="T131" s="37" t="n">
        <v>90</v>
      </c>
      <c r="U131" s="37" t="inlineStr">
        <is>
          <t>ASSUMED</t>
        </is>
      </c>
      <c r="V131" s="37" t="inlineStr">
        <is>
          <t>MS51527 covers matched-dash sizes only; Air-Way remains single source.</t>
        </is>
      </c>
      <c r="W131" s="37" t="inlineStr">
        <is>
          <t>BUILD</t>
        </is>
      </c>
      <c r="X131" s="37" t="inlineStr">
        <is>
          <t>Hex = Air-Way C4 column (per-part). Matched sizes in this topology corroborate the column.</t>
        </is>
      </c>
      <c r="Z131" s="45" t="inlineStr">
        <is>
          <t>Carbon Steel</t>
        </is>
      </c>
      <c r="AA131" s="45" t="inlineStr">
        <is>
          <t>ASTM A108 12L14</t>
        </is>
      </c>
      <c r="AB131" s="45" t="inlineStr">
        <is>
          <t>Trivalent Cr3 Zinc</t>
        </is>
      </c>
      <c r="AC131" s="45" t="inlineStr">
        <is>
          <t>ASTM B633 Type V/VI</t>
        </is>
      </c>
      <c r="AD131" s="46" t="n">
        <v>3000</v>
      </c>
      <c r="AE131" s="46" t="inlineStr">
        <is>
          <t>generic SAE table @ dash -14 (governing end)</t>
        </is>
      </c>
      <c r="AF131" s="46" t="n">
        <v>-65</v>
      </c>
      <c r="AG131" s="46" t="n">
        <v>400</v>
      </c>
      <c r="AH131" s="37" t="inlineStr">
        <is>
          <t>Ham-Let + hoseandfittings (pressure); Parker Cat.4300 (material); ASTM B633 (finish); see StandardsData</t>
        </is>
      </c>
    </row>
    <row r="132" ht="15" customHeight="1" s="35">
      <c r="A132" s="37" t="inlineStr">
        <is>
          <t>6801-12-16-NWO-FG</t>
        </is>
      </c>
      <c r="B132" s="37" t="inlineStr">
        <is>
          <t>6801-12-16 NWO-FG</t>
        </is>
      </c>
      <c r="C132" s="37" t="inlineStr">
        <is>
          <t>6801</t>
        </is>
      </c>
      <c r="D132" s="37" t="n">
        <v>134</v>
      </c>
      <c r="E132" s="37" t="inlineStr">
        <is>
          <t>90 deg</t>
        </is>
      </c>
      <c r="F132" s="37" t="inlineStr">
        <is>
          <t>90 deg Straight Thread Elbow, 1 1/16-12 x 1 5/16-12</t>
        </is>
      </c>
      <c r="G132" s="37" t="inlineStr">
        <is>
          <t>1 5/16-12</t>
        </is>
      </c>
      <c r="H132" s="37" t="inlineStr">
        <is>
          <t>1 1/16-12</t>
        </is>
      </c>
      <c r="I132" s="37" t="n"/>
      <c r="J132" s="37" t="inlineStr">
        <is>
          <t>SAE J1926-3</t>
        </is>
      </c>
      <c r="K132" s="37" t="inlineStr">
        <is>
          <t>SAE J514-1</t>
        </is>
      </c>
      <c r="L132" s="37" t="n">
        <v>1.76</v>
      </c>
      <c r="M132" s="37" t="n">
        <v>2.05</v>
      </c>
      <c r="N132" s="37" t="n">
        <v>1.5</v>
      </c>
      <c r="O132" s="37" t="n">
        <v>1.31</v>
      </c>
      <c r="P132" s="37" t="n">
        <v>0.61</v>
      </c>
      <c r="Q132" s="37" t="n">
        <v>0.84</v>
      </c>
      <c r="R132" s="44" t="n">
        <v>1.31</v>
      </c>
      <c r="S132" s="44" t="n">
        <v>1.5</v>
      </c>
      <c r="T132" s="37" t="n">
        <v>90</v>
      </c>
      <c r="U132" s="37" t="inlineStr">
        <is>
          <t>ASSUMED</t>
        </is>
      </c>
      <c r="V132" s="37" t="inlineStr">
        <is>
          <t>MS51527 covers matched-dash sizes only; Air-Way remains single source.</t>
        </is>
      </c>
      <c r="W132" s="37" t="inlineStr">
        <is>
          <t>BUILD</t>
        </is>
      </c>
      <c r="X132" s="37" t="inlineStr">
        <is>
          <t>Hex = Air-Way C4 column (per-part). Matched sizes in this topology corroborate the column.</t>
        </is>
      </c>
      <c r="Z132" s="45" t="inlineStr">
        <is>
          <t>Carbon Steel</t>
        </is>
      </c>
      <c r="AA132" s="45" t="inlineStr">
        <is>
          <t>ASTM A108 12L14</t>
        </is>
      </c>
      <c r="AB132" s="45" t="inlineStr">
        <is>
          <t>Trivalent Cr3 Zinc</t>
        </is>
      </c>
      <c r="AC132" s="45" t="inlineStr">
        <is>
          <t>ASTM B633 Type V/VI</t>
        </is>
      </c>
      <c r="AD132" s="46" t="n">
        <v>3000</v>
      </c>
      <c r="AE132" s="46" t="inlineStr">
        <is>
          <t>generic SAE table @ dash -16 (governing end)</t>
        </is>
      </c>
      <c r="AF132" s="46" t="n">
        <v>-65</v>
      </c>
      <c r="AG132" s="46" t="n">
        <v>400</v>
      </c>
      <c r="AH132" s="37" t="inlineStr">
        <is>
          <t>Ham-Let + hoseandfittings (pressure); Parker Cat.4300 (material); ASTM B633 (finish); see StandardsData</t>
        </is>
      </c>
    </row>
    <row r="133" ht="15" customHeight="1" s="35">
      <c r="A133" s="37" t="inlineStr">
        <is>
          <t>6801-12-16-NWO</t>
        </is>
      </c>
      <c r="B133" s="37" t="inlineStr">
        <is>
          <t>6801-12-16 NWO</t>
        </is>
      </c>
      <c r="C133" s="37" t="inlineStr">
        <is>
          <t>6801</t>
        </is>
      </c>
      <c r="D133" s="37" t="n">
        <v>134</v>
      </c>
      <c r="E133" s="37" t="inlineStr">
        <is>
          <t>90 deg</t>
        </is>
      </c>
      <c r="F133" s="37" t="inlineStr">
        <is>
          <t>90 deg Straight Thread Elbow, 1 1/16-12 x 1 5/16-12</t>
        </is>
      </c>
      <c r="G133" s="37" t="inlineStr">
        <is>
          <t>1 5/16-12</t>
        </is>
      </c>
      <c r="H133" s="37" t="inlineStr">
        <is>
          <t>1 1/16-12</t>
        </is>
      </c>
      <c r="I133" s="37" t="n"/>
      <c r="J133" s="37" t="inlineStr">
        <is>
          <t>SAE J1926-3</t>
        </is>
      </c>
      <c r="K133" s="37" t="inlineStr">
        <is>
          <t>SAE J514-1</t>
        </is>
      </c>
      <c r="L133" s="37" t="n">
        <v>1.78</v>
      </c>
      <c r="M133" s="37" t="n">
        <v>2.05</v>
      </c>
      <c r="N133" s="37" t="n">
        <v>1.5</v>
      </c>
      <c r="O133" s="37" t="n">
        <v>1.38</v>
      </c>
      <c r="P133" s="37" t="n">
        <v>0.61</v>
      </c>
      <c r="Q133" s="37" t="n">
        <v>0.84</v>
      </c>
      <c r="R133" s="44" t="n">
        <v>1.38</v>
      </c>
      <c r="S133" s="44" t="n">
        <v>1.5</v>
      </c>
      <c r="T133" s="37" t="n">
        <v>90</v>
      </c>
      <c r="U133" s="37" t="inlineStr">
        <is>
          <t>ASSUMED</t>
        </is>
      </c>
      <c r="V133" s="37" t="inlineStr">
        <is>
          <t>MS51527 covers matched-dash sizes only; Air-Way remains single source.</t>
        </is>
      </c>
      <c r="W133" s="37" t="inlineStr">
        <is>
          <t>BUILD</t>
        </is>
      </c>
      <c r="X133" s="37" t="inlineStr">
        <is>
          <t>Hex = Air-Way C4 column (per-part). Matched sizes in this topology corroborate the column.</t>
        </is>
      </c>
      <c r="Z133" s="45" t="inlineStr">
        <is>
          <t>Carbon Steel</t>
        </is>
      </c>
      <c r="AA133" s="45" t="inlineStr">
        <is>
          <t>ASTM A108 12L14</t>
        </is>
      </c>
      <c r="AB133" s="45" t="inlineStr">
        <is>
          <t>Trivalent Cr3 Zinc</t>
        </is>
      </c>
      <c r="AC133" s="45" t="inlineStr">
        <is>
          <t>ASTM B633 Type V/VI</t>
        </is>
      </c>
      <c r="AD133" s="46" t="n">
        <v>3000</v>
      </c>
      <c r="AE133" s="46" t="inlineStr">
        <is>
          <t>generic SAE table @ dash -16 (governing end)</t>
        </is>
      </c>
      <c r="AF133" s="46" t="n">
        <v>-65</v>
      </c>
      <c r="AG133" s="46" t="n">
        <v>400</v>
      </c>
      <c r="AH133" s="37" t="inlineStr">
        <is>
          <t>Ham-Let + hoseandfittings (pressure); Parker Cat.4300 (material); ASTM B633 (finish); see StandardsData</t>
        </is>
      </c>
    </row>
    <row r="134" ht="15" customHeight="1" s="35">
      <c r="A134" s="37" t="inlineStr">
        <is>
          <t>6801-12-20-NWO</t>
        </is>
      </c>
      <c r="B134" s="37" t="inlineStr">
        <is>
          <t>6801-12-20 NWO</t>
        </is>
      </c>
      <c r="C134" s="37" t="inlineStr">
        <is>
          <t>6801</t>
        </is>
      </c>
      <c r="D134" s="37" t="n">
        <v>134</v>
      </c>
      <c r="E134" s="37" t="inlineStr">
        <is>
          <t>90 deg</t>
        </is>
      </c>
      <c r="F134" s="37" t="inlineStr">
        <is>
          <t>90 deg Straight Thread Elbow, 1 1/16-12 x 1 5/8-12</t>
        </is>
      </c>
      <c r="G134" s="37" t="inlineStr">
        <is>
          <t>1 5/8-12</t>
        </is>
      </c>
      <c r="H134" s="37" t="inlineStr">
        <is>
          <t>1 1/16-12</t>
        </is>
      </c>
      <c r="I134" s="37" t="n"/>
      <c r="J134" s="37" t="inlineStr">
        <is>
          <t>SAE J1926-3</t>
        </is>
      </c>
      <c r="K134" s="37" t="inlineStr">
        <is>
          <t>SAE J514-1</t>
        </is>
      </c>
      <c r="L134" s="37" t="n">
        <v>1.97</v>
      </c>
      <c r="M134" s="37" t="n">
        <v>2.25</v>
      </c>
      <c r="N134" s="37" t="n">
        <v>1.88</v>
      </c>
      <c r="O134" s="37" t="n">
        <v>1.75</v>
      </c>
      <c r="P134" s="37" t="n">
        <v>0.61</v>
      </c>
      <c r="Q134" s="37" t="n">
        <v>1.08</v>
      </c>
      <c r="R134" s="44" t="n">
        <v>1.75</v>
      </c>
      <c r="S134" s="44" t="n">
        <v>1.88</v>
      </c>
      <c r="T134" s="37" t="n">
        <v>90</v>
      </c>
      <c r="U134" s="37" t="inlineStr">
        <is>
          <t>ASSUMED</t>
        </is>
      </c>
      <c r="V134" s="37" t="inlineStr">
        <is>
          <t>MS51527 covers matched-dash sizes only; Air-Way remains single source.</t>
        </is>
      </c>
      <c r="W134" s="37" t="inlineStr">
        <is>
          <t>BUILD</t>
        </is>
      </c>
      <c r="X134" s="37" t="inlineStr">
        <is>
          <t>Hex = Air-Way C4 column (per-part). Matched sizes in this topology corroborate the column.</t>
        </is>
      </c>
      <c r="Z134" s="45" t="inlineStr">
        <is>
          <t>Carbon Steel</t>
        </is>
      </c>
      <c r="AA134" s="45" t="inlineStr">
        <is>
          <t>ASTM A108 12L14</t>
        </is>
      </c>
      <c r="AB134" s="45" t="inlineStr">
        <is>
          <t>Trivalent Cr3 Zinc</t>
        </is>
      </c>
      <c r="AC134" s="45" t="inlineStr">
        <is>
          <t>ASTM B633 Type V/VI</t>
        </is>
      </c>
      <c r="AD134" s="46" t="n">
        <v>2500</v>
      </c>
      <c r="AE134" s="46" t="inlineStr">
        <is>
          <t>generic SAE table @ dash -20 (governing end)</t>
        </is>
      </c>
      <c r="AF134" s="46" t="n">
        <v>-65</v>
      </c>
      <c r="AG134" s="46" t="n">
        <v>400</v>
      </c>
      <c r="AH134" s="37" t="inlineStr">
        <is>
          <t>Ham-Let + hoseandfittings (pressure); Parker Cat.4300 (material); ASTM B633 (finish); see StandardsData</t>
        </is>
      </c>
    </row>
    <row r="135" ht="15" customHeight="1" s="35">
      <c r="A135" s="37" t="inlineStr">
        <is>
          <t>6801-14-14-NWO</t>
        </is>
      </c>
      <c r="B135" s="37" t="inlineStr">
        <is>
          <t>6801-14-14 NWO</t>
        </is>
      </c>
      <c r="C135" s="37" t="inlineStr">
        <is>
          <t>6801</t>
        </is>
      </c>
      <c r="D135" s="37" t="n">
        <v>134</v>
      </c>
      <c r="E135" s="37" t="inlineStr">
        <is>
          <t>90 deg</t>
        </is>
      </c>
      <c r="F135" s="37" t="inlineStr">
        <is>
          <t>90 deg Straight Thread Elbow, 1 3/16-12 x 1 3/16-12</t>
        </is>
      </c>
      <c r="G135" s="37" t="inlineStr">
        <is>
          <t>1 3/16-12</t>
        </is>
      </c>
      <c r="H135" s="37" t="inlineStr">
        <is>
          <t>1 3/16-12</t>
        </is>
      </c>
      <c r="I135" s="37" t="n"/>
      <c r="J135" s="37" t="inlineStr">
        <is>
          <t>SAE J1926-3</t>
        </is>
      </c>
      <c r="K135" s="37" t="inlineStr">
        <is>
          <t>SAE J514-1</t>
        </is>
      </c>
      <c r="L135" s="37" t="n">
        <v>1.8</v>
      </c>
      <c r="M135" s="37" t="n">
        <v>2</v>
      </c>
      <c r="N135" s="37" t="n">
        <v>1.38</v>
      </c>
      <c r="O135" s="37" t="n">
        <v>1.25</v>
      </c>
      <c r="P135" s="37" t="n">
        <v>0.72</v>
      </c>
      <c r="Q135" s="37" t="n">
        <v>0.72</v>
      </c>
      <c r="R135" s="44" t="n">
        <v>1.25</v>
      </c>
      <c r="S135" s="44" t="n">
        <v>1.38</v>
      </c>
      <c r="T135" s="37" t="n">
        <v>90</v>
      </c>
      <c r="U135" s="37" t="inlineStr">
        <is>
          <t>ASSUMED</t>
        </is>
      </c>
      <c r="V135" s="37" t="inlineStr">
        <is>
          <t>MS51527 cross-check 2026-09-04: threads, both legs, both bores AGREE.</t>
        </is>
      </c>
      <c r="W135" s="37" t="inlineStr">
        <is>
          <t>BUILD</t>
        </is>
      </c>
      <c r="X135" s="37" t="inlineStr">
        <is>
          <t>Hex = Air-Way C4 column (per-part). Matched sizes in this topology corroborate the column.</t>
        </is>
      </c>
      <c r="Z135" s="45" t="inlineStr">
        <is>
          <t>Carbon Steel</t>
        </is>
      </c>
      <c r="AA135" s="45" t="inlineStr">
        <is>
          <t>ASTM A108 12L14</t>
        </is>
      </c>
      <c r="AB135" s="45" t="inlineStr">
        <is>
          <t>Trivalent Cr3 Zinc</t>
        </is>
      </c>
      <c r="AC135" s="45" t="inlineStr">
        <is>
          <t>ASTM B633 Type V/VI</t>
        </is>
      </c>
      <c r="AD135" s="46" t="n">
        <v>3000</v>
      </c>
      <c r="AE135" s="46" t="inlineStr">
        <is>
          <t>generic SAE table @ dash -14 (governing end)</t>
        </is>
      </c>
      <c r="AF135" s="46" t="n">
        <v>-65</v>
      </c>
      <c r="AG135" s="46" t="n">
        <v>400</v>
      </c>
      <c r="AH135" s="37" t="inlineStr">
        <is>
          <t>Ham-Let + hoseandfittings (pressure); Parker Cat.4300 (material); ASTM B633 (finish); see StandardsData</t>
        </is>
      </c>
    </row>
    <row r="136" ht="15" customHeight="1" s="35">
      <c r="A136" s="37" t="inlineStr">
        <is>
          <t>6801-16-10-NWO</t>
        </is>
      </c>
      <c r="B136" s="37" t="inlineStr">
        <is>
          <t>6801-16-10 NWO</t>
        </is>
      </c>
      <c r="C136" s="37" t="inlineStr">
        <is>
          <t>6801</t>
        </is>
      </c>
      <c r="D136" s="37" t="n">
        <v>134</v>
      </c>
      <c r="E136" s="37" t="inlineStr">
        <is>
          <t>90 deg</t>
        </is>
      </c>
      <c r="F136" s="37" t="inlineStr">
        <is>
          <t>90 deg Straight Thread Elbow, 1 5/16-12 x 7/8-14</t>
        </is>
      </c>
      <c r="G136" s="37" t="inlineStr">
        <is>
          <t>7/8-14</t>
        </is>
      </c>
      <c r="H136" s="37" t="inlineStr">
        <is>
          <t>1 5/16-12</t>
        </is>
      </c>
      <c r="I136" s="37" t="n"/>
      <c r="J136" s="37" t="inlineStr">
        <is>
          <t>SAE J1926-3</t>
        </is>
      </c>
      <c r="K136" s="37" t="inlineStr">
        <is>
          <t>SAE J514-1</t>
        </is>
      </c>
      <c r="L136" s="37" t="n">
        <v>1.81</v>
      </c>
      <c r="M136" s="37" t="n">
        <v>1.92</v>
      </c>
      <c r="N136" s="37" t="n">
        <v>1</v>
      </c>
      <c r="O136" s="37" t="n">
        <v>1.38</v>
      </c>
      <c r="P136" s="37" t="n">
        <v>0.84</v>
      </c>
      <c r="Q136" s="37" t="n">
        <v>0.48</v>
      </c>
      <c r="R136" s="44" t="n">
        <v>1.38</v>
      </c>
      <c r="S136" s="44" t="n">
        <v>1</v>
      </c>
      <c r="T136" s="37" t="n">
        <v>90</v>
      </c>
      <c r="U136" s="37" t="inlineStr">
        <is>
          <t>ASSUMED</t>
        </is>
      </c>
      <c r="V136" s="37" t="inlineStr">
        <is>
          <t>MS51527 covers matched-dash sizes only; Air-Way remains single source.</t>
        </is>
      </c>
      <c r="W136" s="37" t="inlineStr">
        <is>
          <t>BUILD</t>
        </is>
      </c>
      <c r="X136" s="37" t="inlineStr">
        <is>
          <t>Hex = Air-Way C4 column (per-part). Matched sizes in this topology corroborate the column.</t>
        </is>
      </c>
      <c r="Z136" s="45" t="inlineStr">
        <is>
          <t>Carbon Steel</t>
        </is>
      </c>
      <c r="AA136" s="45" t="inlineStr">
        <is>
          <t>ASTM A108 12L14</t>
        </is>
      </c>
      <c r="AB136" s="45" t="inlineStr">
        <is>
          <t>Trivalent Cr3 Zinc</t>
        </is>
      </c>
      <c r="AC136" s="45" t="inlineStr">
        <is>
          <t>ASTM B633 Type V/VI</t>
        </is>
      </c>
      <c r="AD136" s="46" t="n">
        <v>3000</v>
      </c>
      <c r="AE136" s="46" t="inlineStr">
        <is>
          <t>generic SAE table @ dash -16 (governing end)</t>
        </is>
      </c>
      <c r="AF136" s="46" t="n">
        <v>-65</v>
      </c>
      <c r="AG136" s="46" t="n">
        <v>400</v>
      </c>
      <c r="AH136" s="37" t="inlineStr">
        <is>
          <t>Ham-Let + hoseandfittings (pressure); Parker Cat.4300 (material); ASTM B633 (finish); see StandardsData</t>
        </is>
      </c>
    </row>
    <row r="137" ht="15" customHeight="1" s="35">
      <c r="A137" s="37" t="inlineStr">
        <is>
          <t>6801-16-12-NWO-FG</t>
        </is>
      </c>
      <c r="B137" s="37" t="inlineStr">
        <is>
          <t>6801-16-12 NWO-FG</t>
        </is>
      </c>
      <c r="C137" s="37" t="inlineStr">
        <is>
          <t>6801</t>
        </is>
      </c>
      <c r="D137" s="37" t="n">
        <v>134</v>
      </c>
      <c r="E137" s="37" t="inlineStr">
        <is>
          <t>90 deg</t>
        </is>
      </c>
      <c r="F137" s="37" t="inlineStr">
        <is>
          <t>90 deg Straight Thread Elbow, 1 5/16-12 x 1 1/16-12</t>
        </is>
      </c>
      <c r="G137" s="37" t="inlineStr">
        <is>
          <t>1 1/16-12</t>
        </is>
      </c>
      <c r="H137" s="37" t="inlineStr">
        <is>
          <t>1 5/16-12</t>
        </is>
      </c>
      <c r="I137" s="37" t="n"/>
      <c r="J137" s="37" t="inlineStr">
        <is>
          <t>SAE J1926-3</t>
        </is>
      </c>
      <c r="K137" s="37" t="inlineStr">
        <is>
          <t>SAE J514-1</t>
        </is>
      </c>
      <c r="L137" s="37" t="n">
        <v>1.81</v>
      </c>
      <c r="M137" s="37" t="n">
        <v>2.05</v>
      </c>
      <c r="N137" s="37" t="n">
        <v>1.25</v>
      </c>
      <c r="O137" s="37" t="n">
        <v>1.31</v>
      </c>
      <c r="P137" s="37" t="n">
        <v>0.84</v>
      </c>
      <c r="Q137" s="37" t="n">
        <v>0.61</v>
      </c>
      <c r="R137" s="44" t="n">
        <v>1.31</v>
      </c>
      <c r="S137" s="44" t="n">
        <v>1.25</v>
      </c>
      <c r="T137" s="37" t="n">
        <v>90</v>
      </c>
      <c r="U137" s="37" t="inlineStr">
        <is>
          <t>ASSUMED</t>
        </is>
      </c>
      <c r="V137" s="37" t="inlineStr">
        <is>
          <t>MS51527 covers matched-dash sizes only; Air-Way remains single source.</t>
        </is>
      </c>
      <c r="W137" s="37" t="inlineStr">
        <is>
          <t>BUILD</t>
        </is>
      </c>
      <c r="X137" s="37" t="inlineStr">
        <is>
          <t>Hex = Air-Way C4 column (per-part). Matched sizes in this topology corroborate the column.</t>
        </is>
      </c>
      <c r="Z137" s="45" t="inlineStr">
        <is>
          <t>Carbon Steel</t>
        </is>
      </c>
      <c r="AA137" s="45" t="inlineStr">
        <is>
          <t>ASTM A108 12L14</t>
        </is>
      </c>
      <c r="AB137" s="45" t="inlineStr">
        <is>
          <t>Trivalent Cr3 Zinc</t>
        </is>
      </c>
      <c r="AC137" s="45" t="inlineStr">
        <is>
          <t>ASTM B633 Type V/VI</t>
        </is>
      </c>
      <c r="AD137" s="46" t="n">
        <v>3000</v>
      </c>
      <c r="AE137" s="46" t="inlineStr">
        <is>
          <t>generic SAE table @ dash -16 (governing end)</t>
        </is>
      </c>
      <c r="AF137" s="46" t="n">
        <v>-65</v>
      </c>
      <c r="AG137" s="46" t="n">
        <v>400</v>
      </c>
      <c r="AH137" s="37" t="inlineStr">
        <is>
          <t>Ham-Let + hoseandfittings (pressure); Parker Cat.4300 (material); ASTM B633 (finish); see StandardsData</t>
        </is>
      </c>
    </row>
    <row r="138" ht="15" customHeight="1" s="35">
      <c r="A138" s="37" t="inlineStr">
        <is>
          <t>6801-16-12-NWO</t>
        </is>
      </c>
      <c r="B138" s="37" t="inlineStr">
        <is>
          <t>6801-16-12 NWO</t>
        </is>
      </c>
      <c r="C138" s="37" t="inlineStr">
        <is>
          <t>6801</t>
        </is>
      </c>
      <c r="D138" s="37" t="n">
        <v>134</v>
      </c>
      <c r="E138" s="37" t="inlineStr">
        <is>
          <t>90 deg</t>
        </is>
      </c>
      <c r="F138" s="37" t="inlineStr">
        <is>
          <t>90 deg Straight Thread Elbow, 1 5/16-12 x 1 1/16-12</t>
        </is>
      </c>
      <c r="G138" s="37" t="inlineStr">
        <is>
          <t>1 1/16-12</t>
        </is>
      </c>
      <c r="H138" s="37" t="inlineStr">
        <is>
          <t>1 5/16-12</t>
        </is>
      </c>
      <c r="I138" s="37" t="n"/>
      <c r="J138" s="37" t="inlineStr">
        <is>
          <t>SAE J1926-3</t>
        </is>
      </c>
      <c r="K138" s="37" t="inlineStr">
        <is>
          <t>SAE J514-1</t>
        </is>
      </c>
      <c r="L138" s="37" t="n">
        <v>1.81</v>
      </c>
      <c r="M138" s="37" t="n">
        <v>2.06</v>
      </c>
      <c r="N138" s="37" t="n">
        <v>1.25</v>
      </c>
      <c r="O138" s="37" t="n">
        <v>1.38</v>
      </c>
      <c r="P138" s="37" t="n">
        <v>0.84</v>
      </c>
      <c r="Q138" s="37" t="n">
        <v>0.61</v>
      </c>
      <c r="R138" s="44" t="n">
        <v>1.38</v>
      </c>
      <c r="S138" s="44" t="n">
        <v>1.25</v>
      </c>
      <c r="T138" s="37" t="n">
        <v>90</v>
      </c>
      <c r="U138" s="37" t="inlineStr">
        <is>
          <t>ASSUMED</t>
        </is>
      </c>
      <c r="V138" s="37" t="inlineStr">
        <is>
          <t>MS51527 covers matched-dash sizes only; Air-Way remains single source.</t>
        </is>
      </c>
      <c r="W138" s="37" t="inlineStr">
        <is>
          <t>BUILD</t>
        </is>
      </c>
      <c r="X138" s="37" t="inlineStr">
        <is>
          <t>Hex = Air-Way C4 column (per-part). Matched sizes in this topology corroborate the column.</t>
        </is>
      </c>
      <c r="Z138" s="45" t="inlineStr">
        <is>
          <t>Carbon Steel</t>
        </is>
      </c>
      <c r="AA138" s="45" t="inlineStr">
        <is>
          <t>ASTM A108 12L14</t>
        </is>
      </c>
      <c r="AB138" s="45" t="inlineStr">
        <is>
          <t>Trivalent Cr3 Zinc</t>
        </is>
      </c>
      <c r="AC138" s="45" t="inlineStr">
        <is>
          <t>ASTM B633 Type V/VI</t>
        </is>
      </c>
      <c r="AD138" s="46" t="n">
        <v>3000</v>
      </c>
      <c r="AE138" s="46" t="inlineStr">
        <is>
          <t>generic SAE table @ dash -16 (governing end)</t>
        </is>
      </c>
      <c r="AF138" s="46" t="n">
        <v>-65</v>
      </c>
      <c r="AG138" s="46" t="n">
        <v>400</v>
      </c>
      <c r="AH138" s="37" t="inlineStr">
        <is>
          <t>Ham-Let + hoseandfittings (pressure); Parker Cat.4300 (material); ASTM B633 (finish); see StandardsData</t>
        </is>
      </c>
    </row>
    <row r="139" ht="15" customHeight="1" s="35">
      <c r="A139" s="37" t="inlineStr">
        <is>
          <t>6801-16-14-NWO-FG</t>
        </is>
      </c>
      <c r="B139" s="37" t="inlineStr">
        <is>
          <t>6801-16-14 NWO-FG</t>
        </is>
      </c>
      <c r="C139" s="37" t="inlineStr">
        <is>
          <t>6801</t>
        </is>
      </c>
      <c r="D139" s="37" t="n">
        <v>134</v>
      </c>
      <c r="E139" s="37" t="inlineStr">
        <is>
          <t>90 deg</t>
        </is>
      </c>
      <c r="F139" s="37" t="inlineStr">
        <is>
          <t>90 deg Straight Thread Elbow, 1 5/16-12 x 1 3/16-12</t>
        </is>
      </c>
      <c r="G139" s="37" t="inlineStr">
        <is>
          <t>1 3/16-12</t>
        </is>
      </c>
      <c r="H139" s="37" t="inlineStr">
        <is>
          <t>1 5/16-12</t>
        </is>
      </c>
      <c r="I139" s="37" t="n"/>
      <c r="J139" s="37" t="inlineStr">
        <is>
          <t>SAE J1926-3</t>
        </is>
      </c>
      <c r="K139" s="37" t="inlineStr">
        <is>
          <t>SAE J514-1</t>
        </is>
      </c>
      <c r="L139" s="37" t="n">
        <v>1.81</v>
      </c>
      <c r="M139" s="37" t="n">
        <v>2.05</v>
      </c>
      <c r="N139" s="37" t="n">
        <v>1.38</v>
      </c>
      <c r="O139" s="37" t="n">
        <v>1.31</v>
      </c>
      <c r="P139" s="37" t="n">
        <v>0.84</v>
      </c>
      <c r="Q139" s="37" t="n">
        <v>0.72</v>
      </c>
      <c r="R139" s="44" t="n">
        <v>1.31</v>
      </c>
      <c r="S139" s="44" t="n">
        <v>1.38</v>
      </c>
      <c r="T139" s="37" t="n">
        <v>90</v>
      </c>
      <c r="U139" s="37" t="inlineStr">
        <is>
          <t>ASSUMED</t>
        </is>
      </c>
      <c r="V139" s="37" t="inlineStr">
        <is>
          <t>MS51527 covers matched-dash sizes only; Air-Way remains single source.</t>
        </is>
      </c>
      <c r="W139" s="37" t="inlineStr">
        <is>
          <t>BUILD</t>
        </is>
      </c>
      <c r="X139" s="37" t="inlineStr">
        <is>
          <t>Hex = Air-Way C4 column (per-part). Matched sizes in this topology corroborate the column.</t>
        </is>
      </c>
      <c r="Z139" s="45" t="inlineStr">
        <is>
          <t>Carbon Steel</t>
        </is>
      </c>
      <c r="AA139" s="45" t="inlineStr">
        <is>
          <t>ASTM A108 12L14</t>
        </is>
      </c>
      <c r="AB139" s="45" t="inlineStr">
        <is>
          <t>Trivalent Cr3 Zinc</t>
        </is>
      </c>
      <c r="AC139" s="45" t="inlineStr">
        <is>
          <t>ASTM B633 Type V/VI</t>
        </is>
      </c>
      <c r="AD139" s="46" t="n">
        <v>3000</v>
      </c>
      <c r="AE139" s="46" t="inlineStr">
        <is>
          <t>generic SAE table @ dash -16 (governing end)</t>
        </is>
      </c>
      <c r="AF139" s="46" t="n">
        <v>-65</v>
      </c>
      <c r="AG139" s="46" t="n">
        <v>400</v>
      </c>
      <c r="AH139" s="37" t="inlineStr">
        <is>
          <t>Ham-Let + hoseandfittings (pressure); Parker Cat.4300 (material); ASTM B633 (finish); see StandardsData</t>
        </is>
      </c>
    </row>
    <row r="140" ht="15" customHeight="1" s="35">
      <c r="A140" s="37" t="inlineStr">
        <is>
          <t>6801-16-14-NWO</t>
        </is>
      </c>
      <c r="B140" s="37" t="inlineStr">
        <is>
          <t>6801-16-14 NWO</t>
        </is>
      </c>
      <c r="C140" s="37" t="inlineStr">
        <is>
          <t>6801</t>
        </is>
      </c>
      <c r="D140" s="37" t="n">
        <v>134</v>
      </c>
      <c r="E140" s="37" t="inlineStr">
        <is>
          <t>90 deg</t>
        </is>
      </c>
      <c r="F140" s="37" t="inlineStr">
        <is>
          <t>90 deg Straight Thread Elbow, 1 5/16-12 x 1 3/16-12</t>
        </is>
      </c>
      <c r="G140" s="37" t="inlineStr">
        <is>
          <t>1 3/16-12</t>
        </is>
      </c>
      <c r="H140" s="37" t="inlineStr">
        <is>
          <t>1 5/16-12</t>
        </is>
      </c>
      <c r="I140" s="37" t="n"/>
      <c r="J140" s="37" t="inlineStr">
        <is>
          <t>SAE J1926-3</t>
        </is>
      </c>
      <c r="K140" s="37" t="inlineStr">
        <is>
          <t>SAE J514-1</t>
        </is>
      </c>
      <c r="L140" s="37" t="n">
        <v>1.81</v>
      </c>
      <c r="M140" s="37" t="n">
        <v>2.06</v>
      </c>
      <c r="N140" s="37" t="n">
        <v>1.38</v>
      </c>
      <c r="O140" s="37" t="n">
        <v>1.38</v>
      </c>
      <c r="P140" s="37" t="n">
        <v>0.84</v>
      </c>
      <c r="Q140" s="37" t="n">
        <v>0.72</v>
      </c>
      <c r="R140" s="44" t="n">
        <v>1.38</v>
      </c>
      <c r="S140" s="44" t="n">
        <v>1.38</v>
      </c>
      <c r="T140" s="37" t="n">
        <v>90</v>
      </c>
      <c r="U140" s="37" t="inlineStr">
        <is>
          <t>ASSUMED</t>
        </is>
      </c>
      <c r="V140" s="37" t="inlineStr">
        <is>
          <t>MS51527 covers matched-dash sizes only; Air-Way remains single source.</t>
        </is>
      </c>
      <c r="W140" s="37" t="inlineStr">
        <is>
          <t>BUILD</t>
        </is>
      </c>
      <c r="X140" s="37" t="inlineStr">
        <is>
          <t>Hex = Air-Way C4 column (per-part). Matched sizes in this topology corroborate the column.</t>
        </is>
      </c>
      <c r="Z140" s="45" t="inlineStr">
        <is>
          <t>Carbon Steel</t>
        </is>
      </c>
      <c r="AA140" s="45" t="inlineStr">
        <is>
          <t>ASTM A108 12L14</t>
        </is>
      </c>
      <c r="AB140" s="45" t="inlineStr">
        <is>
          <t>Trivalent Cr3 Zinc</t>
        </is>
      </c>
      <c r="AC140" s="45" t="inlineStr">
        <is>
          <t>ASTM B633 Type V/VI</t>
        </is>
      </c>
      <c r="AD140" s="46" t="n">
        <v>3000</v>
      </c>
      <c r="AE140" s="46" t="inlineStr">
        <is>
          <t>generic SAE table @ dash -16 (governing end)</t>
        </is>
      </c>
      <c r="AF140" s="46" t="n">
        <v>-65</v>
      </c>
      <c r="AG140" s="46" t="n">
        <v>400</v>
      </c>
      <c r="AH140" s="37" t="inlineStr">
        <is>
          <t>Ham-Let + hoseandfittings (pressure); Parker Cat.4300 (material); ASTM B633 (finish); see StandardsData</t>
        </is>
      </c>
    </row>
    <row r="141" ht="15" customHeight="1" s="35">
      <c r="A141" s="37" t="inlineStr">
        <is>
          <t>6801-16-16-NWO-FG</t>
        </is>
      </c>
      <c r="B141" s="37" t="inlineStr">
        <is>
          <t>6801-16-16 NWO-FG</t>
        </is>
      </c>
      <c r="C141" s="37" t="inlineStr">
        <is>
          <t>6801</t>
        </is>
      </c>
      <c r="D141" s="37" t="n">
        <v>134</v>
      </c>
      <c r="E141" s="37" t="inlineStr">
        <is>
          <t>90 deg</t>
        </is>
      </c>
      <c r="F141" s="37" t="inlineStr">
        <is>
          <t>90 deg Straight Thread Elbow, 1 5/16-12 x 1 5/16-12</t>
        </is>
      </c>
      <c r="G141" s="37" t="inlineStr">
        <is>
          <t>1 5/16-12</t>
        </is>
      </c>
      <c r="H141" s="37" t="inlineStr">
        <is>
          <t>1 5/16-12</t>
        </is>
      </c>
      <c r="I141" s="37" t="n"/>
      <c r="J141" s="37" t="inlineStr">
        <is>
          <t>SAE J1926-3</t>
        </is>
      </c>
      <c r="K141" s="37" t="inlineStr">
        <is>
          <t>SAE J514-1</t>
        </is>
      </c>
      <c r="L141" s="37" t="n">
        <v>1.81</v>
      </c>
      <c r="M141" s="37" t="n">
        <v>2.05</v>
      </c>
      <c r="N141" s="37" t="n">
        <v>1.5</v>
      </c>
      <c r="O141" s="37" t="n">
        <v>1.31</v>
      </c>
      <c r="P141" s="37" t="n">
        <v>0.84</v>
      </c>
      <c r="Q141" s="37" t="n">
        <v>0.84</v>
      </c>
      <c r="R141" s="45" t="n">
        <v>1.31</v>
      </c>
      <c r="S141" s="45" t="n">
        <v>1.5</v>
      </c>
      <c r="T141" s="37" t="n">
        <v>90</v>
      </c>
      <c r="U141" s="37" t="inlineStr">
        <is>
          <t>VERIFIED</t>
        </is>
      </c>
      <c r="V141" s="37" t="inlineStr">
        <is>
          <t>MS51527 cross-check 2026-09-04: threads, both legs, both bores AGREE.</t>
        </is>
      </c>
      <c r="W141" s="37" t="inlineStr">
        <is>
          <t>BUILD</t>
        </is>
      </c>
      <c r="X141" s="37" t="inlineStr">
        <is>
          <t>Hex = Air-Way C4 column, CONFIRMED vs PressureConnections/Purvis.</t>
        </is>
      </c>
      <c r="Z141" s="45" t="inlineStr">
        <is>
          <t>Carbon Steel</t>
        </is>
      </c>
      <c r="AA141" s="45" t="inlineStr">
        <is>
          <t>ASTM A108 12L14</t>
        </is>
      </c>
      <c r="AB141" s="45" t="inlineStr">
        <is>
          <t>Trivalent Cr3 Zinc</t>
        </is>
      </c>
      <c r="AC141" s="45" t="inlineStr">
        <is>
          <t>ASTM B633 Type V/VI</t>
        </is>
      </c>
      <c r="AD141" s="46" t="n">
        <v>3000</v>
      </c>
      <c r="AE141" s="46" t="inlineStr">
        <is>
          <t>generic SAE table @ dash -16 (governing end)</t>
        </is>
      </c>
      <c r="AF141" s="46" t="n">
        <v>-65</v>
      </c>
      <c r="AG141" s="46" t="n">
        <v>400</v>
      </c>
      <c r="AH141" s="37" t="inlineStr">
        <is>
          <t>Ham-Let + hoseandfittings (pressure); Parker Cat.4300 (material); ASTM B633 (finish); see StandardsData</t>
        </is>
      </c>
    </row>
    <row r="142" ht="15" customHeight="1" s="35">
      <c r="A142" s="37" t="inlineStr">
        <is>
          <t>6801-16-16-NWO</t>
        </is>
      </c>
      <c r="B142" s="37" t="inlineStr">
        <is>
          <t>6801-16-16 NWO</t>
        </is>
      </c>
      <c r="C142" s="37" t="inlineStr">
        <is>
          <t>6801</t>
        </is>
      </c>
      <c r="D142" s="37" t="n">
        <v>134</v>
      </c>
      <c r="E142" s="37" t="inlineStr">
        <is>
          <t>90 deg</t>
        </is>
      </c>
      <c r="F142" s="37" t="inlineStr">
        <is>
          <t>90 deg Straight Thread Elbow, 1 5/16-12 x 1 5/16-12</t>
        </is>
      </c>
      <c r="G142" s="37" t="inlineStr">
        <is>
          <t>1 5/16-12</t>
        </is>
      </c>
      <c r="H142" s="37" t="inlineStr">
        <is>
          <t>1 5/16-12</t>
        </is>
      </c>
      <c r="I142" s="37" t="n"/>
      <c r="J142" s="37" t="inlineStr">
        <is>
          <t>SAE J1926-3</t>
        </is>
      </c>
      <c r="K142" s="37" t="inlineStr">
        <is>
          <t>SAE J514-1</t>
        </is>
      </c>
      <c r="L142" s="37" t="n">
        <v>1.81</v>
      </c>
      <c r="M142" s="37" t="n">
        <v>2.05</v>
      </c>
      <c r="N142" s="37" t="n">
        <v>1.5</v>
      </c>
      <c r="O142" s="37" t="n">
        <v>1.38</v>
      </c>
      <c r="P142" s="37" t="n">
        <v>0.84</v>
      </c>
      <c r="Q142" s="37" t="n">
        <v>0.84</v>
      </c>
      <c r="R142" s="45" t="n">
        <v>1.38</v>
      </c>
      <c r="S142" s="45" t="n">
        <v>1.5</v>
      </c>
      <c r="T142" s="37" t="n">
        <v>90</v>
      </c>
      <c r="U142" s="37" t="inlineStr">
        <is>
          <t>VERIFIED</t>
        </is>
      </c>
      <c r="V142" s="37" t="inlineStr">
        <is>
          <t>MS51527 cross-check 2026-09-04: threads, both legs, both bores AGREE.</t>
        </is>
      </c>
      <c r="W142" s="37" t="inlineStr">
        <is>
          <t>BUILD</t>
        </is>
      </c>
      <c r="X142" s="37" t="inlineStr">
        <is>
          <t>Hex = Air-Way C4 column, CONFIRMED vs PressureConnections/Purvis.</t>
        </is>
      </c>
      <c r="Z142" s="45" t="inlineStr">
        <is>
          <t>Carbon Steel</t>
        </is>
      </c>
      <c r="AA142" s="45" t="inlineStr">
        <is>
          <t>ASTM A108 12L14</t>
        </is>
      </c>
      <c r="AB142" s="45" t="inlineStr">
        <is>
          <t>Trivalent Cr3 Zinc</t>
        </is>
      </c>
      <c r="AC142" s="45" t="inlineStr">
        <is>
          <t>ASTM B633 Type V/VI</t>
        </is>
      </c>
      <c r="AD142" s="46" t="n">
        <v>3000</v>
      </c>
      <c r="AE142" s="46" t="inlineStr">
        <is>
          <t>generic SAE table @ dash -16 (governing end)</t>
        </is>
      </c>
      <c r="AF142" s="46" t="n">
        <v>-65</v>
      </c>
      <c r="AG142" s="46" t="n">
        <v>400</v>
      </c>
      <c r="AH142" s="37" t="inlineStr">
        <is>
          <t>Ham-Let + hoseandfittings (pressure); Parker Cat.4300 (material); ASTM B633 (finish); see StandardsData</t>
        </is>
      </c>
    </row>
    <row r="143" ht="15" customHeight="1" s="35">
      <c r="A143" s="37" t="inlineStr">
        <is>
          <t>6801-16-20-NWO-FG</t>
        </is>
      </c>
      <c r="B143" s="37" t="inlineStr">
        <is>
          <t>6801-16-20 NWO-FG</t>
        </is>
      </c>
      <c r="C143" s="37" t="inlineStr">
        <is>
          <t>6801</t>
        </is>
      </c>
      <c r="D143" s="37" t="n">
        <v>134</v>
      </c>
      <c r="E143" s="37" t="inlineStr">
        <is>
          <t>90 deg</t>
        </is>
      </c>
      <c r="F143" s="37" t="inlineStr">
        <is>
          <t>90 deg Straight Thread Elbow, 1 5/16-12 x 1 5/8-12</t>
        </is>
      </c>
      <c r="G143" s="37" t="inlineStr">
        <is>
          <t>1 5/8-12</t>
        </is>
      </c>
      <c r="H143" s="37" t="inlineStr">
        <is>
          <t>1 5/16-12</t>
        </is>
      </c>
      <c r="I143" s="37" t="n"/>
      <c r="J143" s="37" t="inlineStr">
        <is>
          <t>SAE J1926-3</t>
        </is>
      </c>
      <c r="K143" s="37" t="inlineStr">
        <is>
          <t>SAE J514-1</t>
        </is>
      </c>
      <c r="L143" s="37" t="n">
        <v>2.01</v>
      </c>
      <c r="M143" s="37" t="n">
        <v>2.25</v>
      </c>
      <c r="N143" s="37" t="n">
        <v>1.88</v>
      </c>
      <c r="O143" s="37" t="n">
        <v>1.63</v>
      </c>
      <c r="P143" s="37" t="n">
        <v>0.84</v>
      </c>
      <c r="Q143" s="37" t="n">
        <v>1.08</v>
      </c>
      <c r="R143" s="44" t="n">
        <v>1.63</v>
      </c>
      <c r="S143" s="44" t="n">
        <v>1.88</v>
      </c>
      <c r="T143" s="37" t="n">
        <v>90</v>
      </c>
      <c r="U143" s="37" t="inlineStr">
        <is>
          <t>ASSUMED</t>
        </is>
      </c>
      <c r="V143" s="37" t="inlineStr">
        <is>
          <t>MS51527 covers matched-dash sizes only; Air-Way remains single source.</t>
        </is>
      </c>
      <c r="W143" s="37" t="inlineStr">
        <is>
          <t>BUILD</t>
        </is>
      </c>
      <c r="X143" s="37" t="inlineStr">
        <is>
          <t>Hex = Air-Way C4 column (per-part). Matched sizes in this topology corroborate the column.</t>
        </is>
      </c>
      <c r="Z143" s="45" t="inlineStr">
        <is>
          <t>Carbon Steel</t>
        </is>
      </c>
      <c r="AA143" s="45" t="inlineStr">
        <is>
          <t>ASTM A108 12L14</t>
        </is>
      </c>
      <c r="AB143" s="45" t="inlineStr">
        <is>
          <t>Trivalent Cr3 Zinc</t>
        </is>
      </c>
      <c r="AC143" s="45" t="inlineStr">
        <is>
          <t>ASTM B633 Type V/VI</t>
        </is>
      </c>
      <c r="AD143" s="46" t="n">
        <v>2500</v>
      </c>
      <c r="AE143" s="46" t="inlineStr">
        <is>
          <t>generic SAE table @ dash -20 (governing end)</t>
        </is>
      </c>
      <c r="AF143" s="46" t="n">
        <v>-65</v>
      </c>
      <c r="AG143" s="46" t="n">
        <v>400</v>
      </c>
      <c r="AH143" s="37" t="inlineStr">
        <is>
          <t>Ham-Let + hoseandfittings (pressure); Parker Cat.4300 (material); ASTM B633 (finish); see StandardsData</t>
        </is>
      </c>
    </row>
    <row r="144" ht="15" customHeight="1" s="35">
      <c r="A144" s="37" t="inlineStr">
        <is>
          <t>6801-16-20-NWO</t>
        </is>
      </c>
      <c r="B144" s="37" t="inlineStr">
        <is>
          <t>6801-16-20 NWO</t>
        </is>
      </c>
      <c r="C144" s="37" t="inlineStr">
        <is>
          <t>6801</t>
        </is>
      </c>
      <c r="D144" s="37" t="n">
        <v>134</v>
      </c>
      <c r="E144" s="37" t="inlineStr">
        <is>
          <t>90 deg</t>
        </is>
      </c>
      <c r="F144" s="37" t="inlineStr">
        <is>
          <t>90 deg Straight Thread Elbow, 1 5/16-12 x 1 5/8-12</t>
        </is>
      </c>
      <c r="G144" s="37" t="inlineStr">
        <is>
          <t>1 5/8-12</t>
        </is>
      </c>
      <c r="H144" s="37" t="inlineStr">
        <is>
          <t>1 5/16-12</t>
        </is>
      </c>
      <c r="I144" s="37" t="n"/>
      <c r="J144" s="37" t="inlineStr">
        <is>
          <t>SAE J1926-3</t>
        </is>
      </c>
      <c r="K144" s="37" t="inlineStr">
        <is>
          <t>SAE J514-1</t>
        </is>
      </c>
      <c r="L144" s="37" t="n">
        <v>2</v>
      </c>
      <c r="M144" s="37" t="n">
        <v>2.25</v>
      </c>
      <c r="N144" s="37" t="n">
        <v>1.88</v>
      </c>
      <c r="O144" s="37" t="n">
        <v>1.75</v>
      </c>
      <c r="P144" s="37" t="n">
        <v>0.84</v>
      </c>
      <c r="Q144" s="37" t="n">
        <v>1.08</v>
      </c>
      <c r="R144" s="44" t="n">
        <v>1.75</v>
      </c>
      <c r="S144" s="44" t="n">
        <v>1.88</v>
      </c>
      <c r="T144" s="37" t="n">
        <v>90</v>
      </c>
      <c r="U144" s="37" t="inlineStr">
        <is>
          <t>ASSUMED</t>
        </is>
      </c>
      <c r="V144" s="37" t="inlineStr">
        <is>
          <t>MS51527 covers matched-dash sizes only; Air-Way remains single source.</t>
        </is>
      </c>
      <c r="W144" s="37" t="inlineStr">
        <is>
          <t>BUILD</t>
        </is>
      </c>
      <c r="X144" s="37" t="inlineStr">
        <is>
          <t>Hex = Air-Way C4 column (per-part). Matched sizes in this topology corroborate the column.</t>
        </is>
      </c>
      <c r="Z144" s="45" t="inlineStr">
        <is>
          <t>Carbon Steel</t>
        </is>
      </c>
      <c r="AA144" s="45" t="inlineStr">
        <is>
          <t>ASTM A108 12L14</t>
        </is>
      </c>
      <c r="AB144" s="45" t="inlineStr">
        <is>
          <t>Trivalent Cr3 Zinc</t>
        </is>
      </c>
      <c r="AC144" s="45" t="inlineStr">
        <is>
          <t>ASTM B633 Type V/VI</t>
        </is>
      </c>
      <c r="AD144" s="46" t="n">
        <v>2500</v>
      </c>
      <c r="AE144" s="46" t="inlineStr">
        <is>
          <t>generic SAE table @ dash -20 (governing end)</t>
        </is>
      </c>
      <c r="AF144" s="46" t="n">
        <v>-65</v>
      </c>
      <c r="AG144" s="46" t="n">
        <v>400</v>
      </c>
      <c r="AH144" s="37" t="inlineStr">
        <is>
          <t>Ham-Let + hoseandfittings (pressure); Parker Cat.4300 (material); ASTM B633 (finish); see StandardsData</t>
        </is>
      </c>
    </row>
    <row r="145" ht="15" customHeight="1" s="35">
      <c r="A145" s="37" t="inlineStr">
        <is>
          <t>6801-16-24-NWO</t>
        </is>
      </c>
      <c r="B145" s="37" t="inlineStr">
        <is>
          <t>6801-16-24 NWO</t>
        </is>
      </c>
      <c r="C145" s="37" t="inlineStr">
        <is>
          <t>6801</t>
        </is>
      </c>
      <c r="D145" s="37" t="n">
        <v>134</v>
      </c>
      <c r="E145" s="37" t="inlineStr">
        <is>
          <t>90 deg</t>
        </is>
      </c>
      <c r="F145" s="37" t="inlineStr">
        <is>
          <t>90 deg Straight Thread Elbow, 1 5/16-12 x 1 7/8-12</t>
        </is>
      </c>
      <c r="G145" s="37" t="inlineStr">
        <is>
          <t>1 7/8-12</t>
        </is>
      </c>
      <c r="H145" s="37" t="inlineStr">
        <is>
          <t>1 5/16-12</t>
        </is>
      </c>
      <c r="I145" s="37" t="n"/>
      <c r="J145" s="37" t="inlineStr">
        <is>
          <t>SAE J1926-3</t>
        </is>
      </c>
      <c r="K145" s="37" t="inlineStr">
        <is>
          <t>SAE J514-1</t>
        </is>
      </c>
      <c r="L145" s="37" t="n">
        <v>2.39</v>
      </c>
      <c r="M145" s="37" t="n">
        <v>2.13</v>
      </c>
      <c r="N145" s="37" t="n">
        <v>2.13</v>
      </c>
      <c r="O145" s="37" t="n">
        <v>2</v>
      </c>
      <c r="P145" s="37" t="n">
        <v>0.84</v>
      </c>
      <c r="Q145" s="37" t="n">
        <v>1.31</v>
      </c>
      <c r="R145" s="44" t="n">
        <v>2</v>
      </c>
      <c r="S145" s="44" t="n">
        <v>2.13</v>
      </c>
      <c r="T145" s="37" t="n">
        <v>90</v>
      </c>
      <c r="U145" s="37" t="inlineStr">
        <is>
          <t>ASSUMED</t>
        </is>
      </c>
      <c r="V145" s="37" t="inlineStr">
        <is>
          <t>MS51527 covers matched-dash sizes only; Air-Way remains single source.</t>
        </is>
      </c>
      <c r="W145" s="37" t="inlineStr">
        <is>
          <t>BUILD</t>
        </is>
      </c>
      <c r="X145" s="37" t="inlineStr">
        <is>
          <t>Hex = Air-Way C4 column (per-part). Matched sizes in this topology corroborate the column.</t>
        </is>
      </c>
      <c r="Z145" s="45" t="inlineStr">
        <is>
          <t>Carbon Steel</t>
        </is>
      </c>
      <c r="AA145" s="45" t="inlineStr">
        <is>
          <t>ASTM A108 12L14</t>
        </is>
      </c>
      <c r="AB145" s="45" t="inlineStr">
        <is>
          <t>Trivalent Cr3 Zinc</t>
        </is>
      </c>
      <c r="AC145" s="45" t="inlineStr">
        <is>
          <t>ASTM B633 Type V/VI</t>
        </is>
      </c>
      <c r="AD145" s="46" t="n">
        <v>2000</v>
      </c>
      <c r="AE145" s="46" t="inlineStr">
        <is>
          <t>generic SAE table @ dash -24 (governing end)</t>
        </is>
      </c>
      <c r="AF145" s="46" t="n">
        <v>-65</v>
      </c>
      <c r="AG145" s="46" t="n">
        <v>400</v>
      </c>
      <c r="AH145" s="37" t="inlineStr">
        <is>
          <t>Ham-Let + hoseandfittings (pressure); Parker Cat.4300 (material); ASTM B633 (finish); see StandardsData</t>
        </is>
      </c>
    </row>
    <row r="146" ht="15" customHeight="1" s="35">
      <c r="A146" s="37" t="inlineStr">
        <is>
          <t>6801-20-12-NWO</t>
        </is>
      </c>
      <c r="B146" s="37" t="inlineStr">
        <is>
          <t>6801-20-12 NWO</t>
        </is>
      </c>
      <c r="C146" s="37" t="inlineStr">
        <is>
          <t>6801</t>
        </is>
      </c>
      <c r="D146" s="37" t="n">
        <v>134</v>
      </c>
      <c r="E146" s="37" t="inlineStr">
        <is>
          <t>90 deg</t>
        </is>
      </c>
      <c r="F146" s="37" t="inlineStr">
        <is>
          <t>90 deg Straight Thread Elbow, 1 5/8-12 x 1 1/16-12</t>
        </is>
      </c>
      <c r="G146" s="37" t="inlineStr">
        <is>
          <t>1 1/16-12</t>
        </is>
      </c>
      <c r="H146" s="37" t="inlineStr">
        <is>
          <t>1 5/8-12</t>
        </is>
      </c>
      <c r="I146" s="37" t="n"/>
      <c r="J146" s="37" t="inlineStr">
        <is>
          <t>SAE J1926-3</t>
        </is>
      </c>
      <c r="K146" s="37" t="inlineStr">
        <is>
          <t>SAE J514-1</t>
        </is>
      </c>
      <c r="L146" s="37" t="n">
        <v>2.06</v>
      </c>
      <c r="M146" s="37" t="n">
        <v>2.25</v>
      </c>
      <c r="N146" s="37" t="n">
        <v>1.25</v>
      </c>
      <c r="O146" s="37" t="n">
        <v>1.75</v>
      </c>
      <c r="P146" s="37" t="n">
        <v>1.08</v>
      </c>
      <c r="Q146" s="37" t="n">
        <v>0.61</v>
      </c>
      <c r="R146" s="44" t="n">
        <v>1.75</v>
      </c>
      <c r="S146" s="44" t="n">
        <v>1.25</v>
      </c>
      <c r="T146" s="37" t="n">
        <v>90</v>
      </c>
      <c r="U146" s="37" t="inlineStr">
        <is>
          <t>ASSUMED</t>
        </is>
      </c>
      <c r="V146" s="37" t="inlineStr">
        <is>
          <t>MS51527 covers matched-dash sizes only; Air-Way remains single source.</t>
        </is>
      </c>
      <c r="W146" s="37" t="inlineStr">
        <is>
          <t>BUILD</t>
        </is>
      </c>
      <c r="X146" s="37" t="inlineStr">
        <is>
          <t>Hex = Air-Way C4 column (per-part). Matched sizes in this topology corroborate the column.</t>
        </is>
      </c>
      <c r="Z146" s="45" t="inlineStr">
        <is>
          <t>Carbon Steel</t>
        </is>
      </c>
      <c r="AA146" s="45" t="inlineStr">
        <is>
          <t>ASTM A108 12L14</t>
        </is>
      </c>
      <c r="AB146" s="45" t="inlineStr">
        <is>
          <t>Trivalent Cr3 Zinc</t>
        </is>
      </c>
      <c r="AC146" s="45" t="inlineStr">
        <is>
          <t>ASTM B633 Type V/VI</t>
        </is>
      </c>
      <c r="AD146" s="46" t="n">
        <v>2500</v>
      </c>
      <c r="AE146" s="46" t="inlineStr">
        <is>
          <t>generic SAE table @ dash -20 (governing end)</t>
        </is>
      </c>
      <c r="AF146" s="46" t="n">
        <v>-65</v>
      </c>
      <c r="AG146" s="46" t="n">
        <v>400</v>
      </c>
      <c r="AH146" s="37" t="inlineStr">
        <is>
          <t>Ham-Let + hoseandfittings (pressure); Parker Cat.4300 (material); ASTM B633 (finish); see StandardsData</t>
        </is>
      </c>
    </row>
    <row r="147" ht="15" customHeight="1" s="35">
      <c r="A147" s="37" t="inlineStr">
        <is>
          <t>6801-20-16-NWO-FG</t>
        </is>
      </c>
      <c r="B147" s="37" t="inlineStr">
        <is>
          <t>6801-20-16 NWO-FG</t>
        </is>
      </c>
      <c r="C147" s="37" t="inlineStr">
        <is>
          <t>6801</t>
        </is>
      </c>
      <c r="D147" s="37" t="n">
        <v>134</v>
      </c>
      <c r="E147" s="37" t="inlineStr">
        <is>
          <t>90 deg</t>
        </is>
      </c>
      <c r="F147" s="37" t="inlineStr">
        <is>
          <t>90 deg Straight Thread Elbow, 1 5/8-12 x 1 5/16-12</t>
        </is>
      </c>
      <c r="G147" s="37" t="inlineStr">
        <is>
          <t>1 5/16-12</t>
        </is>
      </c>
      <c r="H147" s="37" t="inlineStr">
        <is>
          <t>1 5/8-12</t>
        </is>
      </c>
      <c r="I147" s="37" t="n"/>
      <c r="J147" s="37" t="inlineStr">
        <is>
          <t>SAE J1926-3</t>
        </is>
      </c>
      <c r="K147" s="37" t="inlineStr">
        <is>
          <t>SAE J514-1</t>
        </is>
      </c>
      <c r="L147" s="37" t="n">
        <v>2.06</v>
      </c>
      <c r="M147" s="37" t="n">
        <v>2.25</v>
      </c>
      <c r="N147" s="37" t="n">
        <v>1.5</v>
      </c>
      <c r="O147" s="37" t="n">
        <v>1.63</v>
      </c>
      <c r="P147" s="37" t="n">
        <v>1.08</v>
      </c>
      <c r="Q147" s="37" t="n">
        <v>0.84</v>
      </c>
      <c r="R147" s="44" t="n">
        <v>1.63</v>
      </c>
      <c r="S147" s="44" t="n">
        <v>1.5</v>
      </c>
      <c r="T147" s="37" t="n">
        <v>90</v>
      </c>
      <c r="U147" s="37" t="inlineStr">
        <is>
          <t>ASSUMED</t>
        </is>
      </c>
      <c r="V147" s="37" t="inlineStr">
        <is>
          <t>MS51527 covers matched-dash sizes only; Air-Way remains single source.</t>
        </is>
      </c>
      <c r="W147" s="37" t="inlineStr">
        <is>
          <t>BUILD</t>
        </is>
      </c>
      <c r="X147" s="37" t="inlineStr">
        <is>
          <t>Hex = Air-Way C4 column (per-part). Matched sizes in this topology corroborate the column.</t>
        </is>
      </c>
      <c r="Z147" s="45" t="inlineStr">
        <is>
          <t>Carbon Steel</t>
        </is>
      </c>
      <c r="AA147" s="45" t="inlineStr">
        <is>
          <t>ASTM A108 12L14</t>
        </is>
      </c>
      <c r="AB147" s="45" t="inlineStr">
        <is>
          <t>Trivalent Cr3 Zinc</t>
        </is>
      </c>
      <c r="AC147" s="45" t="inlineStr">
        <is>
          <t>ASTM B633 Type V/VI</t>
        </is>
      </c>
      <c r="AD147" s="46" t="n">
        <v>2500</v>
      </c>
      <c r="AE147" s="46" t="inlineStr">
        <is>
          <t>generic SAE table @ dash -20 (governing end)</t>
        </is>
      </c>
      <c r="AF147" s="46" t="n">
        <v>-65</v>
      </c>
      <c r="AG147" s="46" t="n">
        <v>400</v>
      </c>
      <c r="AH147" s="37" t="inlineStr">
        <is>
          <t>Ham-Let + hoseandfittings (pressure); Parker Cat.4300 (material); ASTM B633 (finish); see StandardsData</t>
        </is>
      </c>
    </row>
    <row r="148" ht="15" customHeight="1" s="35">
      <c r="A148" s="37" t="inlineStr">
        <is>
          <t>6801-20-16-NWO</t>
        </is>
      </c>
      <c r="B148" s="37" t="inlineStr">
        <is>
          <t>6801-20-16 NWO</t>
        </is>
      </c>
      <c r="C148" s="37" t="inlineStr">
        <is>
          <t>6801</t>
        </is>
      </c>
      <c r="D148" s="37" t="n">
        <v>134</v>
      </c>
      <c r="E148" s="37" t="inlineStr">
        <is>
          <t>90 deg</t>
        </is>
      </c>
      <c r="F148" s="37" t="inlineStr">
        <is>
          <t>90 deg Straight Thread Elbow, 1 5/8-12 x 1 5/16-12</t>
        </is>
      </c>
      <c r="G148" s="37" t="inlineStr">
        <is>
          <t>1 5/16-12</t>
        </is>
      </c>
      <c r="H148" s="37" t="inlineStr">
        <is>
          <t>1 5/8-12</t>
        </is>
      </c>
      <c r="I148" s="37" t="n"/>
      <c r="J148" s="37" t="inlineStr">
        <is>
          <t>SAE J1926-3</t>
        </is>
      </c>
      <c r="K148" s="37" t="inlineStr">
        <is>
          <t>SAE J514-1</t>
        </is>
      </c>
      <c r="L148" s="37" t="n">
        <v>2.06</v>
      </c>
      <c r="M148" s="37" t="n">
        <v>2.23</v>
      </c>
      <c r="N148" s="37" t="n">
        <v>1.5</v>
      </c>
      <c r="O148" s="37" t="n">
        <v>1.75</v>
      </c>
      <c r="P148" s="37" t="n">
        <v>1.08</v>
      </c>
      <c r="Q148" s="37" t="n">
        <v>0.84</v>
      </c>
      <c r="R148" s="44" t="n">
        <v>1.75</v>
      </c>
      <c r="S148" s="44" t="n">
        <v>1.5</v>
      </c>
      <c r="T148" s="37" t="n">
        <v>90</v>
      </c>
      <c r="U148" s="37" t="inlineStr">
        <is>
          <t>ASSUMED</t>
        </is>
      </c>
      <c r="V148" s="37" t="inlineStr">
        <is>
          <t>MS51527 covers matched-dash sizes only; Air-Way remains single source.</t>
        </is>
      </c>
      <c r="W148" s="37" t="inlineStr">
        <is>
          <t>BUILD</t>
        </is>
      </c>
      <c r="X148" s="37" t="inlineStr">
        <is>
          <t>Hex = Air-Way C4 column (per-part). Matched sizes in this topology corroborate the column.</t>
        </is>
      </c>
      <c r="Z148" s="45" t="inlineStr">
        <is>
          <t>Carbon Steel</t>
        </is>
      </c>
      <c r="AA148" s="45" t="inlineStr">
        <is>
          <t>ASTM A108 12L14</t>
        </is>
      </c>
      <c r="AB148" s="45" t="inlineStr">
        <is>
          <t>Trivalent Cr3 Zinc</t>
        </is>
      </c>
      <c r="AC148" s="45" t="inlineStr">
        <is>
          <t>ASTM B633 Type V/VI</t>
        </is>
      </c>
      <c r="AD148" s="46" t="n">
        <v>2500</v>
      </c>
      <c r="AE148" s="46" t="inlineStr">
        <is>
          <t>generic SAE table @ dash -20 (governing end)</t>
        </is>
      </c>
      <c r="AF148" s="46" t="n">
        <v>-65</v>
      </c>
      <c r="AG148" s="46" t="n">
        <v>400</v>
      </c>
      <c r="AH148" s="37" t="inlineStr">
        <is>
          <t>Ham-Let + hoseandfittings (pressure); Parker Cat.4300 (material); ASTM B633 (finish); see StandardsData</t>
        </is>
      </c>
    </row>
    <row r="149" ht="15" customHeight="1" s="35">
      <c r="A149" s="37" t="inlineStr">
        <is>
          <t>6801-20-20-NWO-FG</t>
        </is>
      </c>
      <c r="B149" s="37" t="inlineStr">
        <is>
          <t>6801-20-20 NWO-FG</t>
        </is>
      </c>
      <c r="C149" s="37" t="inlineStr">
        <is>
          <t>6801</t>
        </is>
      </c>
      <c r="D149" s="37" t="n">
        <v>134</v>
      </c>
      <c r="E149" s="37" t="inlineStr">
        <is>
          <t>90 deg</t>
        </is>
      </c>
      <c r="F149" s="37" t="inlineStr">
        <is>
          <t>90 deg Straight Thread Elbow, 1 5/8-12 x 1 5/8-12</t>
        </is>
      </c>
      <c r="G149" s="37" t="inlineStr">
        <is>
          <t>1 5/8-12</t>
        </is>
      </c>
      <c r="H149" s="37" t="inlineStr">
        <is>
          <t>1 5/8-12</t>
        </is>
      </c>
      <c r="I149" s="37" t="n"/>
      <c r="J149" s="37" t="inlineStr">
        <is>
          <t>SAE J1926-3</t>
        </is>
      </c>
      <c r="K149" s="37" t="inlineStr">
        <is>
          <t>SAE J514-1</t>
        </is>
      </c>
      <c r="L149" s="37" t="n">
        <v>2.06</v>
      </c>
      <c r="M149" s="37" t="n">
        <v>2.25</v>
      </c>
      <c r="N149" s="37" t="n">
        <v>1.88</v>
      </c>
      <c r="O149" s="37" t="n">
        <v>1.63</v>
      </c>
      <c r="P149" s="37" t="n">
        <v>1.08</v>
      </c>
      <c r="Q149" s="37" t="n">
        <v>1.08</v>
      </c>
      <c r="R149" s="45" t="n">
        <v>1.63</v>
      </c>
      <c r="S149" s="45" t="n">
        <v>1.88</v>
      </c>
      <c r="T149" s="37" t="n">
        <v>90</v>
      </c>
      <c r="U149" s="37" t="inlineStr">
        <is>
          <t>VERIFIED</t>
        </is>
      </c>
      <c r="V149" s="37" t="inlineStr">
        <is>
          <t>MS51527 cross-check 2026-09-04: threads, both legs, both bores AGREE.</t>
        </is>
      </c>
      <c r="W149" s="37" t="inlineStr">
        <is>
          <t>BUILD</t>
        </is>
      </c>
      <c r="X149" s="37" t="inlineStr">
        <is>
          <t>Hex = Air-Way C4 column, CONFIRMED vs PressureConnections/Purvis.</t>
        </is>
      </c>
      <c r="Z149" s="45" t="inlineStr">
        <is>
          <t>Carbon Steel</t>
        </is>
      </c>
      <c r="AA149" s="45" t="inlineStr">
        <is>
          <t>ASTM A108 12L14</t>
        </is>
      </c>
      <c r="AB149" s="45" t="inlineStr">
        <is>
          <t>Trivalent Cr3 Zinc</t>
        </is>
      </c>
      <c r="AC149" s="45" t="inlineStr">
        <is>
          <t>ASTM B633 Type V/VI</t>
        </is>
      </c>
      <c r="AD149" s="46" t="n">
        <v>2500</v>
      </c>
      <c r="AE149" s="46" t="inlineStr">
        <is>
          <t>generic SAE table @ dash -20 (governing end)</t>
        </is>
      </c>
      <c r="AF149" s="46" t="n">
        <v>-65</v>
      </c>
      <c r="AG149" s="46" t="n">
        <v>400</v>
      </c>
      <c r="AH149" s="37" t="inlineStr">
        <is>
          <t>Ham-Let + hoseandfittings (pressure); Parker Cat.4300 (material); ASTM B633 (finish); see StandardsData</t>
        </is>
      </c>
    </row>
    <row r="150" ht="15" customHeight="1" s="35">
      <c r="A150" s="37" t="inlineStr">
        <is>
          <t>6801-20-20-NWO</t>
        </is>
      </c>
      <c r="B150" s="37" t="inlineStr">
        <is>
          <t>6801-20-20 NWO</t>
        </is>
      </c>
      <c r="C150" s="37" t="inlineStr">
        <is>
          <t>6801</t>
        </is>
      </c>
      <c r="D150" s="37" t="n">
        <v>134</v>
      </c>
      <c r="E150" s="37" t="inlineStr">
        <is>
          <t>90 deg</t>
        </is>
      </c>
      <c r="F150" s="37" t="inlineStr">
        <is>
          <t>90 deg Straight Thread Elbow, 1 5/8-12 x 1 5/8-12</t>
        </is>
      </c>
      <c r="G150" s="37" t="inlineStr">
        <is>
          <t>1 5/8-12</t>
        </is>
      </c>
      <c r="H150" s="37" t="inlineStr">
        <is>
          <t>1 5/8-12</t>
        </is>
      </c>
      <c r="I150" s="37" t="n"/>
      <c r="J150" s="37" t="inlineStr">
        <is>
          <t>SAE J1926-3</t>
        </is>
      </c>
      <c r="K150" s="37" t="inlineStr">
        <is>
          <t>SAE J514-1</t>
        </is>
      </c>
      <c r="L150" s="37" t="n">
        <v>2.06</v>
      </c>
      <c r="M150" s="37" t="n">
        <v>2.25</v>
      </c>
      <c r="N150" s="37" t="n">
        <v>1.88</v>
      </c>
      <c r="O150" s="37" t="n">
        <v>1.75</v>
      </c>
      <c r="P150" s="37" t="n">
        <v>1.08</v>
      </c>
      <c r="Q150" s="37" t="n">
        <v>1.08</v>
      </c>
      <c r="R150" s="45" t="n">
        <v>1.75</v>
      </c>
      <c r="S150" s="45" t="n">
        <v>1.88</v>
      </c>
      <c r="T150" s="37" t="n">
        <v>90</v>
      </c>
      <c r="U150" s="37" t="inlineStr">
        <is>
          <t>VERIFIED</t>
        </is>
      </c>
      <c r="V150" s="37" t="inlineStr">
        <is>
          <t>MS51527 cross-check 2026-09-04: threads, both legs, both bores AGREE.</t>
        </is>
      </c>
      <c r="W150" s="37" t="inlineStr">
        <is>
          <t>BUILD</t>
        </is>
      </c>
      <c r="X150" s="37" t="inlineStr">
        <is>
          <t>Hex = Air-Way C4 column, CONFIRMED vs PressureConnections/Purvis.</t>
        </is>
      </c>
      <c r="Z150" s="45" t="inlineStr">
        <is>
          <t>Carbon Steel</t>
        </is>
      </c>
      <c r="AA150" s="45" t="inlineStr">
        <is>
          <t>ASTM A108 12L14</t>
        </is>
      </c>
      <c r="AB150" s="45" t="inlineStr">
        <is>
          <t>Trivalent Cr3 Zinc</t>
        </is>
      </c>
      <c r="AC150" s="45" t="inlineStr">
        <is>
          <t>ASTM B633 Type V/VI</t>
        </is>
      </c>
      <c r="AD150" s="46" t="n">
        <v>2500</v>
      </c>
      <c r="AE150" s="46" t="inlineStr">
        <is>
          <t>generic SAE table @ dash -20 (governing end)</t>
        </is>
      </c>
      <c r="AF150" s="46" t="n">
        <v>-65</v>
      </c>
      <c r="AG150" s="46" t="n">
        <v>400</v>
      </c>
      <c r="AH150" s="37" t="inlineStr">
        <is>
          <t>Ham-Let + hoseandfittings (pressure); Parker Cat.4300 (material); ASTM B633 (finish); see StandardsData</t>
        </is>
      </c>
    </row>
    <row r="151" ht="15" customHeight="1" s="35">
      <c r="A151" s="37" t="inlineStr">
        <is>
          <t>6801-20-24-NWO-FG</t>
        </is>
      </c>
      <c r="B151" s="37" t="inlineStr">
        <is>
          <t>6801-20-24 NWO-FG</t>
        </is>
      </c>
      <c r="C151" s="37" t="inlineStr">
        <is>
          <t>6801</t>
        </is>
      </c>
      <c r="D151" s="37" t="n">
        <v>134</v>
      </c>
      <c r="E151" s="37" t="inlineStr">
        <is>
          <t>90 deg</t>
        </is>
      </c>
      <c r="F151" s="37" t="inlineStr">
        <is>
          <t>90 deg Straight Thread Elbow, 1 5/8-12 x 1 7/8-12</t>
        </is>
      </c>
      <c r="G151" s="37" t="inlineStr">
        <is>
          <t>1 7/8-12</t>
        </is>
      </c>
      <c r="H151" s="37" t="inlineStr">
        <is>
          <t>1 5/8-12</t>
        </is>
      </c>
      <c r="I151" s="37" t="n"/>
      <c r="J151" s="37" t="inlineStr">
        <is>
          <t>SAE J1926-3</t>
        </is>
      </c>
      <c r="K151" s="37" t="inlineStr">
        <is>
          <t>SAE J514-1</t>
        </is>
      </c>
      <c r="L151" s="37" t="n">
        <v>2.2</v>
      </c>
      <c r="M151" s="37" t="n">
        <v>2.39</v>
      </c>
      <c r="N151" s="37" t="n">
        <v>2.13</v>
      </c>
      <c r="O151" s="37" t="n">
        <v>1.88</v>
      </c>
      <c r="P151" s="37" t="n">
        <v>1.08</v>
      </c>
      <c r="Q151" s="37" t="n">
        <v>1.31</v>
      </c>
      <c r="R151" s="44" t="n">
        <v>1.88</v>
      </c>
      <c r="S151" s="44" t="n">
        <v>2.13</v>
      </c>
      <c r="T151" s="37" t="n">
        <v>90</v>
      </c>
      <c r="U151" s="37" t="inlineStr">
        <is>
          <t>ASSUMED</t>
        </is>
      </c>
      <c r="V151" s="37" t="inlineStr">
        <is>
          <t>MS51527 covers matched-dash sizes only; Air-Way remains single source.</t>
        </is>
      </c>
      <c r="W151" s="37" t="inlineStr">
        <is>
          <t>BUILD</t>
        </is>
      </c>
      <c r="X151" s="37" t="inlineStr">
        <is>
          <t>Hex = Air-Way C4 column (per-part). Matched sizes in this topology corroborate the column.</t>
        </is>
      </c>
      <c r="Z151" s="45" t="inlineStr">
        <is>
          <t>Carbon Steel</t>
        </is>
      </c>
      <c r="AA151" s="45" t="inlineStr">
        <is>
          <t>ASTM A108 12L14</t>
        </is>
      </c>
      <c r="AB151" s="45" t="inlineStr">
        <is>
          <t>Trivalent Cr3 Zinc</t>
        </is>
      </c>
      <c r="AC151" s="45" t="inlineStr">
        <is>
          <t>ASTM B633 Type V/VI</t>
        </is>
      </c>
      <c r="AD151" s="46" t="n">
        <v>2000</v>
      </c>
      <c r="AE151" s="46" t="inlineStr">
        <is>
          <t>generic SAE table @ dash -24 (governing end)</t>
        </is>
      </c>
      <c r="AF151" s="46" t="n">
        <v>-65</v>
      </c>
      <c r="AG151" s="46" t="n">
        <v>400</v>
      </c>
      <c r="AH151" s="37" t="inlineStr">
        <is>
          <t>Ham-Let + hoseandfittings (pressure); Parker Cat.4300 (material); ASTM B633 (finish); see StandardsData</t>
        </is>
      </c>
    </row>
    <row r="152" ht="15" customHeight="1" s="35">
      <c r="A152" s="37" t="inlineStr">
        <is>
          <t>6801-20-24-NWO</t>
        </is>
      </c>
      <c r="B152" s="37" t="inlineStr">
        <is>
          <t>6801-20-24 NWO</t>
        </is>
      </c>
      <c r="C152" s="37" t="inlineStr">
        <is>
          <t>6801</t>
        </is>
      </c>
      <c r="D152" s="37" t="n">
        <v>134</v>
      </c>
      <c r="E152" s="37" t="inlineStr">
        <is>
          <t>90 deg</t>
        </is>
      </c>
      <c r="F152" s="37" t="inlineStr">
        <is>
          <t>90 deg Straight Thread Elbow, 1 5/8-12 x 1 7/8-12</t>
        </is>
      </c>
      <c r="G152" s="37" t="inlineStr">
        <is>
          <t>1 7/8-12</t>
        </is>
      </c>
      <c r="H152" s="37" t="inlineStr">
        <is>
          <t>1 5/8-12</t>
        </is>
      </c>
      <c r="I152" s="37" t="n"/>
      <c r="J152" s="37" t="inlineStr">
        <is>
          <t>SAE J1926-3</t>
        </is>
      </c>
      <c r="K152" s="37" t="inlineStr">
        <is>
          <t>SAE J514-1</t>
        </is>
      </c>
      <c r="L152" s="37" t="n">
        <v>2.19</v>
      </c>
      <c r="M152" s="37" t="n">
        <v>2.39</v>
      </c>
      <c r="N152" s="37" t="n">
        <v>2.13</v>
      </c>
      <c r="O152" s="37" t="n">
        <v>2</v>
      </c>
      <c r="P152" s="37" t="n">
        <v>1.08</v>
      </c>
      <c r="Q152" s="37" t="n">
        <v>1.31</v>
      </c>
      <c r="R152" s="44" t="n">
        <v>2</v>
      </c>
      <c r="S152" s="44" t="n">
        <v>2.13</v>
      </c>
      <c r="T152" s="37" t="n">
        <v>90</v>
      </c>
      <c r="U152" s="37" t="inlineStr">
        <is>
          <t>ASSUMED</t>
        </is>
      </c>
      <c r="V152" s="37" t="inlineStr">
        <is>
          <t>MS51527 covers matched-dash sizes only; Air-Way remains single source.</t>
        </is>
      </c>
      <c r="W152" s="37" t="inlineStr">
        <is>
          <t>BUILD</t>
        </is>
      </c>
      <c r="X152" s="37" t="inlineStr">
        <is>
          <t>Hex = Air-Way C4 column (per-part). Matched sizes in this topology corroborate the column.</t>
        </is>
      </c>
      <c r="Z152" s="45" t="inlineStr">
        <is>
          <t>Carbon Steel</t>
        </is>
      </c>
      <c r="AA152" s="45" t="inlineStr">
        <is>
          <t>ASTM A108 12L14</t>
        </is>
      </c>
      <c r="AB152" s="45" t="inlineStr">
        <is>
          <t>Trivalent Cr3 Zinc</t>
        </is>
      </c>
      <c r="AC152" s="45" t="inlineStr">
        <is>
          <t>ASTM B633 Type V/VI</t>
        </is>
      </c>
      <c r="AD152" s="46" t="n">
        <v>2000</v>
      </c>
      <c r="AE152" s="46" t="inlineStr">
        <is>
          <t>generic SAE table @ dash -24 (governing end)</t>
        </is>
      </c>
      <c r="AF152" s="46" t="n">
        <v>-65</v>
      </c>
      <c r="AG152" s="46" t="n">
        <v>400</v>
      </c>
      <c r="AH152" s="37" t="inlineStr">
        <is>
          <t>Ham-Let + hoseandfittings (pressure); Parker Cat.4300 (material); ASTM B633 (finish); see StandardsData</t>
        </is>
      </c>
    </row>
    <row r="153" ht="15" customHeight="1" s="35">
      <c r="A153" s="37" t="inlineStr">
        <is>
          <t>6801-24-16-NWO</t>
        </is>
      </c>
      <c r="B153" s="37" t="inlineStr">
        <is>
          <t>6801-24-16 NWO</t>
        </is>
      </c>
      <c r="C153" s="37" t="inlineStr">
        <is>
          <t>6801</t>
        </is>
      </c>
      <c r="D153" s="37" t="n">
        <v>134</v>
      </c>
      <c r="E153" s="37" t="inlineStr">
        <is>
          <t>90 deg</t>
        </is>
      </c>
      <c r="F153" s="37" t="inlineStr">
        <is>
          <t>90 deg Straight Thread Elbow, 1 7/8-12 x 1 5/16-12</t>
        </is>
      </c>
      <c r="G153" s="37" t="inlineStr">
        <is>
          <t>1 5/16-12</t>
        </is>
      </c>
      <c r="H153" s="37" t="inlineStr">
        <is>
          <t>1 7/8-12</t>
        </is>
      </c>
      <c r="I153" s="37" t="n"/>
      <c r="J153" s="37" t="inlineStr">
        <is>
          <t>SAE J1926-3</t>
        </is>
      </c>
      <c r="K153" s="37" t="inlineStr">
        <is>
          <t>SAE J514-1</t>
        </is>
      </c>
      <c r="L153" s="37" t="n">
        <v>2.33</v>
      </c>
      <c r="M153" s="37" t="n">
        <v>2.36</v>
      </c>
      <c r="N153" s="37" t="n">
        <v>1.5</v>
      </c>
      <c r="O153" s="37" t="n">
        <v>2</v>
      </c>
      <c r="P153" s="37" t="n">
        <v>1.31</v>
      </c>
      <c r="Q153" s="37" t="n">
        <v>0.84</v>
      </c>
      <c r="R153" s="44" t="n">
        <v>2</v>
      </c>
      <c r="S153" s="44" t="n">
        <v>1.5</v>
      </c>
      <c r="T153" s="37" t="n">
        <v>90</v>
      </c>
      <c r="U153" s="37" t="inlineStr">
        <is>
          <t>ASSUMED</t>
        </is>
      </c>
      <c r="V153" s="37" t="inlineStr">
        <is>
          <t>MS51527 covers matched-dash sizes only; Air-Way remains single source.</t>
        </is>
      </c>
      <c r="W153" s="37" t="inlineStr">
        <is>
          <t>BUILD</t>
        </is>
      </c>
      <c r="X153" s="37" t="inlineStr">
        <is>
          <t>Hex = Air-Way C4 column (per-part). Matched sizes in this topology corroborate the column.</t>
        </is>
      </c>
      <c r="Z153" s="45" t="inlineStr">
        <is>
          <t>Carbon Steel</t>
        </is>
      </c>
      <c r="AA153" s="45" t="inlineStr">
        <is>
          <t>ASTM A108 12L14</t>
        </is>
      </c>
      <c r="AB153" s="45" t="inlineStr">
        <is>
          <t>Trivalent Cr3 Zinc</t>
        </is>
      </c>
      <c r="AC153" s="45" t="inlineStr">
        <is>
          <t>ASTM B633 Type V/VI</t>
        </is>
      </c>
      <c r="AD153" s="46" t="n">
        <v>2000</v>
      </c>
      <c r="AE153" s="46" t="inlineStr">
        <is>
          <t>generic SAE table @ dash -24 (governing end)</t>
        </is>
      </c>
      <c r="AF153" s="46" t="n">
        <v>-65</v>
      </c>
      <c r="AG153" s="46" t="n">
        <v>400</v>
      </c>
      <c r="AH153" s="37" t="inlineStr">
        <is>
          <t>Ham-Let + hoseandfittings (pressure); Parker Cat.4300 (material); ASTM B633 (finish); see StandardsData</t>
        </is>
      </c>
    </row>
    <row r="154" ht="15" customHeight="1" s="35">
      <c r="A154" s="37" t="inlineStr">
        <is>
          <t>6801-24-20-NWO-FG</t>
        </is>
      </c>
      <c r="B154" s="37" t="inlineStr">
        <is>
          <t>6801-24-20 NWO-FG</t>
        </is>
      </c>
      <c r="C154" s="37" t="inlineStr">
        <is>
          <t>6801</t>
        </is>
      </c>
      <c r="D154" s="37" t="n">
        <v>134</v>
      </c>
      <c r="E154" s="37" t="inlineStr">
        <is>
          <t>90 deg</t>
        </is>
      </c>
      <c r="F154" s="37" t="inlineStr">
        <is>
          <t>90 deg Straight Thread Elbow, 1 7/8-12 x 1 5/8-12</t>
        </is>
      </c>
      <c r="G154" s="37" t="inlineStr">
        <is>
          <t>1 5/8-12</t>
        </is>
      </c>
      <c r="H154" s="37" t="inlineStr">
        <is>
          <t>1 7/8-12</t>
        </is>
      </c>
      <c r="I154" s="37" t="n"/>
      <c r="J154" s="37" t="inlineStr">
        <is>
          <t>SAE J1926-3</t>
        </is>
      </c>
      <c r="K154" s="37" t="inlineStr">
        <is>
          <t>SAE J514-1</t>
        </is>
      </c>
      <c r="L154" s="37" t="n">
        <v>2.33</v>
      </c>
      <c r="M154" s="37" t="n">
        <v>2.39</v>
      </c>
      <c r="N154" s="37" t="n">
        <v>1.88</v>
      </c>
      <c r="O154" s="37" t="n">
        <v>1.88</v>
      </c>
      <c r="P154" s="37" t="n">
        <v>1.31</v>
      </c>
      <c r="Q154" s="37" t="n">
        <v>1.08</v>
      </c>
      <c r="R154" s="44" t="n">
        <v>1.88</v>
      </c>
      <c r="S154" s="44" t="n">
        <v>1.88</v>
      </c>
      <c r="T154" s="37" t="n">
        <v>90</v>
      </c>
      <c r="U154" s="37" t="inlineStr">
        <is>
          <t>ASSUMED</t>
        </is>
      </c>
      <c r="V154" s="37" t="inlineStr">
        <is>
          <t>MS51527 covers matched-dash sizes only; Air-Way remains single source.</t>
        </is>
      </c>
      <c r="W154" s="37" t="inlineStr">
        <is>
          <t>BUILD</t>
        </is>
      </c>
      <c r="X154" s="37" t="inlineStr">
        <is>
          <t>Hex = Air-Way C4 column (per-part). Matched sizes in this topology corroborate the column.</t>
        </is>
      </c>
      <c r="Z154" s="45" t="inlineStr">
        <is>
          <t>Carbon Steel</t>
        </is>
      </c>
      <c r="AA154" s="45" t="inlineStr">
        <is>
          <t>ASTM A108 12L14</t>
        </is>
      </c>
      <c r="AB154" s="45" t="inlineStr">
        <is>
          <t>Trivalent Cr3 Zinc</t>
        </is>
      </c>
      <c r="AC154" s="45" t="inlineStr">
        <is>
          <t>ASTM B633 Type V/VI</t>
        </is>
      </c>
      <c r="AD154" s="46" t="n">
        <v>2000</v>
      </c>
      <c r="AE154" s="46" t="inlineStr">
        <is>
          <t>generic SAE table @ dash -24 (governing end)</t>
        </is>
      </c>
      <c r="AF154" s="46" t="n">
        <v>-65</v>
      </c>
      <c r="AG154" s="46" t="n">
        <v>400</v>
      </c>
      <c r="AH154" s="37" t="inlineStr">
        <is>
          <t>Ham-Let + hoseandfittings (pressure); Parker Cat.4300 (material); ASTM B633 (finish); see StandardsData</t>
        </is>
      </c>
    </row>
    <row r="155" ht="15" customHeight="1" s="35">
      <c r="A155" s="37" t="inlineStr">
        <is>
          <t>6801-24-20-NWO</t>
        </is>
      </c>
      <c r="B155" s="37" t="inlineStr">
        <is>
          <t>6801-24-20 NWO</t>
        </is>
      </c>
      <c r="C155" s="37" t="inlineStr">
        <is>
          <t>6801</t>
        </is>
      </c>
      <c r="D155" s="37" t="n">
        <v>134</v>
      </c>
      <c r="E155" s="37" t="inlineStr">
        <is>
          <t>90 deg</t>
        </is>
      </c>
      <c r="F155" s="37" t="inlineStr">
        <is>
          <t>90 deg Straight Thread Elbow, 1 7/8-12 x 1 5/8-12</t>
        </is>
      </c>
      <c r="G155" s="37" t="inlineStr">
        <is>
          <t>1 5/8-12</t>
        </is>
      </c>
      <c r="H155" s="37" t="inlineStr">
        <is>
          <t>1 7/8-12</t>
        </is>
      </c>
      <c r="I155" s="37" t="n"/>
      <c r="J155" s="37" t="inlineStr">
        <is>
          <t>SAE J1926-3</t>
        </is>
      </c>
      <c r="K155" s="37" t="inlineStr">
        <is>
          <t>SAE J514-1</t>
        </is>
      </c>
      <c r="L155" s="37" t="n">
        <v>2.33</v>
      </c>
      <c r="M155" s="37" t="n">
        <v>2.38</v>
      </c>
      <c r="N155" s="37" t="n">
        <v>1.88</v>
      </c>
      <c r="O155" s="37" t="n">
        <v>2</v>
      </c>
      <c r="P155" s="37" t="n">
        <v>1.31</v>
      </c>
      <c r="Q155" s="37" t="n">
        <v>1.08</v>
      </c>
      <c r="R155" s="44" t="n">
        <v>2</v>
      </c>
      <c r="S155" s="44" t="n">
        <v>1.88</v>
      </c>
      <c r="T155" s="37" t="n">
        <v>90</v>
      </c>
      <c r="U155" s="37" t="inlineStr">
        <is>
          <t>ASSUMED</t>
        </is>
      </c>
      <c r="V155" s="37" t="inlineStr">
        <is>
          <t>MS51527 covers matched-dash sizes only; Air-Way remains single source.</t>
        </is>
      </c>
      <c r="W155" s="37" t="inlineStr">
        <is>
          <t>BUILD</t>
        </is>
      </c>
      <c r="X155" s="37" t="inlineStr">
        <is>
          <t>Hex = Air-Way C4 column (per-part). Matched sizes in this topology corroborate the column.</t>
        </is>
      </c>
      <c r="Z155" s="45" t="inlineStr">
        <is>
          <t>Carbon Steel</t>
        </is>
      </c>
      <c r="AA155" s="45" t="inlineStr">
        <is>
          <t>ASTM A108 12L14</t>
        </is>
      </c>
      <c r="AB155" s="45" t="inlineStr">
        <is>
          <t>Trivalent Cr3 Zinc</t>
        </is>
      </c>
      <c r="AC155" s="45" t="inlineStr">
        <is>
          <t>ASTM B633 Type V/VI</t>
        </is>
      </c>
      <c r="AD155" s="46" t="n">
        <v>2000</v>
      </c>
      <c r="AE155" s="46" t="inlineStr">
        <is>
          <t>generic SAE table @ dash -24 (governing end)</t>
        </is>
      </c>
      <c r="AF155" s="46" t="n">
        <v>-65</v>
      </c>
      <c r="AG155" s="46" t="n">
        <v>400</v>
      </c>
      <c r="AH155" s="37" t="inlineStr">
        <is>
          <t>Ham-Let + hoseandfittings (pressure); Parker Cat.4300 (material); ASTM B633 (finish); see StandardsData</t>
        </is>
      </c>
    </row>
    <row r="156" ht="15" customHeight="1" s="35">
      <c r="A156" s="37" t="inlineStr">
        <is>
          <t>6801-24-24-NWO-FG</t>
        </is>
      </c>
      <c r="B156" s="37" t="inlineStr">
        <is>
          <t>6801-24-24 NWO-FG</t>
        </is>
      </c>
      <c r="C156" s="37" t="inlineStr">
        <is>
          <t>6801</t>
        </is>
      </c>
      <c r="D156" s="37" t="n">
        <v>134</v>
      </c>
      <c r="E156" s="37" t="inlineStr">
        <is>
          <t>90 deg</t>
        </is>
      </c>
      <c r="F156" s="37" t="inlineStr">
        <is>
          <t>90 deg Straight Thread Elbow, 1 7/8-12 x 1 7/8-12</t>
        </is>
      </c>
      <c r="G156" s="37" t="inlineStr">
        <is>
          <t>1 7/8-12</t>
        </is>
      </c>
      <c r="H156" s="37" t="inlineStr">
        <is>
          <t>1 7/8-12</t>
        </is>
      </c>
      <c r="I156" s="37" t="n"/>
      <c r="J156" s="37" t="inlineStr">
        <is>
          <t>SAE J1926-3</t>
        </is>
      </c>
      <c r="K156" s="37" t="inlineStr">
        <is>
          <t>SAE J514-1</t>
        </is>
      </c>
      <c r="L156" s="37" t="n">
        <v>2.33</v>
      </c>
      <c r="M156" s="37" t="n">
        <v>2.39</v>
      </c>
      <c r="N156" s="37" t="n">
        <v>2.13</v>
      </c>
      <c r="O156" s="37" t="n">
        <v>1.88</v>
      </c>
      <c r="P156" s="37" t="n">
        <v>1.31</v>
      </c>
      <c r="Q156" s="37" t="n">
        <v>1.31</v>
      </c>
      <c r="R156" s="45" t="n">
        <v>1.88</v>
      </c>
      <c r="S156" s="45" t="n">
        <v>2.13</v>
      </c>
      <c r="T156" s="37" t="n">
        <v>90</v>
      </c>
      <c r="U156" s="37" t="inlineStr">
        <is>
          <t>VERIFIED</t>
        </is>
      </c>
      <c r="V156" s="37" t="inlineStr">
        <is>
          <t>MS51527 cross-check 2026-09-04: threads, both legs, both bores AGREE.</t>
        </is>
      </c>
      <c r="W156" s="37" t="inlineStr">
        <is>
          <t>BUILD</t>
        </is>
      </c>
      <c r="X156" s="37" t="inlineStr">
        <is>
          <t>Hex = Air-Way C4 column, CONFIRMED vs PressureConnections/Purvis.</t>
        </is>
      </c>
      <c r="Z156" s="45" t="inlineStr">
        <is>
          <t>Carbon Steel</t>
        </is>
      </c>
      <c r="AA156" s="45" t="inlineStr">
        <is>
          <t>ASTM A108 12L14</t>
        </is>
      </c>
      <c r="AB156" s="45" t="inlineStr">
        <is>
          <t>Trivalent Cr3 Zinc</t>
        </is>
      </c>
      <c r="AC156" s="45" t="inlineStr">
        <is>
          <t>ASTM B633 Type V/VI</t>
        </is>
      </c>
      <c r="AD156" s="46" t="n">
        <v>2000</v>
      </c>
      <c r="AE156" s="46" t="inlineStr">
        <is>
          <t>generic SAE table @ dash -24 (governing end)</t>
        </is>
      </c>
      <c r="AF156" s="46" t="n">
        <v>-65</v>
      </c>
      <c r="AG156" s="46" t="n">
        <v>400</v>
      </c>
      <c r="AH156" s="37" t="inlineStr">
        <is>
          <t>Ham-Let + hoseandfittings (pressure); Parker Cat.4300 (material); ASTM B633 (finish); see StandardsData</t>
        </is>
      </c>
    </row>
    <row r="157" ht="15" customHeight="1" s="35">
      <c r="A157" s="37" t="inlineStr">
        <is>
          <t>6801-24-24-NWO</t>
        </is>
      </c>
      <c r="B157" s="37" t="inlineStr">
        <is>
          <t>6801-24-24 NWO</t>
        </is>
      </c>
      <c r="C157" s="37" t="inlineStr">
        <is>
          <t>6801</t>
        </is>
      </c>
      <c r="D157" s="37" t="n">
        <v>134</v>
      </c>
      <c r="E157" s="37" t="inlineStr">
        <is>
          <t>90 deg</t>
        </is>
      </c>
      <c r="F157" s="37" t="inlineStr">
        <is>
          <t>90 deg Straight Thread Elbow, 1 7/8-12 x 1 7/8-12</t>
        </is>
      </c>
      <c r="G157" s="37" t="inlineStr">
        <is>
          <t>1 7/8-12</t>
        </is>
      </c>
      <c r="H157" s="37" t="inlineStr">
        <is>
          <t>1 7/8-12</t>
        </is>
      </c>
      <c r="I157" s="37" t="n"/>
      <c r="J157" s="37" t="inlineStr">
        <is>
          <t>SAE J1926-3</t>
        </is>
      </c>
      <c r="K157" s="37" t="inlineStr">
        <is>
          <t>SAE J514-1</t>
        </is>
      </c>
      <c r="L157" s="37" t="n">
        <v>2.33</v>
      </c>
      <c r="M157" s="37" t="n">
        <v>2.39</v>
      </c>
      <c r="N157" s="37" t="n">
        <v>2.13</v>
      </c>
      <c r="O157" s="37" t="n">
        <v>2</v>
      </c>
      <c r="P157" s="37" t="n">
        <v>1.31</v>
      </c>
      <c r="Q157" s="37" t="n">
        <v>1.31</v>
      </c>
      <c r="R157" s="45" t="n">
        <v>2</v>
      </c>
      <c r="S157" s="45" t="n">
        <v>2.13</v>
      </c>
      <c r="T157" s="37" t="n">
        <v>90</v>
      </c>
      <c r="U157" s="37" t="inlineStr">
        <is>
          <t>VERIFIED</t>
        </is>
      </c>
      <c r="V157" s="37" t="inlineStr">
        <is>
          <t>MS51527 cross-check 2026-09-04: threads, both legs, both bores AGREE.</t>
        </is>
      </c>
      <c r="W157" s="37" t="inlineStr">
        <is>
          <t>BUILD</t>
        </is>
      </c>
      <c r="X157" s="37" t="inlineStr">
        <is>
          <t>Hex = Air-Way C4 column, CONFIRMED vs PressureConnections/Purvis.</t>
        </is>
      </c>
      <c r="Z157" s="45" t="inlineStr">
        <is>
          <t>Carbon Steel</t>
        </is>
      </c>
      <c r="AA157" s="45" t="inlineStr">
        <is>
          <t>ASTM A108 12L14</t>
        </is>
      </c>
      <c r="AB157" s="45" t="inlineStr">
        <is>
          <t>Trivalent Cr3 Zinc</t>
        </is>
      </c>
      <c r="AC157" s="45" t="inlineStr">
        <is>
          <t>ASTM B633 Type V/VI</t>
        </is>
      </c>
      <c r="AD157" s="46" t="n">
        <v>2000</v>
      </c>
      <c r="AE157" s="46" t="inlineStr">
        <is>
          <t>generic SAE table @ dash -24 (governing end)</t>
        </is>
      </c>
      <c r="AF157" s="46" t="n">
        <v>-65</v>
      </c>
      <c r="AG157" s="46" t="n">
        <v>400</v>
      </c>
      <c r="AH157" s="37" t="inlineStr">
        <is>
          <t>Ham-Let + hoseandfittings (pressure); Parker Cat.4300 (material); ASTM B633 (finish); see StandardsData</t>
        </is>
      </c>
    </row>
    <row r="158" ht="15" customHeight="1" s="35">
      <c r="A158" s="37" t="inlineStr">
        <is>
          <t>6801-32-24-NWO-FG</t>
        </is>
      </c>
      <c r="B158" s="37" t="inlineStr">
        <is>
          <t>6801-32-24 NWO-FG</t>
        </is>
      </c>
      <c r="C158" s="37" t="inlineStr">
        <is>
          <t>6801</t>
        </is>
      </c>
      <c r="D158" s="37" t="n">
        <v>134</v>
      </c>
      <c r="E158" s="37" t="inlineStr">
        <is>
          <t>90 deg</t>
        </is>
      </c>
      <c r="F158" s="37" t="inlineStr">
        <is>
          <t>90 deg Straight Thread Elbow, 2 1/2-12 x 1 7/8-12</t>
        </is>
      </c>
      <c r="G158" s="37" t="inlineStr">
        <is>
          <t>1 7/8-12</t>
        </is>
      </c>
      <c r="H158" s="37" t="inlineStr">
        <is>
          <t>2 1/2-12</t>
        </is>
      </c>
      <c r="I158" s="37" t="n"/>
      <c r="J158" s="37" t="inlineStr">
        <is>
          <t>SAE J1926-3</t>
        </is>
      </c>
      <c r="K158" s="37" t="inlineStr">
        <is>
          <t>SAE J514-1</t>
        </is>
      </c>
      <c r="L158" s="37" t="n">
        <v>3.06</v>
      </c>
      <c r="M158" s="37" t="n">
        <v>2.89</v>
      </c>
      <c r="N158" s="37" t="n">
        <v>2.13</v>
      </c>
      <c r="O158" s="37" t="n">
        <v>2.5</v>
      </c>
      <c r="P158" s="37" t="n">
        <v>1.31</v>
      </c>
      <c r="Q158" s="37" t="n">
        <v>1.78</v>
      </c>
      <c r="R158" s="44" t="n">
        <v>2.5</v>
      </c>
      <c r="S158" s="44" t="n">
        <v>2.13</v>
      </c>
      <c r="T158" s="37" t="n">
        <v>90</v>
      </c>
      <c r="U158" s="37" t="inlineStr">
        <is>
          <t>ASSUMED</t>
        </is>
      </c>
      <c r="V158" s="37" t="inlineStr">
        <is>
          <t>MS51527 covers matched-dash sizes only; Air-Way remains single source.</t>
        </is>
      </c>
      <c r="W158" s="37" t="inlineStr">
        <is>
          <t>BUILD</t>
        </is>
      </c>
      <c r="X158" s="37" t="inlineStr">
        <is>
          <t>Hex = Air-Way C4 column (per-part). Matched sizes in this topology corroborate the column.</t>
        </is>
      </c>
      <c r="Z158" s="45" t="inlineStr">
        <is>
          <t>Carbon Steel</t>
        </is>
      </c>
      <c r="AA158" s="45" t="inlineStr">
        <is>
          <t>ASTM A108 12L14</t>
        </is>
      </c>
      <c r="AB158" s="45" t="inlineStr">
        <is>
          <t>Trivalent Cr3 Zinc</t>
        </is>
      </c>
      <c r="AC158" s="45" t="inlineStr">
        <is>
          <t>ASTM B633 Type V/VI</t>
        </is>
      </c>
      <c r="AD158" s="46" t="n">
        <v>1500</v>
      </c>
      <c r="AE158" s="46" t="inlineStr">
        <is>
          <t>generic SAE table @ dash -32 (governing end)</t>
        </is>
      </c>
      <c r="AF158" s="46" t="n">
        <v>-65</v>
      </c>
      <c r="AG158" s="46" t="n">
        <v>400</v>
      </c>
      <c r="AH158" s="37" t="inlineStr">
        <is>
          <t>Ham-Let + hoseandfittings (pressure); Parker Cat.4300 (material); ASTM B633 (finish); see StandardsData</t>
        </is>
      </c>
    </row>
    <row r="159" ht="15" customHeight="1" s="35">
      <c r="A159" s="37" t="inlineStr">
        <is>
          <t>6801-32-32-NWO-FG</t>
        </is>
      </c>
      <c r="B159" s="37" t="inlineStr">
        <is>
          <t>6801-32-32 NWO-FG</t>
        </is>
      </c>
      <c r="C159" s="37" t="inlineStr">
        <is>
          <t>6801</t>
        </is>
      </c>
      <c r="D159" s="37" t="n">
        <v>134</v>
      </c>
      <c r="E159" s="37" t="inlineStr">
        <is>
          <t>90 deg</t>
        </is>
      </c>
      <c r="F159" s="37" t="inlineStr">
        <is>
          <t>90 deg Straight Thread Elbow, 2 1/2-12 x 2 1/2-12</t>
        </is>
      </c>
      <c r="G159" s="37" t="inlineStr">
        <is>
          <t>2 1/2-12</t>
        </is>
      </c>
      <c r="H159" s="37" t="inlineStr">
        <is>
          <t>2 1/2-12</t>
        </is>
      </c>
      <c r="I159" s="37" t="n"/>
      <c r="J159" s="37" t="inlineStr">
        <is>
          <t>SAE J1926-3</t>
        </is>
      </c>
      <c r="K159" s="37" t="inlineStr">
        <is>
          <t>SAE J514-1</t>
        </is>
      </c>
      <c r="L159" s="37" t="n">
        <v>3.06</v>
      </c>
      <c r="M159" s="37" t="n">
        <v>2.89</v>
      </c>
      <c r="N159" s="37" t="n">
        <v>2.75</v>
      </c>
      <c r="O159" s="37" t="n">
        <v>2.5</v>
      </c>
      <c r="P159" s="37" t="n">
        <v>1.78</v>
      </c>
      <c r="Q159" s="37" t="n">
        <v>1.78</v>
      </c>
      <c r="R159" s="45" t="n">
        <v>2.5</v>
      </c>
      <c r="S159" s="45" t="n">
        <v>2.75</v>
      </c>
      <c r="T159" s="37" t="n">
        <v>90</v>
      </c>
      <c r="U159" s="37" t="inlineStr">
        <is>
          <t>VERIFIED</t>
        </is>
      </c>
      <c r="V159" s="37" t="inlineStr">
        <is>
          <t>MS51527 cross-check 2026-09-04: threads, both legs, both bores AGREE.</t>
        </is>
      </c>
      <c r="W159" s="37" t="inlineStr">
        <is>
          <t>BUILD</t>
        </is>
      </c>
      <c r="X159" s="37" t="inlineStr">
        <is>
          <t>Hex = Air-Way C4 column, CONFIRMED vs PressureConnections/Purvis.</t>
        </is>
      </c>
      <c r="Z159" s="45" t="inlineStr">
        <is>
          <t>Carbon Steel</t>
        </is>
      </c>
      <c r="AA159" s="45" t="inlineStr">
        <is>
          <t>ASTM A108 12L14</t>
        </is>
      </c>
      <c r="AB159" s="45" t="inlineStr">
        <is>
          <t>Trivalent Cr3 Zinc</t>
        </is>
      </c>
      <c r="AC159" s="45" t="inlineStr">
        <is>
          <t>ASTM B633 Type V/VI</t>
        </is>
      </c>
      <c r="AD159" s="46" t="n">
        <v>1500</v>
      </c>
      <c r="AE159" s="46" t="inlineStr">
        <is>
          <t>generic SAE table @ dash -32 (governing end)</t>
        </is>
      </c>
      <c r="AF159" s="46" t="n">
        <v>-65</v>
      </c>
      <c r="AG159" s="46" t="n">
        <v>400</v>
      </c>
      <c r="AH159" s="37" t="inlineStr">
        <is>
          <t>Ham-Let + hoseandfittings (pressure); Parker Cat.4300 (material); ASTM B633 (finish); see StandardsData</t>
        </is>
      </c>
    </row>
    <row r="160" ht="15" customHeight="1" s="35">
      <c r="A160" s="37" t="inlineStr">
        <is>
          <t>6802-04-04-NWO-FG</t>
        </is>
      </c>
      <c r="B160" s="37" t="inlineStr">
        <is>
          <t>6802-4-4 NWO-FG</t>
        </is>
      </c>
      <c r="C160" s="37" t="inlineStr">
        <is>
          <t>6802</t>
        </is>
      </c>
      <c r="D160" s="37" t="n">
        <v>158</v>
      </c>
      <c r="E160" s="37" t="inlineStr">
        <is>
          <t>45 deg</t>
        </is>
      </c>
      <c r="F160" s="37" t="inlineStr">
        <is>
          <t>45 deg Straight Thread Elbow, 7/16-20 x 7/16-20</t>
        </is>
      </c>
      <c r="G160" s="37" t="inlineStr">
        <is>
          <t>7/16-20</t>
        </is>
      </c>
      <c r="H160" s="37" t="inlineStr">
        <is>
          <t>7/16-20</t>
        </is>
      </c>
      <c r="I160" s="37" t="n"/>
      <c r="J160" s="37" t="inlineStr">
        <is>
          <t>SAE J1926-1</t>
        </is>
      </c>
      <c r="K160" s="37" t="inlineStr">
        <is>
          <t>SAE J514-1</t>
        </is>
      </c>
      <c r="L160" s="37" t="n">
        <v>0.72</v>
      </c>
      <c r="M160" s="37" t="n">
        <v>1.05</v>
      </c>
      <c r="N160" s="37" t="n">
        <v>0.5600000000000001</v>
      </c>
      <c r="O160" s="37" t="n">
        <v>0.44</v>
      </c>
      <c r="P160" s="37" t="n">
        <v>0.17</v>
      </c>
      <c r="Q160" s="37" t="n">
        <v>0.17</v>
      </c>
      <c r="R160" s="45" t="n">
        <v>0.44</v>
      </c>
      <c r="S160" s="45" t="n">
        <v>0.5600000000000001</v>
      </c>
      <c r="T160" s="37" t="n">
        <v>45</v>
      </c>
      <c r="U160" s="37" t="inlineStr">
        <is>
          <t>VERIFIED</t>
        </is>
      </c>
      <c r="V160" s="37" t="inlineStr">
        <is>
          <t>MS51528 cross-check 2026-09-04: threads, both legs, both bores AGREE.</t>
        </is>
      </c>
      <c r="W160" s="37" t="inlineStr">
        <is>
          <t>BUILD</t>
        </is>
      </c>
      <c r="X160" s="37" t="inlineStr">
        <is>
          <t>Hex = Air-Way C4 column, CONFIRMED vs PressureConnections/Purvis.</t>
        </is>
      </c>
      <c r="Z160" s="45" t="inlineStr">
        <is>
          <t>Carbon Steel</t>
        </is>
      </c>
      <c r="AA160" s="45" t="inlineStr">
        <is>
          <t>ASTM A108 12L14</t>
        </is>
      </c>
      <c r="AB160" s="45" t="inlineStr">
        <is>
          <t>Trivalent Cr3 Zinc</t>
        </is>
      </c>
      <c r="AC160" s="45" t="inlineStr">
        <is>
          <t>ASTM B633 Type V/VI</t>
        </is>
      </c>
      <c r="AD160" s="46" t="n">
        <v>5000</v>
      </c>
      <c r="AE160" s="46" t="inlineStr">
        <is>
          <t>generic SAE table @ dash -4 (governing end)</t>
        </is>
      </c>
      <c r="AF160" s="46" t="n">
        <v>-65</v>
      </c>
      <c r="AG160" s="46" t="n">
        <v>400</v>
      </c>
      <c r="AH160" s="37" t="inlineStr">
        <is>
          <t>Ham-Let + hoseandfittings (pressure); Parker Cat.4300 (material); ASTM B633 (finish); see StandardsData</t>
        </is>
      </c>
    </row>
    <row r="161" ht="15" customHeight="1" s="35">
      <c r="A161" s="37" t="inlineStr">
        <is>
          <t>6802-04-04-NWO</t>
        </is>
      </c>
      <c r="B161" s="37" t="inlineStr">
        <is>
          <t>6802-4-4 NWO</t>
        </is>
      </c>
      <c r="C161" s="37" t="inlineStr">
        <is>
          <t>6802</t>
        </is>
      </c>
      <c r="D161" s="37" t="n">
        <v>158</v>
      </c>
      <c r="E161" s="37" t="inlineStr">
        <is>
          <t>45 deg</t>
        </is>
      </c>
      <c r="F161" s="37" t="inlineStr">
        <is>
          <t>45 deg Straight Thread Elbow, 7/16-20 x 7/16-20</t>
        </is>
      </c>
      <c r="G161" s="37" t="inlineStr">
        <is>
          <t>7/16-20</t>
        </is>
      </c>
      <c r="H161" s="37" t="inlineStr">
        <is>
          <t>7/16-20</t>
        </is>
      </c>
      <c r="I161" s="37" t="n"/>
      <c r="J161" s="37" t="inlineStr">
        <is>
          <t>SAE J1926-1</t>
        </is>
      </c>
      <c r="K161" s="37" t="inlineStr">
        <is>
          <t>SAE J514-1</t>
        </is>
      </c>
      <c r="L161" s="37" t="n">
        <v>0.72</v>
      </c>
      <c r="M161" s="37" t="n">
        <v>1.05</v>
      </c>
      <c r="N161" s="37" t="n">
        <v>0.5600000000000001</v>
      </c>
      <c r="O161" s="37" t="n">
        <v>0.5</v>
      </c>
      <c r="P161" s="37" t="n">
        <v>0.17</v>
      </c>
      <c r="Q161" s="37" t="n">
        <v>0.17</v>
      </c>
      <c r="R161" s="45" t="n">
        <v>0.5</v>
      </c>
      <c r="S161" s="45" t="n">
        <v>0.5600000000000001</v>
      </c>
      <c r="T161" s="37" t="n">
        <v>45</v>
      </c>
      <c r="U161" s="37" t="inlineStr">
        <is>
          <t>VERIFIED</t>
        </is>
      </c>
      <c r="V161" s="37" t="inlineStr">
        <is>
          <t>MS51528 cross-check 2026-09-04: threads, both legs, both bores AGREE.</t>
        </is>
      </c>
      <c r="W161" s="37" t="inlineStr">
        <is>
          <t>BUILD</t>
        </is>
      </c>
      <c r="X161" s="37" t="inlineStr">
        <is>
          <t>Hex = Air-Way C4 column, CONFIRMED vs PressureConnections/Purvis.</t>
        </is>
      </c>
      <c r="Z161" s="45" t="inlineStr">
        <is>
          <t>Carbon Steel</t>
        </is>
      </c>
      <c r="AA161" s="45" t="inlineStr">
        <is>
          <t>ASTM A108 12L14</t>
        </is>
      </c>
      <c r="AB161" s="45" t="inlineStr">
        <is>
          <t>Trivalent Cr3 Zinc</t>
        </is>
      </c>
      <c r="AC161" s="45" t="inlineStr">
        <is>
          <t>ASTM B633 Type V/VI</t>
        </is>
      </c>
      <c r="AD161" s="46" t="n">
        <v>5000</v>
      </c>
      <c r="AE161" s="46" t="inlineStr">
        <is>
          <t>generic SAE table @ dash -4 (governing end)</t>
        </is>
      </c>
      <c r="AF161" s="46" t="n">
        <v>-65</v>
      </c>
      <c r="AG161" s="46" t="n">
        <v>400</v>
      </c>
      <c r="AH161" s="37" t="inlineStr">
        <is>
          <t>Ham-Let + hoseandfittings (pressure); Parker Cat.4300 (material); ASTM B633 (finish); see StandardsData</t>
        </is>
      </c>
    </row>
    <row r="162" ht="15" customHeight="1" s="35">
      <c r="A162" s="37" t="inlineStr">
        <is>
          <t>6802-04-05-NWO-FG</t>
        </is>
      </c>
      <c r="B162" s="37" t="inlineStr">
        <is>
          <t>6802-4-5 NWO-FG</t>
        </is>
      </c>
      <c r="C162" s="37" t="inlineStr">
        <is>
          <t>6802</t>
        </is>
      </c>
      <c r="D162" s="37" t="n">
        <v>158</v>
      </c>
      <c r="E162" s="37" t="inlineStr">
        <is>
          <t>45 deg</t>
        </is>
      </c>
      <c r="F162" s="37" t="inlineStr">
        <is>
          <t>45 deg Straight Thread Elbow, 7/16-20 x 1/2-20</t>
        </is>
      </c>
      <c r="G162" s="37" t="inlineStr">
        <is>
          <t>1/2-20</t>
        </is>
      </c>
      <c r="H162" s="37" t="inlineStr">
        <is>
          <t>7/16-20</t>
        </is>
      </c>
      <c r="I162" s="37" t="n"/>
      <c r="J162" s="37" t="inlineStr">
        <is>
          <t>SAE J1926-1</t>
        </is>
      </c>
      <c r="K162" s="37" t="inlineStr">
        <is>
          <t>SAE J514-1</t>
        </is>
      </c>
      <c r="L162" s="37" t="n">
        <v>0.72</v>
      </c>
      <c r="M162" s="37" t="n">
        <v>1.05</v>
      </c>
      <c r="N162" s="37" t="n">
        <v>0.63</v>
      </c>
      <c r="O162" s="37" t="n">
        <v>0.5600000000000001</v>
      </c>
      <c r="P162" s="37" t="n">
        <v>0.17</v>
      </c>
      <c r="Q162" s="37" t="n">
        <v>0.23</v>
      </c>
      <c r="R162" s="44" t="n">
        <v>0.5600000000000001</v>
      </c>
      <c r="S162" s="44" t="n">
        <v>0.63</v>
      </c>
      <c r="T162" s="37" t="n">
        <v>45</v>
      </c>
      <c r="U162" s="37" t="inlineStr">
        <is>
          <t>ASSUMED</t>
        </is>
      </c>
      <c r="V162" s="37" t="inlineStr">
        <is>
          <t>MS51528 covers matched-dash sizes only; Air-Way remains single source.</t>
        </is>
      </c>
      <c r="W162" s="37" t="inlineStr">
        <is>
          <t>BUILD</t>
        </is>
      </c>
      <c r="X162" s="37" t="inlineStr">
        <is>
          <t>Hex = Air-Way C4 column (per-part). Matched sizes in this topology corroborate the column.</t>
        </is>
      </c>
      <c r="Z162" s="45" t="inlineStr">
        <is>
          <t>Carbon Steel</t>
        </is>
      </c>
      <c r="AA162" s="45" t="inlineStr">
        <is>
          <t>ASTM A108 12L14</t>
        </is>
      </c>
      <c r="AB162" s="45" t="inlineStr">
        <is>
          <t>Trivalent Cr3 Zinc</t>
        </is>
      </c>
      <c r="AC162" s="45" t="inlineStr">
        <is>
          <t>ASTM B633 Type V/VI</t>
        </is>
      </c>
      <c r="AD162" s="46" t="n">
        <v>5000</v>
      </c>
      <c r="AE162" s="46" t="inlineStr">
        <is>
          <t>generic SAE table @ dash -5 (governing end)</t>
        </is>
      </c>
      <c r="AF162" s="46" t="n">
        <v>-65</v>
      </c>
      <c r="AG162" s="46" t="n">
        <v>400</v>
      </c>
      <c r="AH162" s="37" t="inlineStr">
        <is>
          <t>Ham-Let + hoseandfittings (pressure); Parker Cat.4300 (material); ASTM B633 (finish); see StandardsData</t>
        </is>
      </c>
    </row>
    <row r="163" ht="15" customHeight="1" s="35">
      <c r="A163" s="37" t="inlineStr">
        <is>
          <t>6802-04-06-NWO-FG</t>
        </is>
      </c>
      <c r="B163" s="37" t="inlineStr">
        <is>
          <t>6802-4-6 NWO-FG</t>
        </is>
      </c>
      <c r="C163" s="37" t="inlineStr">
        <is>
          <t>6802</t>
        </is>
      </c>
      <c r="D163" s="37" t="n">
        <v>158</v>
      </c>
      <c r="E163" s="37" t="inlineStr">
        <is>
          <t>45 deg</t>
        </is>
      </c>
      <c r="F163" s="37" t="inlineStr">
        <is>
          <t>45 deg Straight Thread Elbow, 7/16-20 x 9/16-18</t>
        </is>
      </c>
      <c r="G163" s="37" t="inlineStr">
        <is>
          <t>9/16-18</t>
        </is>
      </c>
      <c r="H163" s="37" t="inlineStr">
        <is>
          <t>7/16-20</t>
        </is>
      </c>
      <c r="I163" s="37" t="n"/>
      <c r="J163" s="37" t="inlineStr">
        <is>
          <t>SAE J1926-1</t>
        </is>
      </c>
      <c r="K163" s="37" t="inlineStr">
        <is>
          <t>SAE J514-1</t>
        </is>
      </c>
      <c r="L163" s="37" t="n">
        <v>0.82</v>
      </c>
      <c r="M163" s="37" t="n">
        <v>1.14</v>
      </c>
      <c r="N163" s="37" t="n">
        <v>0.5600000000000001</v>
      </c>
      <c r="O163" s="37" t="n">
        <v>0.5600000000000001</v>
      </c>
      <c r="P163" s="37" t="n">
        <v>0.17</v>
      </c>
      <c r="Q163" s="37" t="n">
        <v>0.3</v>
      </c>
      <c r="R163" s="44" t="n">
        <v>0.5600000000000001</v>
      </c>
      <c r="S163" s="44" t="n">
        <v>0.5600000000000001</v>
      </c>
      <c r="T163" s="37" t="n">
        <v>45</v>
      </c>
      <c r="U163" s="37" t="inlineStr">
        <is>
          <t>ASSUMED</t>
        </is>
      </c>
      <c r="V163" s="37" t="inlineStr">
        <is>
          <t>MS51528 covers matched-dash sizes only; Air-Way remains single source.</t>
        </is>
      </c>
      <c r="W163" s="37" t="inlineStr">
        <is>
          <t>BUILD</t>
        </is>
      </c>
      <c r="X163" s="37" t="inlineStr">
        <is>
          <t>Hex = Air-Way C4 column (per-part). Matched sizes in this topology corroborate the column.</t>
        </is>
      </c>
      <c r="Z163" s="45" t="inlineStr">
        <is>
          <t>Carbon Steel</t>
        </is>
      </c>
      <c r="AA163" s="45" t="inlineStr">
        <is>
          <t>ASTM A108 12L14</t>
        </is>
      </c>
      <c r="AB163" s="45" t="inlineStr">
        <is>
          <t>Trivalent Cr3 Zinc</t>
        </is>
      </c>
      <c r="AC163" s="45" t="inlineStr">
        <is>
          <t>ASTM B633 Type V/VI</t>
        </is>
      </c>
      <c r="AD163" s="46" t="n">
        <v>5000</v>
      </c>
      <c r="AE163" s="46" t="inlineStr">
        <is>
          <t>generic SAE table @ dash -6 (governing end)</t>
        </is>
      </c>
      <c r="AF163" s="46" t="n">
        <v>-65</v>
      </c>
      <c r="AG163" s="46" t="n">
        <v>400</v>
      </c>
      <c r="AH163" s="37" t="inlineStr">
        <is>
          <t>Ham-Let + hoseandfittings (pressure); Parker Cat.4300 (material); ASTM B633 (finish); see StandardsData</t>
        </is>
      </c>
    </row>
    <row r="164" ht="15" customHeight="1" s="35">
      <c r="A164" s="37" t="inlineStr">
        <is>
          <t>6802-04-06-NWO</t>
        </is>
      </c>
      <c r="B164" s="37" t="inlineStr">
        <is>
          <t>6802-4-6 NWO</t>
        </is>
      </c>
      <c r="C164" s="37" t="inlineStr">
        <is>
          <t>6802</t>
        </is>
      </c>
      <c r="D164" s="37" t="n">
        <v>158</v>
      </c>
      <c r="E164" s="37" t="inlineStr">
        <is>
          <t>45 deg</t>
        </is>
      </c>
      <c r="F164" s="37" t="inlineStr">
        <is>
          <t>45 deg Straight Thread Elbow, 7/16-20 x 9/16-18</t>
        </is>
      </c>
      <c r="G164" s="37" t="inlineStr">
        <is>
          <t>9/16-18</t>
        </is>
      </c>
      <c r="H164" s="37" t="inlineStr">
        <is>
          <t>7/16-20</t>
        </is>
      </c>
      <c r="I164" s="37" t="n"/>
      <c r="J164" s="37" t="inlineStr">
        <is>
          <t>SAE J1926-1</t>
        </is>
      </c>
      <c r="K164" s="37" t="inlineStr">
        <is>
          <t>SAE J514-1</t>
        </is>
      </c>
      <c r="L164" s="37" t="n">
        <v>0.72</v>
      </c>
      <c r="M164" s="37" t="n">
        <v>1.14</v>
      </c>
      <c r="N164" s="37" t="n">
        <v>0.6899999999999999</v>
      </c>
      <c r="O164" s="37" t="n">
        <v>0.63</v>
      </c>
      <c r="P164" s="37" t="n">
        <v>0.17</v>
      </c>
      <c r="Q164" s="37" t="n">
        <v>0.3</v>
      </c>
      <c r="R164" s="44" t="n">
        <v>0.63</v>
      </c>
      <c r="S164" s="44" t="n">
        <v>0.6899999999999999</v>
      </c>
      <c r="T164" s="37" t="n">
        <v>45</v>
      </c>
      <c r="U164" s="37" t="inlineStr">
        <is>
          <t>ASSUMED</t>
        </is>
      </c>
      <c r="V164" s="37" t="inlineStr">
        <is>
          <t>MS51528 covers matched-dash sizes only; Air-Way remains single source.</t>
        </is>
      </c>
      <c r="W164" s="37" t="inlineStr">
        <is>
          <t>BUILD</t>
        </is>
      </c>
      <c r="X164" s="37" t="inlineStr">
        <is>
          <t>Hex = Air-Way C4 column (per-part). Matched sizes in this topology corroborate the column.</t>
        </is>
      </c>
      <c r="Z164" s="45" t="inlineStr">
        <is>
          <t>Carbon Steel</t>
        </is>
      </c>
      <c r="AA164" s="45" t="inlineStr">
        <is>
          <t>ASTM A108 12L14</t>
        </is>
      </c>
      <c r="AB164" s="45" t="inlineStr">
        <is>
          <t>Trivalent Cr3 Zinc</t>
        </is>
      </c>
      <c r="AC164" s="45" t="inlineStr">
        <is>
          <t>ASTM B633 Type V/VI</t>
        </is>
      </c>
      <c r="AD164" s="46" t="n">
        <v>5000</v>
      </c>
      <c r="AE164" s="46" t="inlineStr">
        <is>
          <t>generic SAE table @ dash -6 (governing end)</t>
        </is>
      </c>
      <c r="AF164" s="46" t="n">
        <v>-65</v>
      </c>
      <c r="AG164" s="46" t="n">
        <v>400</v>
      </c>
      <c r="AH164" s="37" t="inlineStr">
        <is>
          <t>Ham-Let + hoseandfittings (pressure); Parker Cat.4300 (material); ASTM B633 (finish); see StandardsData</t>
        </is>
      </c>
    </row>
    <row r="165" ht="15" customHeight="1" s="35">
      <c r="A165" s="37" t="inlineStr">
        <is>
          <t>6802-04-08-NWO</t>
        </is>
      </c>
      <c r="B165" s="37" t="inlineStr">
        <is>
          <t>6802-4-8 NWO</t>
        </is>
      </c>
      <c r="C165" s="37" t="inlineStr">
        <is>
          <t>6802</t>
        </is>
      </c>
      <c r="D165" s="37" t="n">
        <v>158</v>
      </c>
      <c r="E165" s="37" t="inlineStr">
        <is>
          <t>45 deg</t>
        </is>
      </c>
      <c r="F165" s="37" t="inlineStr">
        <is>
          <t>45 deg Straight Thread Elbow, 7/16-20 x 3/4-16</t>
        </is>
      </c>
      <c r="G165" s="37" t="inlineStr">
        <is>
          <t>3/4-16</t>
        </is>
      </c>
      <c r="H165" s="37" t="inlineStr">
        <is>
          <t>7/16-20</t>
        </is>
      </c>
      <c r="I165" s="37" t="n"/>
      <c r="J165" s="37" t="inlineStr">
        <is>
          <t>SAE J1926-1</t>
        </is>
      </c>
      <c r="K165" s="37" t="inlineStr">
        <is>
          <t>SAE J514-1</t>
        </is>
      </c>
      <c r="L165" s="37" t="n">
        <v>0.85</v>
      </c>
      <c r="M165" s="37" t="n">
        <v>1.3</v>
      </c>
      <c r="N165" s="37" t="n">
        <v>0.88</v>
      </c>
      <c r="O165" s="37" t="n">
        <v>0.8100000000000001</v>
      </c>
      <c r="P165" s="37" t="n">
        <v>0.17</v>
      </c>
      <c r="Q165" s="37" t="n">
        <v>0.39</v>
      </c>
      <c r="R165" s="44" t="n">
        <v>0.8100000000000001</v>
      </c>
      <c r="S165" s="44" t="n">
        <v>0.88</v>
      </c>
      <c r="T165" s="37" t="n">
        <v>45</v>
      </c>
      <c r="U165" s="37" t="inlineStr">
        <is>
          <t>ASSUMED</t>
        </is>
      </c>
      <c r="V165" s="37" t="inlineStr">
        <is>
          <t>MS51528 covers matched-dash sizes only; Air-Way remains single source.</t>
        </is>
      </c>
      <c r="W165" s="37" t="inlineStr">
        <is>
          <t>BUILD</t>
        </is>
      </c>
      <c r="X165" s="37" t="inlineStr">
        <is>
          <t>Hex = Air-Way C4 column (per-part). Matched sizes in this topology corroborate the column.</t>
        </is>
      </c>
      <c r="Z165" s="45" t="inlineStr">
        <is>
          <t>Carbon Steel</t>
        </is>
      </c>
      <c r="AA165" s="45" t="inlineStr">
        <is>
          <t>ASTM A108 12L14</t>
        </is>
      </c>
      <c r="AB165" s="45" t="inlineStr">
        <is>
          <t>Trivalent Cr3 Zinc</t>
        </is>
      </c>
      <c r="AC165" s="45" t="inlineStr">
        <is>
          <t>ASTM B633 Type V/VI</t>
        </is>
      </c>
      <c r="AD165" s="46" t="n">
        <v>4500</v>
      </c>
      <c r="AE165" s="46" t="inlineStr">
        <is>
          <t>generic SAE table @ dash -8 (governing end)</t>
        </is>
      </c>
      <c r="AF165" s="46" t="n">
        <v>-65</v>
      </c>
      <c r="AG165" s="46" t="n">
        <v>400</v>
      </c>
      <c r="AH165" s="37" t="inlineStr">
        <is>
          <t>Ham-Let + hoseandfittings (pressure); Parker Cat.4300 (material); ASTM B633 (finish); see StandardsData</t>
        </is>
      </c>
    </row>
    <row r="166" ht="15" customHeight="1" s="35">
      <c r="A166" s="37" t="inlineStr">
        <is>
          <t>6802-05-03-NWO</t>
        </is>
      </c>
      <c r="B166" s="37" t="inlineStr">
        <is>
          <t>6802-5-3 NWO</t>
        </is>
      </c>
      <c r="C166" s="37" t="inlineStr">
        <is>
          <t>6802</t>
        </is>
      </c>
      <c r="D166" s="37" t="n">
        <v>158</v>
      </c>
      <c r="E166" s="37" t="inlineStr">
        <is>
          <t>45 deg</t>
        </is>
      </c>
      <c r="F166" s="37" t="inlineStr">
        <is>
          <t>45 deg Straight Thread Elbow, 1/2-20 x 3/8-24</t>
        </is>
      </c>
      <c r="G166" s="37" t="inlineStr">
        <is>
          <t>3/8-24</t>
        </is>
      </c>
      <c r="H166" s="37" t="inlineStr">
        <is>
          <t>1/2-20</t>
        </is>
      </c>
      <c r="I166" s="37" t="n"/>
      <c r="J166" s="37" t="inlineStr">
        <is>
          <t>SAE J1926-1</t>
        </is>
      </c>
      <c r="K166" s="37" t="inlineStr">
        <is>
          <t>SAE J514-1</t>
        </is>
      </c>
      <c r="L166" s="37" t="n">
        <v>0.77</v>
      </c>
      <c r="M166" s="37" t="n">
        <v>0.92</v>
      </c>
      <c r="N166" s="37" t="n">
        <v>0.5600000000000001</v>
      </c>
      <c r="O166" s="37" t="n">
        <v>0.5600000000000001</v>
      </c>
      <c r="P166" s="37" t="n">
        <v>0.23</v>
      </c>
      <c r="Q166" s="37" t="n">
        <v>0.13</v>
      </c>
      <c r="R166" s="44" t="n">
        <v>0.5600000000000001</v>
      </c>
      <c r="S166" s="44" t="n">
        <v>0.5600000000000001</v>
      </c>
      <c r="T166" s="37" t="n">
        <v>45</v>
      </c>
      <c r="U166" s="37" t="inlineStr">
        <is>
          <t>ASSUMED</t>
        </is>
      </c>
      <c r="V166" s="37" t="inlineStr">
        <is>
          <t>MS51528 covers matched-dash sizes only; Air-Way remains single source.</t>
        </is>
      </c>
      <c r="W166" s="37" t="inlineStr">
        <is>
          <t>BUILD</t>
        </is>
      </c>
      <c r="X166" s="37" t="inlineStr">
        <is>
          <t>Hex = Air-Way C4 column (per-part). Matched sizes in this topology corroborate the column.</t>
        </is>
      </c>
      <c r="Z166" s="45" t="inlineStr">
        <is>
          <t>Carbon Steel</t>
        </is>
      </c>
      <c r="AA166" s="45" t="inlineStr">
        <is>
          <t>ASTM A108 12L14</t>
        </is>
      </c>
      <c r="AB166" s="45" t="inlineStr">
        <is>
          <t>Trivalent Cr3 Zinc</t>
        </is>
      </c>
      <c r="AC166" s="45" t="inlineStr">
        <is>
          <t>ASTM B633 Type V/VI</t>
        </is>
      </c>
      <c r="AD166" s="46" t="n">
        <v>5000</v>
      </c>
      <c r="AE166" s="46" t="inlineStr">
        <is>
          <t>generic SAE table @ dash -5 (governing end)</t>
        </is>
      </c>
      <c r="AF166" s="46" t="n">
        <v>-65</v>
      </c>
      <c r="AG166" s="46" t="n">
        <v>400</v>
      </c>
      <c r="AH166" s="37" t="inlineStr">
        <is>
          <t>Ham-Let + hoseandfittings (pressure); Parker Cat.4300 (material); ASTM B633 (finish); see StandardsData</t>
        </is>
      </c>
    </row>
    <row r="167" ht="15" customHeight="1" s="35">
      <c r="A167" s="37" t="inlineStr">
        <is>
          <t>6802-05-05-NWO-FG</t>
        </is>
      </c>
      <c r="B167" s="37" t="inlineStr">
        <is>
          <t>6802-5-5 NWO-FG</t>
        </is>
      </c>
      <c r="C167" s="37" t="inlineStr">
        <is>
          <t>6802</t>
        </is>
      </c>
      <c r="D167" s="37" t="n">
        <v>158</v>
      </c>
      <c r="E167" s="37" t="inlineStr">
        <is>
          <t>45 deg</t>
        </is>
      </c>
      <c r="F167" s="37" t="inlineStr">
        <is>
          <t>45 deg Straight Thread Elbow, 1/2-20 x 1/2-20</t>
        </is>
      </c>
      <c r="G167" s="37" t="inlineStr">
        <is>
          <t>1/2-20</t>
        </is>
      </c>
      <c r="H167" s="37" t="inlineStr">
        <is>
          <t>1/2-20</t>
        </is>
      </c>
      <c r="I167" s="37" t="n"/>
      <c r="J167" s="37" t="inlineStr">
        <is>
          <t>SAE J1926-1</t>
        </is>
      </c>
      <c r="K167" s="37" t="inlineStr">
        <is>
          <t>SAE J514-1</t>
        </is>
      </c>
      <c r="L167" s="37" t="n">
        <v>0.77</v>
      </c>
      <c r="M167" s="37" t="n">
        <v>1.05</v>
      </c>
      <c r="N167" s="37" t="n">
        <v>0.63</v>
      </c>
      <c r="O167" s="37" t="n">
        <v>0.5600000000000001</v>
      </c>
      <c r="P167" s="37" t="n">
        <v>0.23</v>
      </c>
      <c r="Q167" s="37" t="n">
        <v>0.23</v>
      </c>
      <c r="R167" s="45" t="n">
        <v>0.5600000000000001</v>
      </c>
      <c r="S167" s="45" t="n">
        <v>0.63</v>
      </c>
      <c r="T167" s="37" t="n">
        <v>45</v>
      </c>
      <c r="U167" s="37" t="inlineStr">
        <is>
          <t>VERIFIED</t>
        </is>
      </c>
      <c r="V167" s="37" t="inlineStr">
        <is>
          <t>MS51528 cross-check 2026-09-04: threads, both legs, both bores AGREE.</t>
        </is>
      </c>
      <c r="W167" s="37" t="inlineStr">
        <is>
          <t>BUILD</t>
        </is>
      </c>
      <c r="X167" s="37" t="inlineStr">
        <is>
          <t>Hex = Air-Way C4 column, CONFIRMED vs PressureConnections/Purvis.</t>
        </is>
      </c>
      <c r="Z167" s="45" t="inlineStr">
        <is>
          <t>Carbon Steel</t>
        </is>
      </c>
      <c r="AA167" s="45" t="inlineStr">
        <is>
          <t>ASTM A108 12L14</t>
        </is>
      </c>
      <c r="AB167" s="45" t="inlineStr">
        <is>
          <t>Trivalent Cr3 Zinc</t>
        </is>
      </c>
      <c r="AC167" s="45" t="inlineStr">
        <is>
          <t>ASTM B633 Type V/VI</t>
        </is>
      </c>
      <c r="AD167" s="46" t="n">
        <v>5000</v>
      </c>
      <c r="AE167" s="46" t="inlineStr">
        <is>
          <t>generic SAE table @ dash -5 (governing end)</t>
        </is>
      </c>
      <c r="AF167" s="46" t="n">
        <v>-65</v>
      </c>
      <c r="AG167" s="46" t="n">
        <v>400</v>
      </c>
      <c r="AH167" s="37" t="inlineStr">
        <is>
          <t>Ham-Let + hoseandfittings (pressure); Parker Cat.4300 (material); ASTM B633 (finish); see StandardsData</t>
        </is>
      </c>
    </row>
    <row r="168" ht="15" customHeight="1" s="35">
      <c r="A168" s="37" t="inlineStr">
        <is>
          <t>6802-05-05-NWO</t>
        </is>
      </c>
      <c r="B168" s="37" t="inlineStr">
        <is>
          <t>6802-5-5 NWO</t>
        </is>
      </c>
      <c r="C168" s="37" t="inlineStr">
        <is>
          <t>6802</t>
        </is>
      </c>
      <c r="D168" s="37" t="n">
        <v>158</v>
      </c>
      <c r="E168" s="37" t="inlineStr">
        <is>
          <t>45 deg</t>
        </is>
      </c>
      <c r="F168" s="37" t="inlineStr">
        <is>
          <t>45 deg Straight Thread Elbow, 1/2-20 x 1/2-20</t>
        </is>
      </c>
      <c r="G168" s="37" t="inlineStr">
        <is>
          <t>1/2-20</t>
        </is>
      </c>
      <c r="H168" s="37" t="inlineStr">
        <is>
          <t>1/2-20</t>
        </is>
      </c>
      <c r="I168" s="37" t="n"/>
      <c r="J168" s="37" t="inlineStr">
        <is>
          <t>SAE J1926-1</t>
        </is>
      </c>
      <c r="K168" s="37" t="inlineStr">
        <is>
          <t>SAE J514-1</t>
        </is>
      </c>
      <c r="L168" s="37" t="n">
        <v>0.77</v>
      </c>
      <c r="M168" s="37" t="n">
        <v>1.05</v>
      </c>
      <c r="N168" s="37" t="n">
        <v>0.63</v>
      </c>
      <c r="O168" s="37" t="n">
        <v>0.5600000000000001</v>
      </c>
      <c r="P168" s="37" t="n">
        <v>0.23</v>
      </c>
      <c r="Q168" s="37" t="n">
        <v>0.23</v>
      </c>
      <c r="R168" s="45" t="n">
        <v>0.5600000000000001</v>
      </c>
      <c r="S168" s="45" t="n">
        <v>0.63</v>
      </c>
      <c r="T168" s="37" t="n">
        <v>45</v>
      </c>
      <c r="U168" s="37" t="inlineStr">
        <is>
          <t>VERIFIED</t>
        </is>
      </c>
      <c r="V168" s="37" t="inlineStr">
        <is>
          <t>MS51528 cross-check 2026-09-04: threads, both legs, both bores AGREE.</t>
        </is>
      </c>
      <c r="W168" s="37" t="inlineStr">
        <is>
          <t>BUILD</t>
        </is>
      </c>
      <c r="X168" s="37" t="inlineStr">
        <is>
          <t>Hex = Air-Way C4 column, CONFIRMED vs PressureConnections/Purvis.</t>
        </is>
      </c>
      <c r="Z168" s="45" t="inlineStr">
        <is>
          <t>Carbon Steel</t>
        </is>
      </c>
      <c r="AA168" s="45" t="inlineStr">
        <is>
          <t>ASTM A108 12L14</t>
        </is>
      </c>
      <c r="AB168" s="45" t="inlineStr">
        <is>
          <t>Trivalent Cr3 Zinc</t>
        </is>
      </c>
      <c r="AC168" s="45" t="inlineStr">
        <is>
          <t>ASTM B633 Type V/VI</t>
        </is>
      </c>
      <c r="AD168" s="46" t="n">
        <v>5000</v>
      </c>
      <c r="AE168" s="46" t="inlineStr">
        <is>
          <t>generic SAE table @ dash -5 (governing end)</t>
        </is>
      </c>
      <c r="AF168" s="46" t="n">
        <v>-65</v>
      </c>
      <c r="AG168" s="46" t="n">
        <v>400</v>
      </c>
      <c r="AH168" s="37" t="inlineStr">
        <is>
          <t>Ham-Let + hoseandfittings (pressure); Parker Cat.4300 (material); ASTM B633 (finish); see StandardsData</t>
        </is>
      </c>
    </row>
    <row r="169" ht="15" customHeight="1" s="35">
      <c r="A169" s="37" t="inlineStr">
        <is>
          <t>6802-05-06-NWO</t>
        </is>
      </c>
      <c r="B169" s="37" t="inlineStr">
        <is>
          <t>6802-5-6 NWO</t>
        </is>
      </c>
      <c r="C169" s="37" t="inlineStr">
        <is>
          <t>6802</t>
        </is>
      </c>
      <c r="D169" s="37" t="n">
        <v>158</v>
      </c>
      <c r="E169" s="37" t="inlineStr">
        <is>
          <t>45 deg</t>
        </is>
      </c>
      <c r="F169" s="37" t="inlineStr">
        <is>
          <t>45 deg Straight Thread Elbow, 1/2-20 x 9/16-18</t>
        </is>
      </c>
      <c r="G169" s="37" t="inlineStr">
        <is>
          <t>9/16-18</t>
        </is>
      </c>
      <c r="H169" s="37" t="inlineStr">
        <is>
          <t>1/2-20</t>
        </is>
      </c>
      <c r="I169" s="37" t="n"/>
      <c r="J169" s="37" t="inlineStr">
        <is>
          <t>SAE J1926-1</t>
        </is>
      </c>
      <c r="K169" s="37" t="inlineStr">
        <is>
          <t>SAE J514-1</t>
        </is>
      </c>
      <c r="L169" s="37" t="n">
        <v>0.85</v>
      </c>
      <c r="M169" s="37" t="n">
        <v>1.14</v>
      </c>
      <c r="N169" s="37" t="n">
        <v>0.6899999999999999</v>
      </c>
      <c r="O169" s="37" t="n">
        <v>0.63</v>
      </c>
      <c r="P169" s="37" t="n">
        <v>0.23</v>
      </c>
      <c r="Q169" s="37" t="n">
        <v>0.3</v>
      </c>
      <c r="R169" s="44" t="n">
        <v>0.63</v>
      </c>
      <c r="S169" s="44" t="n">
        <v>0.6899999999999999</v>
      </c>
      <c r="T169" s="37" t="n">
        <v>45</v>
      </c>
      <c r="U169" s="37" t="inlineStr">
        <is>
          <t>ASSUMED</t>
        </is>
      </c>
      <c r="V169" s="37" t="inlineStr">
        <is>
          <t>MS51528 covers matched-dash sizes only; Air-Way remains single source.</t>
        </is>
      </c>
      <c r="W169" s="37" t="inlineStr">
        <is>
          <t>BUILD</t>
        </is>
      </c>
      <c r="X169" s="37" t="inlineStr">
        <is>
          <t>Hex = Air-Way C4 column (per-part). Matched sizes in this topology corroborate the column.</t>
        </is>
      </c>
      <c r="Z169" s="45" t="inlineStr">
        <is>
          <t>Carbon Steel</t>
        </is>
      </c>
      <c r="AA169" s="45" t="inlineStr">
        <is>
          <t>ASTM A108 12L14</t>
        </is>
      </c>
      <c r="AB169" s="45" t="inlineStr">
        <is>
          <t>Trivalent Cr3 Zinc</t>
        </is>
      </c>
      <c r="AC169" s="45" t="inlineStr">
        <is>
          <t>ASTM B633 Type V/VI</t>
        </is>
      </c>
      <c r="AD169" s="46" t="n">
        <v>5000</v>
      </c>
      <c r="AE169" s="46" t="inlineStr">
        <is>
          <t>generic SAE table @ dash -6 (governing end)</t>
        </is>
      </c>
      <c r="AF169" s="46" t="n">
        <v>-65</v>
      </c>
      <c r="AG169" s="46" t="n">
        <v>400</v>
      </c>
      <c r="AH169" s="37" t="inlineStr">
        <is>
          <t>Ham-Let + hoseandfittings (pressure); Parker Cat.4300 (material); ASTM B633 (finish); see StandardsData</t>
        </is>
      </c>
    </row>
    <row r="170" ht="15" customHeight="1" s="35">
      <c r="A170" s="37" t="inlineStr">
        <is>
          <t>6802-06-04-NWO</t>
        </is>
      </c>
      <c r="B170" s="37" t="inlineStr">
        <is>
          <t>6802-6-4 NWO</t>
        </is>
      </c>
      <c r="C170" s="37" t="inlineStr">
        <is>
          <t>6802</t>
        </is>
      </c>
      <c r="D170" s="37" t="n">
        <v>158</v>
      </c>
      <c r="E170" s="37" t="inlineStr">
        <is>
          <t>45 deg</t>
        </is>
      </c>
      <c r="F170" s="37" t="inlineStr">
        <is>
          <t>45 deg Straight Thread Elbow, 9/16-18 x 7/16-20</t>
        </is>
      </c>
      <c r="G170" s="37" t="inlineStr">
        <is>
          <t>7/16-20</t>
        </is>
      </c>
      <c r="H170" s="37" t="inlineStr">
        <is>
          <t>9/16-18</t>
        </is>
      </c>
      <c r="I170" s="37" t="n"/>
      <c r="J170" s="37" t="inlineStr">
        <is>
          <t>SAE J1926-1</t>
        </is>
      </c>
      <c r="K170" s="37" t="inlineStr">
        <is>
          <t>SAE J514-1</t>
        </is>
      </c>
      <c r="L170" s="37" t="n">
        <v>0.83</v>
      </c>
      <c r="M170" s="37" t="n">
        <v>1.01</v>
      </c>
      <c r="N170" s="37" t="n">
        <v>0.5600000000000001</v>
      </c>
      <c r="O170" s="37" t="n">
        <v>0.63</v>
      </c>
      <c r="P170" s="37" t="n">
        <v>0.3</v>
      </c>
      <c r="Q170" s="37" t="n">
        <v>0.17</v>
      </c>
      <c r="R170" s="44" t="n">
        <v>0.63</v>
      </c>
      <c r="S170" s="44" t="n">
        <v>0.5600000000000001</v>
      </c>
      <c r="T170" s="37" t="n">
        <v>45</v>
      </c>
      <c r="U170" s="37" t="inlineStr">
        <is>
          <t>ASSUMED</t>
        </is>
      </c>
      <c r="V170" s="37" t="inlineStr">
        <is>
          <t>MS51528 covers matched-dash sizes only; Air-Way remains single source.</t>
        </is>
      </c>
      <c r="W170" s="37" t="inlineStr">
        <is>
          <t>BUILD</t>
        </is>
      </c>
      <c r="X170" s="37" t="inlineStr">
        <is>
          <t>Hex = Air-Way C4 column (per-part). Matched sizes in this topology corroborate the column.</t>
        </is>
      </c>
      <c r="Z170" s="45" t="inlineStr">
        <is>
          <t>Carbon Steel</t>
        </is>
      </c>
      <c r="AA170" s="45" t="inlineStr">
        <is>
          <t>ASTM A108 12L14</t>
        </is>
      </c>
      <c r="AB170" s="45" t="inlineStr">
        <is>
          <t>Trivalent Cr3 Zinc</t>
        </is>
      </c>
      <c r="AC170" s="45" t="inlineStr">
        <is>
          <t>ASTM B633 Type V/VI</t>
        </is>
      </c>
      <c r="AD170" s="46" t="n">
        <v>5000</v>
      </c>
      <c r="AE170" s="46" t="inlineStr">
        <is>
          <t>generic SAE table @ dash -6 (governing end)</t>
        </is>
      </c>
      <c r="AF170" s="46" t="n">
        <v>-65</v>
      </c>
      <c r="AG170" s="46" t="n">
        <v>400</v>
      </c>
      <c r="AH170" s="37" t="inlineStr">
        <is>
          <t>Ham-Let + hoseandfittings (pressure); Parker Cat.4300 (material); ASTM B633 (finish); see StandardsData</t>
        </is>
      </c>
    </row>
    <row r="171" ht="15" customHeight="1" s="35">
      <c r="A171" s="37" t="inlineStr">
        <is>
          <t>6802-06-04-NWO-FG</t>
        </is>
      </c>
      <c r="B171" s="37" t="inlineStr">
        <is>
          <t>6802-6-4 NWO-FG</t>
        </is>
      </c>
      <c r="C171" s="37" t="inlineStr">
        <is>
          <t>6802</t>
        </is>
      </c>
      <c r="D171" s="37" t="n">
        <v>158</v>
      </c>
      <c r="E171" s="37" t="inlineStr">
        <is>
          <t>45 deg</t>
        </is>
      </c>
      <c r="F171" s="37" t="inlineStr">
        <is>
          <t>45 deg Straight Thread Elbow, 9/16-18 x 7/16-20</t>
        </is>
      </c>
      <c r="G171" s="37" t="inlineStr">
        <is>
          <t>7/16-20</t>
        </is>
      </c>
      <c r="H171" s="37" t="inlineStr">
        <is>
          <t>9/16-18</t>
        </is>
      </c>
      <c r="I171" s="37" t="n"/>
      <c r="J171" s="37" t="inlineStr">
        <is>
          <t>SAE J1926-1</t>
        </is>
      </c>
      <c r="K171" s="37" t="inlineStr">
        <is>
          <t>SAE J514-1</t>
        </is>
      </c>
      <c r="L171" s="37" t="n">
        <v>0.83</v>
      </c>
      <c r="M171" s="37" t="n">
        <v>1.08</v>
      </c>
      <c r="N171" s="37" t="n">
        <v>0.5600000000000001</v>
      </c>
      <c r="O171" s="37" t="n">
        <v>0.5600000000000001</v>
      </c>
      <c r="P171" s="37" t="n">
        <v>0.3</v>
      </c>
      <c r="Q171" s="37" t="n">
        <v>0.17</v>
      </c>
      <c r="R171" s="44" t="n">
        <v>0.5600000000000001</v>
      </c>
      <c r="S171" s="44" t="n">
        <v>0.5600000000000001</v>
      </c>
      <c r="T171" s="37" t="n">
        <v>45</v>
      </c>
      <c r="U171" s="37" t="inlineStr">
        <is>
          <t>ASSUMED</t>
        </is>
      </c>
      <c r="V171" s="37" t="inlineStr">
        <is>
          <t>MS51528 covers matched-dash sizes only; Air-Way remains single source.</t>
        </is>
      </c>
      <c r="W171" s="37" t="inlineStr">
        <is>
          <t>BUILD</t>
        </is>
      </c>
      <c r="X171" s="37" t="inlineStr">
        <is>
          <t>Hex = Air-Way C4 column (per-part). Matched sizes in this topology corroborate the column.</t>
        </is>
      </c>
      <c r="Z171" s="45" t="inlineStr">
        <is>
          <t>Carbon Steel</t>
        </is>
      </c>
      <c r="AA171" s="45" t="inlineStr">
        <is>
          <t>ASTM A108 12L14</t>
        </is>
      </c>
      <c r="AB171" s="45" t="inlineStr">
        <is>
          <t>Trivalent Cr3 Zinc</t>
        </is>
      </c>
      <c r="AC171" s="45" t="inlineStr">
        <is>
          <t>ASTM B633 Type V/VI</t>
        </is>
      </c>
      <c r="AD171" s="46" t="n">
        <v>5000</v>
      </c>
      <c r="AE171" s="46" t="inlineStr">
        <is>
          <t>generic SAE table @ dash -6 (governing end)</t>
        </is>
      </c>
      <c r="AF171" s="46" t="n">
        <v>-65</v>
      </c>
      <c r="AG171" s="46" t="n">
        <v>400</v>
      </c>
      <c r="AH171" s="37" t="inlineStr">
        <is>
          <t>Ham-Let + hoseandfittings (pressure); Parker Cat.4300 (material); ASTM B633 (finish); see StandardsData</t>
        </is>
      </c>
    </row>
    <row r="172" ht="15" customHeight="1" s="35">
      <c r="A172" s="37" t="inlineStr">
        <is>
          <t>6802-06-06-NWO-FG</t>
        </is>
      </c>
      <c r="B172" s="37" t="inlineStr">
        <is>
          <t>6802-6-6 NWO-FG</t>
        </is>
      </c>
      <c r="C172" s="37" t="inlineStr">
        <is>
          <t>6802</t>
        </is>
      </c>
      <c r="D172" s="37" t="n">
        <v>158</v>
      </c>
      <c r="E172" s="37" t="inlineStr">
        <is>
          <t>45 deg</t>
        </is>
      </c>
      <c r="F172" s="37" t="inlineStr">
        <is>
          <t>45 deg Straight Thread Elbow, 9/16-18 x 9/16-18</t>
        </is>
      </c>
      <c r="G172" s="37" t="inlineStr">
        <is>
          <t>9/16-18</t>
        </is>
      </c>
      <c r="H172" s="37" t="inlineStr">
        <is>
          <t>9/16-18</t>
        </is>
      </c>
      <c r="I172" s="37" t="n"/>
      <c r="J172" s="37" t="inlineStr">
        <is>
          <t>SAE J1926-1</t>
        </is>
      </c>
      <c r="K172" s="37" t="inlineStr">
        <is>
          <t>SAE J514-1</t>
        </is>
      </c>
      <c r="L172" s="37" t="n">
        <v>0.83</v>
      </c>
      <c r="M172" s="37" t="n">
        <v>1.14</v>
      </c>
      <c r="N172" s="37" t="n">
        <v>0.6899999999999999</v>
      </c>
      <c r="O172" s="37" t="n">
        <v>0.5600000000000001</v>
      </c>
      <c r="P172" s="37" t="n">
        <v>0.3</v>
      </c>
      <c r="Q172" s="37" t="n">
        <v>0.3</v>
      </c>
      <c r="R172" s="45" t="n">
        <v>0.5600000000000001</v>
      </c>
      <c r="S172" s="45" t="n">
        <v>0.6899999999999999</v>
      </c>
      <c r="T172" s="37" t="n">
        <v>45</v>
      </c>
      <c r="U172" s="37" t="inlineStr">
        <is>
          <t>VERIFIED</t>
        </is>
      </c>
      <c r="V172" s="37" t="inlineStr">
        <is>
          <t>MS51528 cross-check 2026-09-04: threads, both legs, both bores AGREE.</t>
        </is>
      </c>
      <c r="W172" s="37" t="inlineStr">
        <is>
          <t>BUILD</t>
        </is>
      </c>
      <c r="X172" s="37" t="inlineStr">
        <is>
          <t>Hex = Air-Way C4 column, CONFIRMED vs PressureConnections/Purvis.</t>
        </is>
      </c>
      <c r="Z172" s="45" t="inlineStr">
        <is>
          <t>Carbon Steel</t>
        </is>
      </c>
      <c r="AA172" s="45" t="inlineStr">
        <is>
          <t>ASTM A108 12L14</t>
        </is>
      </c>
      <c r="AB172" s="45" t="inlineStr">
        <is>
          <t>Trivalent Cr3 Zinc</t>
        </is>
      </c>
      <c r="AC172" s="45" t="inlineStr">
        <is>
          <t>ASTM B633 Type V/VI</t>
        </is>
      </c>
      <c r="AD172" s="46" t="n">
        <v>5000</v>
      </c>
      <c r="AE172" s="46" t="inlineStr">
        <is>
          <t>generic SAE table @ dash -6 (governing end)</t>
        </is>
      </c>
      <c r="AF172" s="46" t="n">
        <v>-65</v>
      </c>
      <c r="AG172" s="46" t="n">
        <v>400</v>
      </c>
      <c r="AH172" s="37" t="inlineStr">
        <is>
          <t>Ham-Let + hoseandfittings (pressure); Parker Cat.4300 (material); ASTM B633 (finish); see StandardsData</t>
        </is>
      </c>
    </row>
    <row r="173" ht="15" customHeight="1" s="35">
      <c r="A173" s="37" t="inlineStr">
        <is>
          <t>6802-06-06-NWO</t>
        </is>
      </c>
      <c r="B173" s="37" t="inlineStr">
        <is>
          <t>6802-6-6 NWO</t>
        </is>
      </c>
      <c r="C173" s="37" t="inlineStr">
        <is>
          <t>6802</t>
        </is>
      </c>
      <c r="D173" s="37" t="n">
        <v>158</v>
      </c>
      <c r="E173" s="37" t="inlineStr">
        <is>
          <t>45 deg</t>
        </is>
      </c>
      <c r="F173" s="37" t="inlineStr">
        <is>
          <t>45 deg Straight Thread Elbow, 9/16-18 x 9/16-18</t>
        </is>
      </c>
      <c r="G173" s="37" t="inlineStr">
        <is>
          <t>9/16-18</t>
        </is>
      </c>
      <c r="H173" s="37" t="inlineStr">
        <is>
          <t>9/16-18</t>
        </is>
      </c>
      <c r="I173" s="37" t="n"/>
      <c r="J173" s="37" t="inlineStr">
        <is>
          <t>SAE J1926-1</t>
        </is>
      </c>
      <c r="K173" s="37" t="inlineStr">
        <is>
          <t>SAE J514-1</t>
        </is>
      </c>
      <c r="L173" s="37" t="n">
        <v>0.83</v>
      </c>
      <c r="M173" s="37" t="n">
        <v>1.14</v>
      </c>
      <c r="N173" s="37" t="n">
        <v>0.6899999999999999</v>
      </c>
      <c r="O173" s="37" t="n">
        <v>0.63</v>
      </c>
      <c r="P173" s="37" t="n">
        <v>0.3</v>
      </c>
      <c r="Q173" s="37" t="n">
        <v>0.3</v>
      </c>
      <c r="R173" s="45" t="n">
        <v>0.63</v>
      </c>
      <c r="S173" s="45" t="n">
        <v>0.6899999999999999</v>
      </c>
      <c r="T173" s="37" t="n">
        <v>45</v>
      </c>
      <c r="U173" s="37" t="inlineStr">
        <is>
          <t>VERIFIED</t>
        </is>
      </c>
      <c r="V173" s="37" t="inlineStr">
        <is>
          <t>MS51528 cross-check 2026-09-04: threads, both legs, both bores AGREE.</t>
        </is>
      </c>
      <c r="W173" s="37" t="inlineStr">
        <is>
          <t>BUILD</t>
        </is>
      </c>
      <c r="X173" s="37" t="inlineStr">
        <is>
          <t>Hex = Air-Way C4 column, CONFIRMED vs PressureConnections/Purvis.</t>
        </is>
      </c>
      <c r="Z173" s="45" t="inlineStr">
        <is>
          <t>Carbon Steel</t>
        </is>
      </c>
      <c r="AA173" s="45" t="inlineStr">
        <is>
          <t>ASTM A108 12L14</t>
        </is>
      </c>
      <c r="AB173" s="45" t="inlineStr">
        <is>
          <t>Trivalent Cr3 Zinc</t>
        </is>
      </c>
      <c r="AC173" s="45" t="inlineStr">
        <is>
          <t>ASTM B633 Type V/VI</t>
        </is>
      </c>
      <c r="AD173" s="46" t="n">
        <v>5000</v>
      </c>
      <c r="AE173" s="46" t="inlineStr">
        <is>
          <t>generic SAE table @ dash -6 (governing end)</t>
        </is>
      </c>
      <c r="AF173" s="46" t="n">
        <v>-65</v>
      </c>
      <c r="AG173" s="46" t="n">
        <v>400</v>
      </c>
      <c r="AH173" s="37" t="inlineStr">
        <is>
          <t>Ham-Let + hoseandfittings (pressure); Parker Cat.4300 (material); ASTM B633 (finish); see StandardsData</t>
        </is>
      </c>
    </row>
    <row r="174" ht="15" customHeight="1" s="35">
      <c r="A174" s="37" t="inlineStr">
        <is>
          <t>6802-06-08-NWO-FG</t>
        </is>
      </c>
      <c r="B174" s="37" t="inlineStr">
        <is>
          <t>6802-6-8 NWO-FG</t>
        </is>
      </c>
      <c r="C174" s="37" t="inlineStr">
        <is>
          <t>6802</t>
        </is>
      </c>
      <c r="D174" s="37" t="n">
        <v>158</v>
      </c>
      <c r="E174" s="37" t="inlineStr">
        <is>
          <t>45 deg</t>
        </is>
      </c>
      <c r="F174" s="37" t="inlineStr">
        <is>
          <t>45 deg Straight Thread Elbow, 9/16-18 x 3/4-16</t>
        </is>
      </c>
      <c r="G174" s="37" t="inlineStr">
        <is>
          <t>3/4-16</t>
        </is>
      </c>
      <c r="H174" s="37" t="inlineStr">
        <is>
          <t>9/16-18</t>
        </is>
      </c>
      <c r="I174" s="37" t="n"/>
      <c r="J174" s="37" t="inlineStr">
        <is>
          <t>SAE J1926-1</t>
        </is>
      </c>
      <c r="K174" s="37" t="inlineStr">
        <is>
          <t>SAE J514-1</t>
        </is>
      </c>
      <c r="L174" s="37" t="n">
        <v>0.87</v>
      </c>
      <c r="M174" s="37" t="n">
        <v>1.3</v>
      </c>
      <c r="N174" s="37" t="n">
        <v>0.88</v>
      </c>
      <c r="O174" s="37" t="n">
        <v>0.75</v>
      </c>
      <c r="P174" s="37" t="n">
        <v>0.3</v>
      </c>
      <c r="Q174" s="37" t="n">
        <v>0.39</v>
      </c>
      <c r="R174" s="44" t="n">
        <v>0.75</v>
      </c>
      <c r="S174" s="44" t="n">
        <v>0.88</v>
      </c>
      <c r="T174" s="37" t="n">
        <v>45</v>
      </c>
      <c r="U174" s="37" t="inlineStr">
        <is>
          <t>ASSUMED</t>
        </is>
      </c>
      <c r="V174" s="37" t="inlineStr">
        <is>
          <t>MS51528 covers matched-dash sizes only; Air-Way remains single source.</t>
        </is>
      </c>
      <c r="W174" s="37" t="inlineStr">
        <is>
          <t>BUILD</t>
        </is>
      </c>
      <c r="X174" s="37" t="inlineStr">
        <is>
          <t>Hex = Air-Way C4 column (per-part). Matched sizes in this topology corroborate the column.</t>
        </is>
      </c>
      <c r="Z174" s="45" t="inlineStr">
        <is>
          <t>Carbon Steel</t>
        </is>
      </c>
      <c r="AA174" s="45" t="inlineStr">
        <is>
          <t>ASTM A108 12L14</t>
        </is>
      </c>
      <c r="AB174" s="45" t="inlineStr">
        <is>
          <t>Trivalent Cr3 Zinc</t>
        </is>
      </c>
      <c r="AC174" s="45" t="inlineStr">
        <is>
          <t>ASTM B633 Type V/VI</t>
        </is>
      </c>
      <c r="AD174" s="46" t="n">
        <v>4500</v>
      </c>
      <c r="AE174" s="46" t="inlineStr">
        <is>
          <t>generic SAE table @ dash -8 (governing end)</t>
        </is>
      </c>
      <c r="AF174" s="46" t="n">
        <v>-65</v>
      </c>
      <c r="AG174" s="46" t="n">
        <v>400</v>
      </c>
      <c r="AH174" s="37" t="inlineStr">
        <is>
          <t>Ham-Let + hoseandfittings (pressure); Parker Cat.4300 (material); ASTM B633 (finish); see StandardsData</t>
        </is>
      </c>
    </row>
    <row r="175" ht="15" customHeight="1" s="35">
      <c r="A175" s="37" t="inlineStr">
        <is>
          <t>6802-06-08-NWO</t>
        </is>
      </c>
      <c r="B175" s="37" t="inlineStr">
        <is>
          <t>6802-6-8 NWO</t>
        </is>
      </c>
      <c r="C175" s="37" t="inlineStr">
        <is>
          <t>6802</t>
        </is>
      </c>
      <c r="D175" s="37" t="n">
        <v>158</v>
      </c>
      <c r="E175" s="37" t="inlineStr">
        <is>
          <t>45 deg</t>
        </is>
      </c>
      <c r="F175" s="37" t="inlineStr">
        <is>
          <t>45 deg Straight Thread Elbow, 9/16-18 x 3/4-16</t>
        </is>
      </c>
      <c r="G175" s="37" t="inlineStr">
        <is>
          <t>3/4-16</t>
        </is>
      </c>
      <c r="H175" s="37" t="inlineStr">
        <is>
          <t>9/16-18</t>
        </is>
      </c>
      <c r="I175" s="37" t="n"/>
      <c r="J175" s="37" t="inlineStr">
        <is>
          <t>SAE J1926-1</t>
        </is>
      </c>
      <c r="K175" s="37" t="inlineStr">
        <is>
          <t>SAE J514-1</t>
        </is>
      </c>
      <c r="L175" s="37" t="n">
        <v>0.88</v>
      </c>
      <c r="M175" s="37" t="n">
        <v>1.3</v>
      </c>
      <c r="N175" s="37" t="n">
        <v>0.88</v>
      </c>
      <c r="O175" s="37" t="n">
        <v>0.8100000000000001</v>
      </c>
      <c r="P175" s="37" t="n">
        <v>0.3</v>
      </c>
      <c r="Q175" s="37" t="n">
        <v>0.39</v>
      </c>
      <c r="R175" s="44" t="n">
        <v>0.8100000000000001</v>
      </c>
      <c r="S175" s="44" t="n">
        <v>0.88</v>
      </c>
      <c r="T175" s="37" t="n">
        <v>45</v>
      </c>
      <c r="U175" s="37" t="inlineStr">
        <is>
          <t>ASSUMED</t>
        </is>
      </c>
      <c r="V175" s="37" t="inlineStr">
        <is>
          <t>MS51528 covers matched-dash sizes only; Air-Way remains single source.</t>
        </is>
      </c>
      <c r="W175" s="37" t="inlineStr">
        <is>
          <t>BUILD</t>
        </is>
      </c>
      <c r="X175" s="37" t="inlineStr">
        <is>
          <t>Hex = Air-Way C4 column (per-part). Matched sizes in this topology corroborate the column.</t>
        </is>
      </c>
      <c r="Z175" s="45" t="inlineStr">
        <is>
          <t>Carbon Steel</t>
        </is>
      </c>
      <c r="AA175" s="45" t="inlineStr">
        <is>
          <t>ASTM A108 12L14</t>
        </is>
      </c>
      <c r="AB175" s="45" t="inlineStr">
        <is>
          <t>Trivalent Cr3 Zinc</t>
        </is>
      </c>
      <c r="AC175" s="45" t="inlineStr">
        <is>
          <t>ASTM B633 Type V/VI</t>
        </is>
      </c>
      <c r="AD175" s="46" t="n">
        <v>4500</v>
      </c>
      <c r="AE175" s="46" t="inlineStr">
        <is>
          <t>generic SAE table @ dash -8 (governing end)</t>
        </is>
      </c>
      <c r="AF175" s="46" t="n">
        <v>-65</v>
      </c>
      <c r="AG175" s="46" t="n">
        <v>400</v>
      </c>
      <c r="AH175" s="37" t="inlineStr">
        <is>
          <t>Ham-Let + hoseandfittings (pressure); Parker Cat.4300 (material); ASTM B633 (finish); see StandardsData</t>
        </is>
      </c>
    </row>
    <row r="176" ht="15" customHeight="1" s="35">
      <c r="A176" s="37" t="inlineStr">
        <is>
          <t>6802-06-10-NWO</t>
        </is>
      </c>
      <c r="B176" s="37" t="inlineStr">
        <is>
          <t>6802-6-10 NWO</t>
        </is>
      </c>
      <c r="C176" s="37" t="inlineStr">
        <is>
          <t>6802</t>
        </is>
      </c>
      <c r="D176" s="37" t="n">
        <v>158</v>
      </c>
      <c r="E176" s="37" t="inlineStr">
        <is>
          <t>45 deg</t>
        </is>
      </c>
      <c r="F176" s="37" t="inlineStr">
        <is>
          <t>45 deg Straight Thread Elbow, 9/16-18 x 7/8-14</t>
        </is>
      </c>
      <c r="G176" s="37" t="inlineStr">
        <is>
          <t>7/8-14</t>
        </is>
      </c>
      <c r="H176" s="37" t="inlineStr">
        <is>
          <t>9/16-18</t>
        </is>
      </c>
      <c r="I176" s="37" t="n"/>
      <c r="J176" s="37" t="inlineStr">
        <is>
          <t>SAE J1926-1</t>
        </is>
      </c>
      <c r="K176" s="37" t="inlineStr">
        <is>
          <t>SAE J514-1</t>
        </is>
      </c>
      <c r="L176" s="37" t="n">
        <v>0.91</v>
      </c>
      <c r="M176" s="37" t="n">
        <v>1.52</v>
      </c>
      <c r="N176" s="37" t="n">
        <v>1</v>
      </c>
      <c r="O176" s="37" t="n">
        <v>0.9399999999999999</v>
      </c>
      <c r="P176" s="37" t="n">
        <v>0.3</v>
      </c>
      <c r="Q176" s="37" t="n">
        <v>0.48</v>
      </c>
      <c r="R176" s="44" t="n">
        <v>0.9399999999999999</v>
      </c>
      <c r="S176" s="44" t="n">
        <v>1</v>
      </c>
      <c r="T176" s="37" t="n">
        <v>45</v>
      </c>
      <c r="U176" s="37" t="inlineStr">
        <is>
          <t>ASSUMED</t>
        </is>
      </c>
      <c r="V176" s="37" t="inlineStr">
        <is>
          <t>MS51528 covers matched-dash sizes only; Air-Way remains single source.</t>
        </is>
      </c>
      <c r="W176" s="37" t="inlineStr">
        <is>
          <t>BUILD</t>
        </is>
      </c>
      <c r="X176" s="37" t="inlineStr">
        <is>
          <t>Hex = Air-Way C4 column (per-part). Matched sizes in this topology corroborate the column.</t>
        </is>
      </c>
      <c r="Z176" s="45" t="inlineStr">
        <is>
          <t>Carbon Steel</t>
        </is>
      </c>
      <c r="AA176" s="45" t="inlineStr">
        <is>
          <t>ASTM A108 12L14</t>
        </is>
      </c>
      <c r="AB176" s="45" t="inlineStr">
        <is>
          <t>Trivalent Cr3 Zinc</t>
        </is>
      </c>
      <c r="AC176" s="45" t="inlineStr">
        <is>
          <t>ASTM B633 Type V/VI</t>
        </is>
      </c>
      <c r="AD176" s="46" t="n">
        <v>3500</v>
      </c>
      <c r="AE176" s="46" t="inlineStr">
        <is>
          <t>generic SAE table @ dash -10 (governing end)</t>
        </is>
      </c>
      <c r="AF176" s="46" t="n">
        <v>-65</v>
      </c>
      <c r="AG176" s="46" t="n">
        <v>400</v>
      </c>
      <c r="AH176" s="37" t="inlineStr">
        <is>
          <t>Ham-Let + hoseandfittings (pressure); Parker Cat.4300 (material); ASTM B633 (finish); see StandardsData</t>
        </is>
      </c>
    </row>
    <row r="177" ht="15" customHeight="1" s="35">
      <c r="A177" s="37" t="inlineStr">
        <is>
          <t>6802-06-12-NWO</t>
        </is>
      </c>
      <c r="B177" s="37" t="inlineStr">
        <is>
          <t>6802-6-12 NWO</t>
        </is>
      </c>
      <c r="C177" s="37" t="inlineStr">
        <is>
          <t>6802</t>
        </is>
      </c>
      <c r="D177" s="37" t="n">
        <v>158</v>
      </c>
      <c r="E177" s="37" t="inlineStr">
        <is>
          <t>45 deg</t>
        </is>
      </c>
      <c r="F177" s="37" t="inlineStr">
        <is>
          <t>45 deg Straight Thread Elbow, 9/16-18 x 1 1/16-12</t>
        </is>
      </c>
      <c r="G177" s="37" t="inlineStr">
        <is>
          <t>1 1/16-12</t>
        </is>
      </c>
      <c r="H177" s="37" t="inlineStr">
        <is>
          <t>9/16-18</t>
        </is>
      </c>
      <c r="I177" s="37" t="n"/>
      <c r="J177" s="37" t="inlineStr">
        <is>
          <t>SAE J1926-1</t>
        </is>
      </c>
      <c r="K177" s="37" t="inlineStr">
        <is>
          <t>SAE J514-1</t>
        </is>
      </c>
      <c r="L177" s="37" t="n">
        <v>0.93</v>
      </c>
      <c r="M177" s="37" t="n">
        <v>1.73</v>
      </c>
      <c r="N177" s="37" t="n">
        <v>1.25</v>
      </c>
      <c r="O177" s="37" t="n">
        <v>1.13</v>
      </c>
      <c r="P177" s="37" t="n">
        <v>0.3</v>
      </c>
      <c r="Q177" s="37" t="n">
        <v>0.61</v>
      </c>
      <c r="R177" s="44" t="n">
        <v>1.13</v>
      </c>
      <c r="S177" s="44" t="n">
        <v>1.25</v>
      </c>
      <c r="T177" s="37" t="n">
        <v>45</v>
      </c>
      <c r="U177" s="37" t="inlineStr">
        <is>
          <t>ASSUMED</t>
        </is>
      </c>
      <c r="V177" s="37" t="inlineStr">
        <is>
          <t>MS51528 covers matched-dash sizes only; Air-Way remains single source.</t>
        </is>
      </c>
      <c r="W177" s="37" t="inlineStr">
        <is>
          <t>BUILD</t>
        </is>
      </c>
      <c r="X177" s="37" t="inlineStr">
        <is>
          <t>Hex = Air-Way C4 column (per-part). Matched sizes in this topology corroborate the column.</t>
        </is>
      </c>
      <c r="Z177" s="45" t="inlineStr">
        <is>
          <t>Carbon Steel</t>
        </is>
      </c>
      <c r="AA177" s="45" t="inlineStr">
        <is>
          <t>ASTM A108 12L14</t>
        </is>
      </c>
      <c r="AB177" s="45" t="inlineStr">
        <is>
          <t>Trivalent Cr3 Zinc</t>
        </is>
      </c>
      <c r="AC177" s="45" t="inlineStr">
        <is>
          <t>ASTM B633 Type V/VI</t>
        </is>
      </c>
      <c r="AD177" s="46" t="n">
        <v>3500</v>
      </c>
      <c r="AE177" s="46" t="inlineStr">
        <is>
          <t>generic SAE table @ dash -12 (governing end)</t>
        </is>
      </c>
      <c r="AF177" s="46" t="n">
        <v>-65</v>
      </c>
      <c r="AG177" s="46" t="n">
        <v>400</v>
      </c>
      <c r="AH177" s="37" t="inlineStr">
        <is>
          <t>Ham-Let + hoseandfittings (pressure); Parker Cat.4300 (material); ASTM B633 (finish); see StandardsData</t>
        </is>
      </c>
    </row>
    <row r="178" ht="15" customHeight="1" s="35">
      <c r="A178" s="37" t="inlineStr">
        <is>
          <t>6802-08-04-NWO</t>
        </is>
      </c>
      <c r="B178" s="37" t="inlineStr">
        <is>
          <t>6802-8-4 NWO</t>
        </is>
      </c>
      <c r="C178" s="37" t="inlineStr">
        <is>
          <t>6802</t>
        </is>
      </c>
      <c r="D178" s="37" t="n">
        <v>158</v>
      </c>
      <c r="E178" s="37" t="inlineStr">
        <is>
          <t>45 deg</t>
        </is>
      </c>
      <c r="F178" s="37" t="inlineStr">
        <is>
          <t>45 deg Straight Thread Elbow, 3/4-16 x 7/16-20</t>
        </is>
      </c>
      <c r="G178" s="37" t="inlineStr">
        <is>
          <t>7/16-20</t>
        </is>
      </c>
      <c r="H178" s="37" t="inlineStr">
        <is>
          <t>3/4-16</t>
        </is>
      </c>
      <c r="I178" s="37" t="n"/>
      <c r="J178" s="37" t="inlineStr">
        <is>
          <t>SAE J1926-1</t>
        </is>
      </c>
      <c r="K178" s="37" t="inlineStr">
        <is>
          <t>SAE J514-1</t>
        </is>
      </c>
      <c r="L178" s="37" t="n">
        <v>0.98</v>
      </c>
      <c r="M178" s="37" t="n">
        <v>1.08</v>
      </c>
      <c r="N178" s="37" t="n">
        <v>0.5600000000000001</v>
      </c>
      <c r="O178" s="37" t="n">
        <v>0.8100000000000001</v>
      </c>
      <c r="P178" s="37" t="n">
        <v>0.39</v>
      </c>
      <c r="Q178" s="37" t="n">
        <v>0.17</v>
      </c>
      <c r="R178" s="44" t="n">
        <v>0.8100000000000001</v>
      </c>
      <c r="S178" s="44" t="n">
        <v>0.5600000000000001</v>
      </c>
      <c r="T178" s="37" t="n">
        <v>45</v>
      </c>
      <c r="U178" s="37" t="inlineStr">
        <is>
          <t>ASSUMED</t>
        </is>
      </c>
      <c r="V178" s="37" t="inlineStr">
        <is>
          <t>MS51528 covers matched-dash sizes only; Air-Way remains single source.</t>
        </is>
      </c>
      <c r="W178" s="37" t="inlineStr">
        <is>
          <t>BUILD</t>
        </is>
      </c>
      <c r="X178" s="37" t="inlineStr">
        <is>
          <t>Hex = Air-Way C4 column (per-part). Matched sizes in this topology corroborate the column.</t>
        </is>
      </c>
      <c r="Z178" s="45" t="inlineStr">
        <is>
          <t>Carbon Steel</t>
        </is>
      </c>
      <c r="AA178" s="45" t="inlineStr">
        <is>
          <t>ASTM A108 12L14</t>
        </is>
      </c>
      <c r="AB178" s="45" t="inlineStr">
        <is>
          <t>Trivalent Cr3 Zinc</t>
        </is>
      </c>
      <c r="AC178" s="45" t="inlineStr">
        <is>
          <t>ASTM B633 Type V/VI</t>
        </is>
      </c>
      <c r="AD178" s="46" t="n">
        <v>4500</v>
      </c>
      <c r="AE178" s="46" t="inlineStr">
        <is>
          <t>generic SAE table @ dash -8 (governing end)</t>
        </is>
      </c>
      <c r="AF178" s="46" t="n">
        <v>-65</v>
      </c>
      <c r="AG178" s="46" t="n">
        <v>400</v>
      </c>
      <c r="AH178" s="37" t="inlineStr">
        <is>
          <t>Ham-Let + hoseandfittings (pressure); Parker Cat.4300 (material); ASTM B633 (finish); see StandardsData</t>
        </is>
      </c>
    </row>
    <row r="179" ht="15" customHeight="1" s="35">
      <c r="A179" s="37" t="inlineStr">
        <is>
          <t>6802-08-06-NWO</t>
        </is>
      </c>
      <c r="B179" s="37" t="inlineStr">
        <is>
          <t>6802-8-6 NWO</t>
        </is>
      </c>
      <c r="C179" s="37" t="inlineStr">
        <is>
          <t>6802</t>
        </is>
      </c>
      <c r="D179" s="37" t="n">
        <v>158</v>
      </c>
      <c r="E179" s="37" t="inlineStr">
        <is>
          <t>45 deg</t>
        </is>
      </c>
      <c r="F179" s="37" t="inlineStr">
        <is>
          <t>45 deg Straight Thread Elbow, 3/4-16 x 9/16-18</t>
        </is>
      </c>
      <c r="G179" s="37" t="inlineStr">
        <is>
          <t>9/16-18</t>
        </is>
      </c>
      <c r="H179" s="37" t="inlineStr">
        <is>
          <t>3/4-16</t>
        </is>
      </c>
      <c r="I179" s="37" t="n"/>
      <c r="J179" s="37" t="inlineStr">
        <is>
          <t>SAE J1926-1</t>
        </is>
      </c>
      <c r="K179" s="37" t="inlineStr">
        <is>
          <t>SAE J514-1</t>
        </is>
      </c>
      <c r="L179" s="37" t="n">
        <v>0.98</v>
      </c>
      <c r="M179" s="37" t="n">
        <v>1.17</v>
      </c>
      <c r="N179" s="37" t="n">
        <v>0.6899999999999999</v>
      </c>
      <c r="O179" s="37" t="n">
        <v>0.8100000000000001</v>
      </c>
      <c r="P179" s="37" t="n">
        <v>0.39</v>
      </c>
      <c r="Q179" s="37" t="n">
        <v>0.3</v>
      </c>
      <c r="R179" s="44" t="n">
        <v>0.8100000000000001</v>
      </c>
      <c r="S179" s="44" t="n">
        <v>0.6899999999999999</v>
      </c>
      <c r="T179" s="37" t="n">
        <v>45</v>
      </c>
      <c r="U179" s="37" t="inlineStr">
        <is>
          <t>ASSUMED</t>
        </is>
      </c>
      <c r="V179" s="37" t="inlineStr">
        <is>
          <t>MS51528 covers matched-dash sizes only; Air-Way remains single source.</t>
        </is>
      </c>
      <c r="W179" s="37" t="inlineStr">
        <is>
          <t>BUILD</t>
        </is>
      </c>
      <c r="X179" s="37" t="inlineStr">
        <is>
          <t>Hex = Air-Way C4 column (per-part). Matched sizes in this topology corroborate the column.</t>
        </is>
      </c>
      <c r="Z179" s="45" t="inlineStr">
        <is>
          <t>Carbon Steel</t>
        </is>
      </c>
      <c r="AA179" s="45" t="inlineStr">
        <is>
          <t>ASTM A108 12L14</t>
        </is>
      </c>
      <c r="AB179" s="45" t="inlineStr">
        <is>
          <t>Trivalent Cr3 Zinc</t>
        </is>
      </c>
      <c r="AC179" s="45" t="inlineStr">
        <is>
          <t>ASTM B633 Type V/VI</t>
        </is>
      </c>
      <c r="AD179" s="46" t="n">
        <v>4500</v>
      </c>
      <c r="AE179" s="46" t="inlineStr">
        <is>
          <t>generic SAE table @ dash -8 (governing end)</t>
        </is>
      </c>
      <c r="AF179" s="46" t="n">
        <v>-65</v>
      </c>
      <c r="AG179" s="46" t="n">
        <v>400</v>
      </c>
      <c r="AH179" s="37" t="inlineStr">
        <is>
          <t>Ham-Let + hoseandfittings (pressure); Parker Cat.4300 (material); ASTM B633 (finish); see StandardsData</t>
        </is>
      </c>
    </row>
    <row r="180" ht="15" customHeight="1" s="35">
      <c r="A180" s="37" t="inlineStr">
        <is>
          <t>6802-08-06-NWO-FG</t>
        </is>
      </c>
      <c r="B180" s="37" t="inlineStr">
        <is>
          <t>6802-8-6 NWO-FG</t>
        </is>
      </c>
      <c r="C180" s="37" t="inlineStr">
        <is>
          <t>6802</t>
        </is>
      </c>
      <c r="D180" s="37" t="n">
        <v>158</v>
      </c>
      <c r="E180" s="37" t="inlineStr">
        <is>
          <t>45 deg</t>
        </is>
      </c>
      <c r="F180" s="37" t="inlineStr">
        <is>
          <t>45 deg Straight Thread Elbow, 3/4-16 x 9/16-18</t>
        </is>
      </c>
      <c r="G180" s="37" t="inlineStr">
        <is>
          <t>9/16-18</t>
        </is>
      </c>
      <c r="H180" s="37" t="inlineStr">
        <is>
          <t>3/4-16</t>
        </is>
      </c>
      <c r="I180" s="37" t="n"/>
      <c r="J180" s="37" t="inlineStr">
        <is>
          <t>SAE J1926-1</t>
        </is>
      </c>
      <c r="K180" s="37" t="inlineStr">
        <is>
          <t>SAE J514-1</t>
        </is>
      </c>
      <c r="L180" s="37" t="n">
        <v>0.98</v>
      </c>
      <c r="M180" s="37" t="n">
        <v>1.2</v>
      </c>
      <c r="N180" s="37" t="n">
        <v>0.6899999999999999</v>
      </c>
      <c r="O180" s="37" t="n">
        <v>0.75</v>
      </c>
      <c r="P180" s="37" t="n">
        <v>0.39</v>
      </c>
      <c r="Q180" s="37" t="n">
        <v>0.3</v>
      </c>
      <c r="R180" s="44" t="n">
        <v>0.75</v>
      </c>
      <c r="S180" s="44" t="n">
        <v>0.6899999999999999</v>
      </c>
      <c r="T180" s="37" t="n">
        <v>45</v>
      </c>
      <c r="U180" s="37" t="inlineStr">
        <is>
          <t>ASSUMED</t>
        </is>
      </c>
      <c r="V180" s="37" t="inlineStr">
        <is>
          <t>MS51528 covers matched-dash sizes only; Air-Way remains single source.</t>
        </is>
      </c>
      <c r="W180" s="37" t="inlineStr">
        <is>
          <t>BUILD</t>
        </is>
      </c>
      <c r="X180" s="37" t="inlineStr">
        <is>
          <t>Hex = Air-Way C4 column (per-part). Matched sizes in this topology corroborate the column.</t>
        </is>
      </c>
      <c r="Z180" s="45" t="inlineStr">
        <is>
          <t>Carbon Steel</t>
        </is>
      </c>
      <c r="AA180" s="45" t="inlineStr">
        <is>
          <t>ASTM A108 12L14</t>
        </is>
      </c>
      <c r="AB180" s="45" t="inlineStr">
        <is>
          <t>Trivalent Cr3 Zinc</t>
        </is>
      </c>
      <c r="AC180" s="45" t="inlineStr">
        <is>
          <t>ASTM B633 Type V/VI</t>
        </is>
      </c>
      <c r="AD180" s="46" t="n">
        <v>4500</v>
      </c>
      <c r="AE180" s="46" t="inlineStr">
        <is>
          <t>generic SAE table @ dash -8 (governing end)</t>
        </is>
      </c>
      <c r="AF180" s="46" t="n">
        <v>-65</v>
      </c>
      <c r="AG180" s="46" t="n">
        <v>400</v>
      </c>
      <c r="AH180" s="37" t="inlineStr">
        <is>
          <t>Ham-Let + hoseandfittings (pressure); Parker Cat.4300 (material); ASTM B633 (finish); see StandardsData</t>
        </is>
      </c>
    </row>
    <row r="181" ht="15" customHeight="1" s="35">
      <c r="A181" s="37" t="inlineStr">
        <is>
          <t>6802-08-08-NWO-FG</t>
        </is>
      </c>
      <c r="B181" s="37" t="inlineStr">
        <is>
          <t>6802-8-8 NWO-FG</t>
        </is>
      </c>
      <c r="C181" s="37" t="inlineStr">
        <is>
          <t>6802</t>
        </is>
      </c>
      <c r="D181" s="37" t="n">
        <v>158</v>
      </c>
      <c r="E181" s="37" t="inlineStr">
        <is>
          <t>45 deg</t>
        </is>
      </c>
      <c r="F181" s="37" t="inlineStr">
        <is>
          <t>45 deg Straight Thread Elbow, 3/4-16 x 3/4-16</t>
        </is>
      </c>
      <c r="G181" s="37" t="inlineStr">
        <is>
          <t>3/4-16</t>
        </is>
      </c>
      <c r="H181" s="37" t="inlineStr">
        <is>
          <t>3/4-16</t>
        </is>
      </c>
      <c r="I181" s="37" t="n"/>
      <c r="J181" s="37" t="inlineStr">
        <is>
          <t>SAE J1926-1</t>
        </is>
      </c>
      <c r="K181" s="37" t="inlineStr">
        <is>
          <t>SAE J514-1</t>
        </is>
      </c>
      <c r="L181" s="37" t="n">
        <v>0.98</v>
      </c>
      <c r="M181" s="37" t="n">
        <v>1.3</v>
      </c>
      <c r="N181" s="37" t="n">
        <v>0.88</v>
      </c>
      <c r="O181" s="37" t="n">
        <v>0.75</v>
      </c>
      <c r="P181" s="37" t="n">
        <v>0.39</v>
      </c>
      <c r="Q181" s="37" t="n">
        <v>0.39</v>
      </c>
      <c r="R181" s="45" t="n">
        <v>0.75</v>
      </c>
      <c r="S181" s="45" t="n">
        <v>0.88</v>
      </c>
      <c r="T181" s="37" t="n">
        <v>45</v>
      </c>
      <c r="U181" s="37" t="inlineStr">
        <is>
          <t>VERIFIED</t>
        </is>
      </c>
      <c r="V181" s="37" t="inlineStr">
        <is>
          <t>MS51528 cross-check 2026-09-04: threads, both legs, both bores AGREE.</t>
        </is>
      </c>
      <c r="W181" s="37" t="inlineStr">
        <is>
          <t>BUILD</t>
        </is>
      </c>
      <c r="X181" s="37" t="inlineStr">
        <is>
          <t>Hex = Air-Way C4 column, CONFIRMED vs PressureConnections/Purvis.</t>
        </is>
      </c>
      <c r="Z181" s="45" t="inlineStr">
        <is>
          <t>Carbon Steel</t>
        </is>
      </c>
      <c r="AA181" s="45" t="inlineStr">
        <is>
          <t>ASTM A108 12L14</t>
        </is>
      </c>
      <c r="AB181" s="45" t="inlineStr">
        <is>
          <t>Trivalent Cr3 Zinc</t>
        </is>
      </c>
      <c r="AC181" s="45" t="inlineStr">
        <is>
          <t>ASTM B633 Type V/VI</t>
        </is>
      </c>
      <c r="AD181" s="46" t="n">
        <v>4500</v>
      </c>
      <c r="AE181" s="46" t="inlineStr">
        <is>
          <t>generic SAE table @ dash -8 (governing end)</t>
        </is>
      </c>
      <c r="AF181" s="46" t="n">
        <v>-65</v>
      </c>
      <c r="AG181" s="46" t="n">
        <v>400</v>
      </c>
      <c r="AH181" s="37" t="inlineStr">
        <is>
          <t>Ham-Let + hoseandfittings (pressure); Parker Cat.4300 (material); ASTM B633 (finish); see StandardsData</t>
        </is>
      </c>
    </row>
    <row r="182" ht="15" customHeight="1" s="35">
      <c r="A182" s="37" t="inlineStr">
        <is>
          <t>6802-08-08-NWO</t>
        </is>
      </c>
      <c r="B182" s="37" t="inlineStr">
        <is>
          <t>6802-8-8 NWO</t>
        </is>
      </c>
      <c r="C182" s="37" t="inlineStr">
        <is>
          <t>6802</t>
        </is>
      </c>
      <c r="D182" s="37" t="n">
        <v>158</v>
      </c>
      <c r="E182" s="37" t="inlineStr">
        <is>
          <t>45 deg</t>
        </is>
      </c>
      <c r="F182" s="37" t="inlineStr">
        <is>
          <t>45 deg Straight Thread Elbow, 3/4-16 x 3/4-16</t>
        </is>
      </c>
      <c r="G182" s="37" t="inlineStr">
        <is>
          <t>3/4-16</t>
        </is>
      </c>
      <c r="H182" s="37" t="inlineStr">
        <is>
          <t>3/4-16</t>
        </is>
      </c>
      <c r="I182" s="37" t="n"/>
      <c r="J182" s="37" t="inlineStr">
        <is>
          <t>SAE J1926-1</t>
        </is>
      </c>
      <c r="K182" s="37" t="inlineStr">
        <is>
          <t>SAE J514-1</t>
        </is>
      </c>
      <c r="L182" s="37" t="n">
        <v>0.98</v>
      </c>
      <c r="M182" s="37" t="n">
        <v>1.3</v>
      </c>
      <c r="N182" s="37" t="n">
        <v>0.88</v>
      </c>
      <c r="O182" s="37" t="n">
        <v>0.8100000000000001</v>
      </c>
      <c r="P182" s="37" t="n">
        <v>0.39</v>
      </c>
      <c r="Q182" s="37" t="n">
        <v>0.39</v>
      </c>
      <c r="R182" s="45" t="n">
        <v>0.8100000000000001</v>
      </c>
      <c r="S182" s="45" t="n">
        <v>0.88</v>
      </c>
      <c r="T182" s="37" t="n">
        <v>45</v>
      </c>
      <c r="U182" s="37" t="inlineStr">
        <is>
          <t>VERIFIED</t>
        </is>
      </c>
      <c r="V182" s="37" t="inlineStr">
        <is>
          <t>MS51528 cross-check 2026-09-04: threads, both legs, both bores AGREE.</t>
        </is>
      </c>
      <c r="W182" s="37" t="inlineStr">
        <is>
          <t>BUILD</t>
        </is>
      </c>
      <c r="X182" s="37" t="inlineStr">
        <is>
          <t>Hex = Air-Way C4 column, CONFIRMED vs PressureConnections/Purvis.</t>
        </is>
      </c>
      <c r="Z182" s="45" t="inlineStr">
        <is>
          <t>Carbon Steel</t>
        </is>
      </c>
      <c r="AA182" s="45" t="inlineStr">
        <is>
          <t>ASTM A108 12L14</t>
        </is>
      </c>
      <c r="AB182" s="45" t="inlineStr">
        <is>
          <t>Trivalent Cr3 Zinc</t>
        </is>
      </c>
      <c r="AC182" s="45" t="inlineStr">
        <is>
          <t>ASTM B633 Type V/VI</t>
        </is>
      </c>
      <c r="AD182" s="46" t="n">
        <v>4500</v>
      </c>
      <c r="AE182" s="46" t="inlineStr">
        <is>
          <t>generic SAE table @ dash -8 (governing end)</t>
        </is>
      </c>
      <c r="AF182" s="46" t="n">
        <v>-65</v>
      </c>
      <c r="AG182" s="46" t="n">
        <v>400</v>
      </c>
      <c r="AH182" s="37" t="inlineStr">
        <is>
          <t>Ham-Let + hoseandfittings (pressure); Parker Cat.4300 (material); ASTM B633 (finish); see StandardsData</t>
        </is>
      </c>
    </row>
    <row r="183" ht="15" customHeight="1" s="35">
      <c r="A183" s="37" t="inlineStr">
        <is>
          <t>6802-08-10-NWO-FG</t>
        </is>
      </c>
      <c r="B183" s="37" t="inlineStr">
        <is>
          <t>6802-8-10 NWO-FG</t>
        </is>
      </c>
      <c r="C183" s="37" t="inlineStr">
        <is>
          <t>6802</t>
        </is>
      </c>
      <c r="D183" s="37" t="n">
        <v>158</v>
      </c>
      <c r="E183" s="37" t="inlineStr">
        <is>
          <t>45 deg</t>
        </is>
      </c>
      <c r="F183" s="37" t="inlineStr">
        <is>
          <t>45 deg Straight Thread Elbow, 3/4-16 x 7/8-14</t>
        </is>
      </c>
      <c r="G183" s="37" t="inlineStr">
        <is>
          <t>7/8-14</t>
        </is>
      </c>
      <c r="H183" s="37" t="inlineStr">
        <is>
          <t>3/4-16</t>
        </is>
      </c>
      <c r="I183" s="37" t="n"/>
      <c r="J183" s="37" t="inlineStr">
        <is>
          <t>SAE J1926-1</t>
        </is>
      </c>
      <c r="K183" s="37" t="inlineStr">
        <is>
          <t>SAE J514-1</t>
        </is>
      </c>
      <c r="L183" s="37" t="n">
        <v>0.99</v>
      </c>
      <c r="M183" s="37" t="n">
        <v>1.52</v>
      </c>
      <c r="N183" s="37" t="n">
        <v>1</v>
      </c>
      <c r="O183" s="37" t="n">
        <v>0.88</v>
      </c>
      <c r="P183" s="37" t="n">
        <v>0.39</v>
      </c>
      <c r="Q183" s="37" t="n">
        <v>0.48</v>
      </c>
      <c r="R183" s="44" t="n">
        <v>0.88</v>
      </c>
      <c r="S183" s="44" t="n">
        <v>1</v>
      </c>
      <c r="T183" s="37" t="n">
        <v>45</v>
      </c>
      <c r="U183" s="37" t="inlineStr">
        <is>
          <t>ASSUMED</t>
        </is>
      </c>
      <c r="V183" s="37" t="inlineStr">
        <is>
          <t>MS51528 covers matched-dash sizes only; Air-Way remains single source.</t>
        </is>
      </c>
      <c r="W183" s="37" t="inlineStr">
        <is>
          <t>BUILD</t>
        </is>
      </c>
      <c r="X183" s="37" t="inlineStr">
        <is>
          <t>Hex = Air-Way C4 column (per-part). Matched sizes in this topology corroborate the column.</t>
        </is>
      </c>
      <c r="Z183" s="45" t="inlineStr">
        <is>
          <t>Carbon Steel</t>
        </is>
      </c>
      <c r="AA183" s="45" t="inlineStr">
        <is>
          <t>ASTM A108 12L14</t>
        </is>
      </c>
      <c r="AB183" s="45" t="inlineStr">
        <is>
          <t>Trivalent Cr3 Zinc</t>
        </is>
      </c>
      <c r="AC183" s="45" t="inlineStr">
        <is>
          <t>ASTM B633 Type V/VI</t>
        </is>
      </c>
      <c r="AD183" s="46" t="n">
        <v>3500</v>
      </c>
      <c r="AE183" s="46" t="inlineStr">
        <is>
          <t>generic SAE table @ dash -10 (governing end)</t>
        </is>
      </c>
      <c r="AF183" s="46" t="n">
        <v>-65</v>
      </c>
      <c r="AG183" s="46" t="n">
        <v>400</v>
      </c>
      <c r="AH183" s="37" t="inlineStr">
        <is>
          <t>Ham-Let + hoseandfittings (pressure); Parker Cat.4300 (material); ASTM B633 (finish); see StandardsData</t>
        </is>
      </c>
    </row>
    <row r="184" ht="15" customHeight="1" s="35">
      <c r="A184" s="37" t="inlineStr">
        <is>
          <t>6802-08-10-NWO</t>
        </is>
      </c>
      <c r="B184" s="37" t="inlineStr">
        <is>
          <t>6802-8-10 NWO</t>
        </is>
      </c>
      <c r="C184" s="37" t="inlineStr">
        <is>
          <t>6802</t>
        </is>
      </c>
      <c r="D184" s="37" t="n">
        <v>158</v>
      </c>
      <c r="E184" s="37" t="inlineStr">
        <is>
          <t>45 deg</t>
        </is>
      </c>
      <c r="F184" s="37" t="inlineStr">
        <is>
          <t>45 deg Straight Thread Elbow, 3/4-16 x 7/8-14</t>
        </is>
      </c>
      <c r="G184" s="37" t="inlineStr">
        <is>
          <t>7/8-14</t>
        </is>
      </c>
      <c r="H184" s="37" t="inlineStr">
        <is>
          <t>3/4-16</t>
        </is>
      </c>
      <c r="I184" s="37" t="n"/>
      <c r="J184" s="37" t="inlineStr">
        <is>
          <t>SAE J1926-1</t>
        </is>
      </c>
      <c r="K184" s="37" t="inlineStr">
        <is>
          <t>SAE J514-1</t>
        </is>
      </c>
      <c r="L184" s="37" t="n">
        <v>0.99</v>
      </c>
      <c r="M184" s="37" t="n">
        <v>1.52</v>
      </c>
      <c r="N184" s="37" t="n">
        <v>1</v>
      </c>
      <c r="O184" s="37" t="n">
        <v>0.9399999999999999</v>
      </c>
      <c r="P184" s="37" t="n">
        <v>0.39</v>
      </c>
      <c r="Q184" s="37" t="n">
        <v>0.48</v>
      </c>
      <c r="R184" s="44" t="n">
        <v>0.9399999999999999</v>
      </c>
      <c r="S184" s="44" t="n">
        <v>1</v>
      </c>
      <c r="T184" s="37" t="n">
        <v>45</v>
      </c>
      <c r="U184" s="37" t="inlineStr">
        <is>
          <t>ASSUMED</t>
        </is>
      </c>
      <c r="V184" s="37" t="inlineStr">
        <is>
          <t>MS51528 covers matched-dash sizes only; Air-Way remains single source.</t>
        </is>
      </c>
      <c r="W184" s="37" t="inlineStr">
        <is>
          <t>BUILD</t>
        </is>
      </c>
      <c r="X184" s="37" t="inlineStr">
        <is>
          <t>Hex = Air-Way C4 column (per-part). Matched sizes in this topology corroborate the column.</t>
        </is>
      </c>
      <c r="Z184" s="45" t="inlineStr">
        <is>
          <t>Carbon Steel</t>
        </is>
      </c>
      <c r="AA184" s="45" t="inlineStr">
        <is>
          <t>ASTM A108 12L14</t>
        </is>
      </c>
      <c r="AB184" s="45" t="inlineStr">
        <is>
          <t>Trivalent Cr3 Zinc</t>
        </is>
      </c>
      <c r="AC184" s="45" t="inlineStr">
        <is>
          <t>ASTM B633 Type V/VI</t>
        </is>
      </c>
      <c r="AD184" s="46" t="n">
        <v>3500</v>
      </c>
      <c r="AE184" s="46" t="inlineStr">
        <is>
          <t>generic SAE table @ dash -10 (governing end)</t>
        </is>
      </c>
      <c r="AF184" s="46" t="n">
        <v>-65</v>
      </c>
      <c r="AG184" s="46" t="n">
        <v>400</v>
      </c>
      <c r="AH184" s="37" t="inlineStr">
        <is>
          <t>Ham-Let + hoseandfittings (pressure); Parker Cat.4300 (material); ASTM B633 (finish); see StandardsData</t>
        </is>
      </c>
    </row>
    <row r="185" ht="15" customHeight="1" s="35">
      <c r="A185" s="37" t="inlineStr">
        <is>
          <t>6802-08-12-NWO</t>
        </is>
      </c>
      <c r="B185" s="37" t="inlineStr">
        <is>
          <t>6802-8-12 NWO</t>
        </is>
      </c>
      <c r="C185" s="37" t="inlineStr">
        <is>
          <t>6802</t>
        </is>
      </c>
      <c r="D185" s="37" t="n">
        <v>158</v>
      </c>
      <c r="E185" s="37" t="inlineStr">
        <is>
          <t>45 deg</t>
        </is>
      </c>
      <c r="F185" s="37" t="inlineStr">
        <is>
          <t>45 deg Straight Thread Elbow, 3/4-16 x 1 1/16-12</t>
        </is>
      </c>
      <c r="G185" s="37" t="inlineStr">
        <is>
          <t>1 1/16-12</t>
        </is>
      </c>
      <c r="H185" s="37" t="inlineStr">
        <is>
          <t>3/4-16</t>
        </is>
      </c>
      <c r="I185" s="37" t="n"/>
      <c r="J185" s="37" t="inlineStr">
        <is>
          <t>SAE J1926-1</t>
        </is>
      </c>
      <c r="K185" s="37" t="inlineStr">
        <is>
          <t>SAE J514-1</t>
        </is>
      </c>
      <c r="L185" s="37" t="n">
        <v>1.05</v>
      </c>
      <c r="M185" s="37" t="n">
        <v>1.73</v>
      </c>
      <c r="N185" s="37" t="n">
        <v>1.25</v>
      </c>
      <c r="O185" s="37" t="n">
        <v>1.13</v>
      </c>
      <c r="P185" s="37" t="n">
        <v>0.39</v>
      </c>
      <c r="Q185" s="37" t="n">
        <v>0.61</v>
      </c>
      <c r="R185" s="44" t="n">
        <v>1.13</v>
      </c>
      <c r="S185" s="44" t="n">
        <v>1.25</v>
      </c>
      <c r="T185" s="37" t="n">
        <v>45</v>
      </c>
      <c r="U185" s="37" t="inlineStr">
        <is>
          <t>ASSUMED</t>
        </is>
      </c>
      <c r="V185" s="37" t="inlineStr">
        <is>
          <t>MS51528 covers matched-dash sizes only; Air-Way remains single source.</t>
        </is>
      </c>
      <c r="W185" s="37" t="inlineStr">
        <is>
          <t>BUILD</t>
        </is>
      </c>
      <c r="X185" s="37" t="inlineStr">
        <is>
          <t>Hex = Air-Way C4 column (per-part). Matched sizes in this topology corroborate the column.</t>
        </is>
      </c>
      <c r="Z185" s="45" t="inlineStr">
        <is>
          <t>Carbon Steel</t>
        </is>
      </c>
      <c r="AA185" s="45" t="inlineStr">
        <is>
          <t>ASTM A108 12L14</t>
        </is>
      </c>
      <c r="AB185" s="45" t="inlineStr">
        <is>
          <t>Trivalent Cr3 Zinc</t>
        </is>
      </c>
      <c r="AC185" s="45" t="inlineStr">
        <is>
          <t>ASTM B633 Type V/VI</t>
        </is>
      </c>
      <c r="AD185" s="46" t="n">
        <v>3500</v>
      </c>
      <c r="AE185" s="46" t="inlineStr">
        <is>
          <t>generic SAE table @ dash -12 (governing end)</t>
        </is>
      </c>
      <c r="AF185" s="46" t="n">
        <v>-65</v>
      </c>
      <c r="AG185" s="46" t="n">
        <v>400</v>
      </c>
      <c r="AH185" s="37" t="inlineStr">
        <is>
          <t>Ham-Let + hoseandfittings (pressure); Parker Cat.4300 (material); ASTM B633 (finish); see StandardsData</t>
        </is>
      </c>
    </row>
    <row r="186" ht="15" customHeight="1" s="35">
      <c r="A186" s="37" t="inlineStr">
        <is>
          <t>6802-10-08-NWO-FG</t>
        </is>
      </c>
      <c r="B186" s="37" t="inlineStr">
        <is>
          <t>6802-10-8 NWO-FG</t>
        </is>
      </c>
      <c r="C186" s="37" t="inlineStr">
        <is>
          <t>6802</t>
        </is>
      </c>
      <c r="D186" s="37" t="n">
        <v>158</v>
      </c>
      <c r="E186" s="37" t="inlineStr">
        <is>
          <t>45 deg</t>
        </is>
      </c>
      <c r="F186" s="37" t="inlineStr">
        <is>
          <t>45 deg Straight Thread Elbow, 7/8-14 x 3/4-16</t>
        </is>
      </c>
      <c r="G186" s="37" t="inlineStr">
        <is>
          <t>3/4-16</t>
        </is>
      </c>
      <c r="H186" s="37" t="inlineStr">
        <is>
          <t>7/8-14</t>
        </is>
      </c>
      <c r="I186" s="37" t="n"/>
      <c r="J186" s="37" t="inlineStr">
        <is>
          <t>SAE J1926-1</t>
        </is>
      </c>
      <c r="K186" s="37" t="inlineStr">
        <is>
          <t>SAE J514-1</t>
        </is>
      </c>
      <c r="L186" s="37" t="n">
        <v>1.11</v>
      </c>
      <c r="M186" s="37" t="n">
        <v>1.36</v>
      </c>
      <c r="N186" s="37" t="n">
        <v>0.88</v>
      </c>
      <c r="O186" s="37" t="n">
        <v>0.88</v>
      </c>
      <c r="P186" s="37" t="n">
        <v>0.48</v>
      </c>
      <c r="Q186" s="37" t="n">
        <v>0.39</v>
      </c>
      <c r="R186" s="44" t="n">
        <v>0.88</v>
      </c>
      <c r="S186" s="44" t="n">
        <v>0.88</v>
      </c>
      <c r="T186" s="37" t="n">
        <v>45</v>
      </c>
      <c r="U186" s="37" t="inlineStr">
        <is>
          <t>ASSUMED</t>
        </is>
      </c>
      <c r="V186" s="37" t="inlineStr">
        <is>
          <t>MS51528 covers matched-dash sizes only; Air-Way remains single source.</t>
        </is>
      </c>
      <c r="W186" s="37" t="inlineStr">
        <is>
          <t>BUILD</t>
        </is>
      </c>
      <c r="X186" s="37" t="inlineStr">
        <is>
          <t>Hex = Air-Way C4 column (per-part). Matched sizes in this topology corroborate the column.</t>
        </is>
      </c>
      <c r="Z186" s="45" t="inlineStr">
        <is>
          <t>Carbon Steel</t>
        </is>
      </c>
      <c r="AA186" s="45" t="inlineStr">
        <is>
          <t>ASTM A108 12L14</t>
        </is>
      </c>
      <c r="AB186" s="45" t="inlineStr">
        <is>
          <t>Trivalent Cr3 Zinc</t>
        </is>
      </c>
      <c r="AC186" s="45" t="inlineStr">
        <is>
          <t>ASTM B633 Type V/VI</t>
        </is>
      </c>
      <c r="AD186" s="46" t="n">
        <v>3500</v>
      </c>
      <c r="AE186" s="46" t="inlineStr">
        <is>
          <t>generic SAE table @ dash -10 (governing end)</t>
        </is>
      </c>
      <c r="AF186" s="46" t="n">
        <v>-65</v>
      </c>
      <c r="AG186" s="46" t="n">
        <v>400</v>
      </c>
      <c r="AH186" s="37" t="inlineStr">
        <is>
          <t>Ham-Let + hoseandfittings (pressure); Parker Cat.4300 (material); ASTM B633 (finish); see StandardsData</t>
        </is>
      </c>
    </row>
    <row r="187" ht="15" customHeight="1" s="35">
      <c r="A187" s="37" t="inlineStr">
        <is>
          <t>6802-10-08-NWO</t>
        </is>
      </c>
      <c r="B187" s="37" t="inlineStr">
        <is>
          <t>6802-10-8 NWO</t>
        </is>
      </c>
      <c r="C187" s="37" t="inlineStr">
        <is>
          <t>6802</t>
        </is>
      </c>
      <c r="D187" s="37" t="n">
        <v>158</v>
      </c>
      <c r="E187" s="37" t="inlineStr">
        <is>
          <t>45 deg</t>
        </is>
      </c>
      <c r="F187" s="37" t="inlineStr">
        <is>
          <t>45 deg Straight Thread Elbow, 7/8-14 x 3/4-16</t>
        </is>
      </c>
      <c r="G187" s="37" t="inlineStr">
        <is>
          <t>3/4-16</t>
        </is>
      </c>
      <c r="H187" s="37" t="inlineStr">
        <is>
          <t>7/8-14</t>
        </is>
      </c>
      <c r="I187" s="37" t="n"/>
      <c r="J187" s="37" t="inlineStr">
        <is>
          <t>SAE J1926-1</t>
        </is>
      </c>
      <c r="K187" s="37" t="inlineStr">
        <is>
          <t>SAE J514-1</t>
        </is>
      </c>
      <c r="L187" s="37" t="n">
        <v>1.11</v>
      </c>
      <c r="M187" s="37" t="n">
        <v>1.36</v>
      </c>
      <c r="N187" s="37" t="n">
        <v>0.88</v>
      </c>
      <c r="O187" s="37" t="n">
        <v>0.9399999999999999</v>
      </c>
      <c r="P187" s="37" t="n">
        <v>0.48</v>
      </c>
      <c r="Q187" s="37" t="n">
        <v>0.39</v>
      </c>
      <c r="R187" s="44" t="n">
        <v>0.9399999999999999</v>
      </c>
      <c r="S187" s="44" t="n">
        <v>0.88</v>
      </c>
      <c r="T187" s="37" t="n">
        <v>45</v>
      </c>
      <c r="U187" s="37" t="inlineStr">
        <is>
          <t>ASSUMED</t>
        </is>
      </c>
      <c r="V187" s="37" t="inlineStr">
        <is>
          <t>MS51528 covers matched-dash sizes only; Air-Way remains single source.</t>
        </is>
      </c>
      <c r="W187" s="37" t="inlineStr">
        <is>
          <t>BUILD</t>
        </is>
      </c>
      <c r="X187" s="37" t="inlineStr">
        <is>
          <t>Hex = Air-Way C4 column (per-part). Matched sizes in this topology corroborate the column.</t>
        </is>
      </c>
      <c r="Z187" s="45" t="inlineStr">
        <is>
          <t>Carbon Steel</t>
        </is>
      </c>
      <c r="AA187" s="45" t="inlineStr">
        <is>
          <t>ASTM A108 12L14</t>
        </is>
      </c>
      <c r="AB187" s="45" t="inlineStr">
        <is>
          <t>Trivalent Cr3 Zinc</t>
        </is>
      </c>
      <c r="AC187" s="45" t="inlineStr">
        <is>
          <t>ASTM B633 Type V/VI</t>
        </is>
      </c>
      <c r="AD187" s="46" t="n">
        <v>3500</v>
      </c>
      <c r="AE187" s="46" t="inlineStr">
        <is>
          <t>generic SAE table @ dash -10 (governing end)</t>
        </is>
      </c>
      <c r="AF187" s="46" t="n">
        <v>-65</v>
      </c>
      <c r="AG187" s="46" t="n">
        <v>400</v>
      </c>
      <c r="AH187" s="37" t="inlineStr">
        <is>
          <t>Ham-Let + hoseandfittings (pressure); Parker Cat.4300 (material); ASTM B633 (finish); see StandardsData</t>
        </is>
      </c>
    </row>
    <row r="188" ht="15" customHeight="1" s="35">
      <c r="A188" s="37" t="inlineStr">
        <is>
          <t>6802-10-10-NWO-FG</t>
        </is>
      </c>
      <c r="B188" s="37" t="inlineStr">
        <is>
          <t>6802-10-10 NWO-FG</t>
        </is>
      </c>
      <c r="C188" s="37" t="inlineStr">
        <is>
          <t>6802</t>
        </is>
      </c>
      <c r="D188" s="37" t="n">
        <v>158</v>
      </c>
      <c r="E188" s="37" t="inlineStr">
        <is>
          <t>45 deg</t>
        </is>
      </c>
      <c r="F188" s="37" t="inlineStr">
        <is>
          <t>45 deg Straight Thread Elbow, 7/8-14 x 7/8-14</t>
        </is>
      </c>
      <c r="G188" s="37" t="inlineStr">
        <is>
          <t>7/8-14</t>
        </is>
      </c>
      <c r="H188" s="37" t="inlineStr">
        <is>
          <t>7/8-14</t>
        </is>
      </c>
      <c r="I188" s="37" t="n"/>
      <c r="J188" s="37" t="inlineStr">
        <is>
          <t>SAE J1926-1</t>
        </is>
      </c>
      <c r="K188" s="37" t="inlineStr">
        <is>
          <t>SAE J514-1</t>
        </is>
      </c>
      <c r="L188" s="37" t="n">
        <v>1.11</v>
      </c>
      <c r="M188" s="37" t="n">
        <v>1.52</v>
      </c>
      <c r="N188" s="37" t="n">
        <v>1</v>
      </c>
      <c r="O188" s="37" t="n">
        <v>0.88</v>
      </c>
      <c r="P188" s="37" t="n">
        <v>0.48</v>
      </c>
      <c r="Q188" s="37" t="n">
        <v>0.48</v>
      </c>
      <c r="R188" s="45" t="n">
        <v>0.88</v>
      </c>
      <c r="S188" s="45" t="n">
        <v>1</v>
      </c>
      <c r="T188" s="37" t="n">
        <v>45</v>
      </c>
      <c r="U188" s="37" t="inlineStr">
        <is>
          <t>VERIFIED</t>
        </is>
      </c>
      <c r="V188" s="37" t="inlineStr">
        <is>
          <t>MS51528 cross-check 2026-09-04: threads, both legs, both bores AGREE.</t>
        </is>
      </c>
      <c r="W188" s="37" t="inlineStr">
        <is>
          <t>BUILD</t>
        </is>
      </c>
      <c r="X188" s="37" t="inlineStr">
        <is>
          <t>Hex = Air-Way C4 column, CONFIRMED vs PressureConnections/Purvis.</t>
        </is>
      </c>
      <c r="Z188" s="45" t="inlineStr">
        <is>
          <t>Carbon Steel</t>
        </is>
      </c>
      <c r="AA188" s="45" t="inlineStr">
        <is>
          <t>ASTM A108 12L14</t>
        </is>
      </c>
      <c r="AB188" s="45" t="inlineStr">
        <is>
          <t>Trivalent Cr3 Zinc</t>
        </is>
      </c>
      <c r="AC188" s="45" t="inlineStr">
        <is>
          <t>ASTM B633 Type V/VI</t>
        </is>
      </c>
      <c r="AD188" s="46" t="n">
        <v>3500</v>
      </c>
      <c r="AE188" s="46" t="inlineStr">
        <is>
          <t>generic SAE table @ dash -10 (governing end)</t>
        </is>
      </c>
      <c r="AF188" s="46" t="n">
        <v>-65</v>
      </c>
      <c r="AG188" s="46" t="n">
        <v>400</v>
      </c>
      <c r="AH188" s="37" t="inlineStr">
        <is>
          <t>Ham-Let + hoseandfittings (pressure); Parker Cat.4300 (material); ASTM B633 (finish); see StandardsData</t>
        </is>
      </c>
    </row>
    <row r="189" ht="15" customHeight="1" s="35">
      <c r="A189" s="37" t="inlineStr">
        <is>
          <t>6802-10-10-NWO</t>
        </is>
      </c>
      <c r="B189" s="37" t="inlineStr">
        <is>
          <t>6802-10-10 NWO</t>
        </is>
      </c>
      <c r="C189" s="37" t="inlineStr">
        <is>
          <t>6802</t>
        </is>
      </c>
      <c r="D189" s="37" t="n">
        <v>158</v>
      </c>
      <c r="E189" s="37" t="inlineStr">
        <is>
          <t>45 deg</t>
        </is>
      </c>
      <c r="F189" s="37" t="inlineStr">
        <is>
          <t>45 deg Straight Thread Elbow, 7/8-14 x 7/8-14</t>
        </is>
      </c>
      <c r="G189" s="37" t="inlineStr">
        <is>
          <t>7/8-14</t>
        </is>
      </c>
      <c r="H189" s="37" t="inlineStr">
        <is>
          <t>7/8-14</t>
        </is>
      </c>
      <c r="I189" s="37" t="n"/>
      <c r="J189" s="37" t="inlineStr">
        <is>
          <t>SAE J1926-1</t>
        </is>
      </c>
      <c r="K189" s="37" t="inlineStr">
        <is>
          <t>SAE J514-1</t>
        </is>
      </c>
      <c r="L189" s="37" t="n">
        <v>1.11</v>
      </c>
      <c r="M189" s="37" t="n">
        <v>1.52</v>
      </c>
      <c r="N189" s="37" t="n">
        <v>1</v>
      </c>
      <c r="O189" s="37" t="n">
        <v>0.9399999999999999</v>
      </c>
      <c r="P189" s="37" t="n">
        <v>0.48</v>
      </c>
      <c r="Q189" s="37" t="n">
        <v>0.48</v>
      </c>
      <c r="R189" s="45" t="n">
        <v>0.9399999999999999</v>
      </c>
      <c r="S189" s="45" t="n">
        <v>1</v>
      </c>
      <c r="T189" s="37" t="n">
        <v>45</v>
      </c>
      <c r="U189" s="37" t="inlineStr">
        <is>
          <t>VERIFIED</t>
        </is>
      </c>
      <c r="V189" s="37" t="inlineStr">
        <is>
          <t>MS51528 cross-check 2026-09-04: threads, both legs, both bores AGREE.</t>
        </is>
      </c>
      <c r="W189" s="37" t="inlineStr">
        <is>
          <t>BUILD</t>
        </is>
      </c>
      <c r="X189" s="37" t="inlineStr">
        <is>
          <t>Hex = Air-Way C4 column, CONFIRMED vs PressureConnections/Purvis.</t>
        </is>
      </c>
      <c r="Z189" s="45" t="inlineStr">
        <is>
          <t>Carbon Steel</t>
        </is>
      </c>
      <c r="AA189" s="45" t="inlineStr">
        <is>
          <t>ASTM A108 12L14</t>
        </is>
      </c>
      <c r="AB189" s="45" t="inlineStr">
        <is>
          <t>Trivalent Cr3 Zinc</t>
        </is>
      </c>
      <c r="AC189" s="45" t="inlineStr">
        <is>
          <t>ASTM B633 Type V/VI</t>
        </is>
      </c>
      <c r="AD189" s="46" t="n">
        <v>3500</v>
      </c>
      <c r="AE189" s="46" t="inlineStr">
        <is>
          <t>generic SAE table @ dash -10 (governing end)</t>
        </is>
      </c>
      <c r="AF189" s="46" t="n">
        <v>-65</v>
      </c>
      <c r="AG189" s="46" t="n">
        <v>400</v>
      </c>
      <c r="AH189" s="37" t="inlineStr">
        <is>
          <t>Ham-Let + hoseandfittings (pressure); Parker Cat.4300 (material); ASTM B633 (finish); see StandardsData</t>
        </is>
      </c>
    </row>
    <row r="190" ht="15" customHeight="1" s="35">
      <c r="A190" s="37" t="inlineStr">
        <is>
          <t>6802-10-12-NWO-FG</t>
        </is>
      </c>
      <c r="B190" s="37" t="inlineStr">
        <is>
          <t>6802-10-12 NWO-FG</t>
        </is>
      </c>
      <c r="C190" s="37" t="inlineStr">
        <is>
          <t>6802</t>
        </is>
      </c>
      <c r="D190" s="37" t="n">
        <v>158</v>
      </c>
      <c r="E190" s="37" t="inlineStr">
        <is>
          <t>45 deg</t>
        </is>
      </c>
      <c r="F190" s="37" t="inlineStr">
        <is>
          <t>45 deg Straight Thread Elbow, 7/8-14 x 1 1/16-12</t>
        </is>
      </c>
      <c r="G190" s="37" t="inlineStr">
        <is>
          <t>1 1/16-12</t>
        </is>
      </c>
      <c r="H190" s="37" t="inlineStr">
        <is>
          <t>7/8-14</t>
        </is>
      </c>
      <c r="I190" s="37" t="n"/>
      <c r="J190" s="37" t="inlineStr">
        <is>
          <t>SAE J1926-1</t>
        </is>
      </c>
      <c r="K190" s="37" t="inlineStr">
        <is>
          <t>SAE J514-1</t>
        </is>
      </c>
      <c r="L190" s="37" t="n">
        <v>1.16</v>
      </c>
      <c r="M190" s="37" t="n">
        <v>1.73</v>
      </c>
      <c r="N190" s="37" t="n">
        <v>1.25</v>
      </c>
      <c r="O190" s="37" t="n">
        <v>1.06</v>
      </c>
      <c r="P190" s="37" t="n">
        <v>0.48</v>
      </c>
      <c r="Q190" s="37" t="n">
        <v>0.61</v>
      </c>
      <c r="R190" s="44" t="n">
        <v>1.06</v>
      </c>
      <c r="S190" s="44" t="n">
        <v>1.25</v>
      </c>
      <c r="T190" s="37" t="n">
        <v>45</v>
      </c>
      <c r="U190" s="37" t="inlineStr">
        <is>
          <t>ASSUMED</t>
        </is>
      </c>
      <c r="V190" s="37" t="inlineStr">
        <is>
          <t>MS51528 covers matched-dash sizes only; Air-Way remains single source.</t>
        </is>
      </c>
      <c r="W190" s="37" t="inlineStr">
        <is>
          <t>BUILD</t>
        </is>
      </c>
      <c r="X190" s="37" t="inlineStr">
        <is>
          <t>Hex = Air-Way C4 column (per-part). Matched sizes in this topology corroborate the column.</t>
        </is>
      </c>
      <c r="Z190" s="45" t="inlineStr">
        <is>
          <t>Carbon Steel</t>
        </is>
      </c>
      <c r="AA190" s="45" t="inlineStr">
        <is>
          <t>ASTM A108 12L14</t>
        </is>
      </c>
      <c r="AB190" s="45" t="inlineStr">
        <is>
          <t>Trivalent Cr3 Zinc</t>
        </is>
      </c>
      <c r="AC190" s="45" t="inlineStr">
        <is>
          <t>ASTM B633 Type V/VI</t>
        </is>
      </c>
      <c r="AD190" s="46" t="n">
        <v>3500</v>
      </c>
      <c r="AE190" s="46" t="inlineStr">
        <is>
          <t>generic SAE table @ dash -12 (governing end)</t>
        </is>
      </c>
      <c r="AF190" s="46" t="n">
        <v>-65</v>
      </c>
      <c r="AG190" s="46" t="n">
        <v>400</v>
      </c>
      <c r="AH190" s="37" t="inlineStr">
        <is>
          <t>Ham-Let + hoseandfittings (pressure); Parker Cat.4300 (material); ASTM B633 (finish); see StandardsData</t>
        </is>
      </c>
    </row>
    <row r="191" ht="15" customHeight="1" s="35">
      <c r="A191" s="37" t="inlineStr">
        <is>
          <t>6802-10-12-NWO</t>
        </is>
      </c>
      <c r="B191" s="37" t="inlineStr">
        <is>
          <t>6802-10-12 NWO</t>
        </is>
      </c>
      <c r="C191" s="37" t="inlineStr">
        <is>
          <t>6802</t>
        </is>
      </c>
      <c r="D191" s="37" t="n">
        <v>158</v>
      </c>
      <c r="E191" s="37" t="inlineStr">
        <is>
          <t>45 deg</t>
        </is>
      </c>
      <c r="F191" s="37" t="inlineStr">
        <is>
          <t>45 deg Straight Thread Elbow, 7/8-14 x 1 1/16-12</t>
        </is>
      </c>
      <c r="G191" s="37" t="inlineStr">
        <is>
          <t>1 1/16-12</t>
        </is>
      </c>
      <c r="H191" s="37" t="inlineStr">
        <is>
          <t>7/8-14</t>
        </is>
      </c>
      <c r="I191" s="37" t="n"/>
      <c r="J191" s="37" t="inlineStr">
        <is>
          <t>SAE J1926-1</t>
        </is>
      </c>
      <c r="K191" s="37" t="inlineStr">
        <is>
          <t>SAE J514-1</t>
        </is>
      </c>
      <c r="L191" s="37" t="n">
        <v>1.22</v>
      </c>
      <c r="M191" s="37" t="n">
        <v>1.73</v>
      </c>
      <c r="N191" s="37" t="n">
        <v>1.25</v>
      </c>
      <c r="O191" s="37" t="n">
        <v>1.13</v>
      </c>
      <c r="P191" s="37" t="n">
        <v>0.48</v>
      </c>
      <c r="Q191" s="37" t="n">
        <v>0.61</v>
      </c>
      <c r="R191" s="44" t="n">
        <v>1.13</v>
      </c>
      <c r="S191" s="44" t="n">
        <v>1.25</v>
      </c>
      <c r="T191" s="37" t="n">
        <v>45</v>
      </c>
      <c r="U191" s="37" t="inlineStr">
        <is>
          <t>ASSUMED</t>
        </is>
      </c>
      <c r="V191" s="37" t="inlineStr">
        <is>
          <t>MS51528 covers matched-dash sizes only; Air-Way remains single source.</t>
        </is>
      </c>
      <c r="W191" s="37" t="inlineStr">
        <is>
          <t>BUILD</t>
        </is>
      </c>
      <c r="X191" s="37" t="inlineStr">
        <is>
          <t>Hex = Air-Way C4 column (per-part). Matched sizes in this topology corroborate the column.</t>
        </is>
      </c>
      <c r="Z191" s="45" t="inlineStr">
        <is>
          <t>Carbon Steel</t>
        </is>
      </c>
      <c r="AA191" s="45" t="inlineStr">
        <is>
          <t>ASTM A108 12L14</t>
        </is>
      </c>
      <c r="AB191" s="45" t="inlineStr">
        <is>
          <t>Trivalent Cr3 Zinc</t>
        </is>
      </c>
      <c r="AC191" s="45" t="inlineStr">
        <is>
          <t>ASTM B633 Type V/VI</t>
        </is>
      </c>
      <c r="AD191" s="46" t="n">
        <v>3500</v>
      </c>
      <c r="AE191" s="46" t="inlineStr">
        <is>
          <t>generic SAE table @ dash -12 (governing end)</t>
        </is>
      </c>
      <c r="AF191" s="46" t="n">
        <v>-65</v>
      </c>
      <c r="AG191" s="46" t="n">
        <v>400</v>
      </c>
      <c r="AH191" s="37" t="inlineStr">
        <is>
          <t>Ham-Let + hoseandfittings (pressure); Parker Cat.4300 (material); ASTM B633 (finish); see StandardsData</t>
        </is>
      </c>
    </row>
    <row r="192" ht="15" customHeight="1" s="35">
      <c r="A192" s="37" t="inlineStr">
        <is>
          <t>6802-12-08-NWO</t>
        </is>
      </c>
      <c r="B192" s="37" t="inlineStr">
        <is>
          <t>6802-12-8 NWO</t>
        </is>
      </c>
      <c r="C192" s="37" t="inlineStr">
        <is>
          <t>6802</t>
        </is>
      </c>
      <c r="D192" s="37" t="n">
        <v>158</v>
      </c>
      <c r="E192" s="37" t="inlineStr">
        <is>
          <t>45 deg</t>
        </is>
      </c>
      <c r="F192" s="37" t="inlineStr">
        <is>
          <t>45 deg Straight Thread Elbow, 1 1/16-12 x 3/4-16</t>
        </is>
      </c>
      <c r="G192" s="37" t="inlineStr">
        <is>
          <t>3/4-16</t>
        </is>
      </c>
      <c r="H192" s="37" t="inlineStr">
        <is>
          <t>1 1/16-12</t>
        </is>
      </c>
      <c r="I192" s="37" t="n"/>
      <c r="J192" s="37" t="inlineStr">
        <is>
          <t>SAE J1926-1</t>
        </is>
      </c>
      <c r="K192" s="37" t="inlineStr">
        <is>
          <t>SAE J514-1</t>
        </is>
      </c>
      <c r="L192" s="37" t="n">
        <v>1.28</v>
      </c>
      <c r="M192" s="37" t="n">
        <v>1.41</v>
      </c>
      <c r="N192" s="37" t="n">
        <v>0.88</v>
      </c>
      <c r="O192" s="37" t="n">
        <v>1.13</v>
      </c>
      <c r="P192" s="37" t="n">
        <v>0.61</v>
      </c>
      <c r="Q192" s="37" t="n">
        <v>0.39</v>
      </c>
      <c r="R192" s="44" t="n">
        <v>1.13</v>
      </c>
      <c r="S192" s="44" t="n">
        <v>0.88</v>
      </c>
      <c r="T192" s="37" t="n">
        <v>45</v>
      </c>
      <c r="U192" s="37" t="inlineStr">
        <is>
          <t>ASSUMED</t>
        </is>
      </c>
      <c r="V192" s="37" t="inlineStr">
        <is>
          <t>MS51528 covers matched-dash sizes only; Air-Way remains single source.</t>
        </is>
      </c>
      <c r="W192" s="37" t="inlineStr">
        <is>
          <t>BUILD</t>
        </is>
      </c>
      <c r="X192" s="37" t="inlineStr">
        <is>
          <t>Hex = Air-Way C4 column (per-part). Matched sizes in this topology corroborate the column.</t>
        </is>
      </c>
      <c r="Z192" s="45" t="inlineStr">
        <is>
          <t>Carbon Steel</t>
        </is>
      </c>
      <c r="AA192" s="45" t="inlineStr">
        <is>
          <t>ASTM A108 12L14</t>
        </is>
      </c>
      <c r="AB192" s="45" t="inlineStr">
        <is>
          <t>Trivalent Cr3 Zinc</t>
        </is>
      </c>
      <c r="AC192" s="45" t="inlineStr">
        <is>
          <t>ASTM B633 Type V/VI</t>
        </is>
      </c>
      <c r="AD192" s="46" t="n">
        <v>3500</v>
      </c>
      <c r="AE192" s="46" t="inlineStr">
        <is>
          <t>generic SAE table @ dash -12 (governing end)</t>
        </is>
      </c>
      <c r="AF192" s="46" t="n">
        <v>-65</v>
      </c>
      <c r="AG192" s="46" t="n">
        <v>400</v>
      </c>
      <c r="AH192" s="37" t="inlineStr">
        <is>
          <t>Ham-Let + hoseandfittings (pressure); Parker Cat.4300 (material); ASTM B633 (finish); see StandardsData</t>
        </is>
      </c>
    </row>
    <row r="193" ht="15" customHeight="1" s="35">
      <c r="A193" s="37" t="inlineStr">
        <is>
          <t>6802-12-10-NWO-FG</t>
        </is>
      </c>
      <c r="B193" s="37" t="inlineStr">
        <is>
          <t>6802-12-10 NWO-FG</t>
        </is>
      </c>
      <c r="C193" s="37" t="inlineStr">
        <is>
          <t>6802</t>
        </is>
      </c>
      <c r="D193" s="37" t="n">
        <v>158</v>
      </c>
      <c r="E193" s="37" t="inlineStr">
        <is>
          <t>45 deg</t>
        </is>
      </c>
      <c r="F193" s="37" t="inlineStr">
        <is>
          <t>45 deg Straight Thread Elbow, 1 1/16-12 x 7/8-14</t>
        </is>
      </c>
      <c r="G193" s="37" t="inlineStr">
        <is>
          <t>7/8-14</t>
        </is>
      </c>
      <c r="H193" s="37" t="inlineStr">
        <is>
          <t>1 1/16-12</t>
        </is>
      </c>
      <c r="I193" s="37" t="n"/>
      <c r="J193" s="37" t="inlineStr">
        <is>
          <t>SAE J1926-1</t>
        </is>
      </c>
      <c r="K193" s="37" t="inlineStr">
        <is>
          <t>SAE J514-1</t>
        </is>
      </c>
      <c r="L193" s="37" t="n">
        <v>1.28</v>
      </c>
      <c r="M193" s="37" t="n">
        <v>1.57</v>
      </c>
      <c r="N193" s="37" t="n">
        <v>1</v>
      </c>
      <c r="O193" s="37" t="n">
        <v>1.06</v>
      </c>
      <c r="P193" s="37" t="n">
        <v>0.61</v>
      </c>
      <c r="Q193" s="37" t="n">
        <v>0.48</v>
      </c>
      <c r="R193" s="44" t="n">
        <v>1.06</v>
      </c>
      <c r="S193" s="44" t="n">
        <v>1</v>
      </c>
      <c r="T193" s="37" t="n">
        <v>45</v>
      </c>
      <c r="U193" s="37" t="inlineStr">
        <is>
          <t>ASSUMED</t>
        </is>
      </c>
      <c r="V193" s="37" t="inlineStr">
        <is>
          <t>MS51528 covers matched-dash sizes only; Air-Way remains single source.</t>
        </is>
      </c>
      <c r="W193" s="37" t="inlineStr">
        <is>
          <t>BUILD</t>
        </is>
      </c>
      <c r="X193" s="37" t="inlineStr">
        <is>
          <t>Hex = Air-Way C4 column (per-part). Matched sizes in this topology corroborate the column.</t>
        </is>
      </c>
      <c r="Z193" s="45" t="inlineStr">
        <is>
          <t>Carbon Steel</t>
        </is>
      </c>
      <c r="AA193" s="45" t="inlineStr">
        <is>
          <t>ASTM A108 12L14</t>
        </is>
      </c>
      <c r="AB193" s="45" t="inlineStr">
        <is>
          <t>Trivalent Cr3 Zinc</t>
        </is>
      </c>
      <c r="AC193" s="45" t="inlineStr">
        <is>
          <t>ASTM B633 Type V/VI</t>
        </is>
      </c>
      <c r="AD193" s="46" t="n">
        <v>3500</v>
      </c>
      <c r="AE193" s="46" t="inlineStr">
        <is>
          <t>generic SAE table @ dash -12 (governing end)</t>
        </is>
      </c>
      <c r="AF193" s="46" t="n">
        <v>-65</v>
      </c>
      <c r="AG193" s="46" t="n">
        <v>400</v>
      </c>
      <c r="AH193" s="37" t="inlineStr">
        <is>
          <t>Ham-Let + hoseandfittings (pressure); Parker Cat.4300 (material); ASTM B633 (finish); see StandardsData</t>
        </is>
      </c>
    </row>
    <row r="194" ht="15" customHeight="1" s="35">
      <c r="A194" s="37" t="inlineStr">
        <is>
          <t>6802-12-10-NWO</t>
        </is>
      </c>
      <c r="B194" s="37" t="inlineStr">
        <is>
          <t>6802-12-10 NWO</t>
        </is>
      </c>
      <c r="C194" s="37" t="inlineStr">
        <is>
          <t>6802</t>
        </is>
      </c>
      <c r="D194" s="37" t="n">
        <v>158</v>
      </c>
      <c r="E194" s="37" t="inlineStr">
        <is>
          <t>45 deg</t>
        </is>
      </c>
      <c r="F194" s="37" t="inlineStr">
        <is>
          <t>45 deg Straight Thread Elbow, 1 1/16-12 x 7/8-14</t>
        </is>
      </c>
      <c r="G194" s="37" t="inlineStr">
        <is>
          <t>7/8-14</t>
        </is>
      </c>
      <c r="H194" s="37" t="inlineStr">
        <is>
          <t>1 1/16-12</t>
        </is>
      </c>
      <c r="I194" s="37" t="n"/>
      <c r="J194" s="37" t="inlineStr">
        <is>
          <t>SAE J1926-1</t>
        </is>
      </c>
      <c r="K194" s="37" t="inlineStr">
        <is>
          <t>SAE J514-1</t>
        </is>
      </c>
      <c r="L194" s="37" t="n">
        <v>1.28</v>
      </c>
      <c r="M194" s="37" t="n">
        <v>1.57</v>
      </c>
      <c r="N194" s="37" t="n">
        <v>1</v>
      </c>
      <c r="O194" s="37" t="n">
        <v>1.13</v>
      </c>
      <c r="P194" s="37" t="n">
        <v>0.61</v>
      </c>
      <c r="Q194" s="37" t="n">
        <v>0.48</v>
      </c>
      <c r="R194" s="44" t="n">
        <v>1.13</v>
      </c>
      <c r="S194" s="44" t="n">
        <v>1</v>
      </c>
      <c r="T194" s="37" t="n">
        <v>45</v>
      </c>
      <c r="U194" s="37" t="inlineStr">
        <is>
          <t>ASSUMED</t>
        </is>
      </c>
      <c r="V194" s="37" t="inlineStr">
        <is>
          <t>MS51528 covers matched-dash sizes only; Air-Way remains single source.</t>
        </is>
      </c>
      <c r="W194" s="37" t="inlineStr">
        <is>
          <t>BUILD</t>
        </is>
      </c>
      <c r="X194" s="37" t="inlineStr">
        <is>
          <t>Hex = Air-Way C4 column (per-part). Matched sizes in this topology corroborate the column.</t>
        </is>
      </c>
      <c r="Z194" s="45" t="inlineStr">
        <is>
          <t>Carbon Steel</t>
        </is>
      </c>
      <c r="AA194" s="45" t="inlineStr">
        <is>
          <t>ASTM A108 12L14</t>
        </is>
      </c>
      <c r="AB194" s="45" t="inlineStr">
        <is>
          <t>Trivalent Cr3 Zinc</t>
        </is>
      </c>
      <c r="AC194" s="45" t="inlineStr">
        <is>
          <t>ASTM B633 Type V/VI</t>
        </is>
      </c>
      <c r="AD194" s="46" t="n">
        <v>3500</v>
      </c>
      <c r="AE194" s="46" t="inlineStr">
        <is>
          <t>generic SAE table @ dash -12 (governing end)</t>
        </is>
      </c>
      <c r="AF194" s="46" t="n">
        <v>-65</v>
      </c>
      <c r="AG194" s="46" t="n">
        <v>400</v>
      </c>
      <c r="AH194" s="37" t="inlineStr">
        <is>
          <t>Ham-Let + hoseandfittings (pressure); Parker Cat.4300 (material); ASTM B633 (finish); see StandardsData</t>
        </is>
      </c>
    </row>
    <row r="195" ht="15" customHeight="1" s="35">
      <c r="A195" s="37" t="inlineStr">
        <is>
          <t>6802-12-12-NWO-FG</t>
        </is>
      </c>
      <c r="B195" s="37" t="inlineStr">
        <is>
          <t>6802-12-12 NWO-FG</t>
        </is>
      </c>
      <c r="C195" s="37" t="inlineStr">
        <is>
          <t>6802</t>
        </is>
      </c>
      <c r="D195" s="37" t="n">
        <v>158</v>
      </c>
      <c r="E195" s="37" t="inlineStr">
        <is>
          <t>45 deg</t>
        </is>
      </c>
      <c r="F195" s="37" t="inlineStr">
        <is>
          <t>45 deg Straight Thread Elbow, 1 1/16-12 x 1 1/16-12</t>
        </is>
      </c>
      <c r="G195" s="37" t="inlineStr">
        <is>
          <t>1 1/16-12</t>
        </is>
      </c>
      <c r="H195" s="37" t="inlineStr">
        <is>
          <t>1 1/16-12</t>
        </is>
      </c>
      <c r="I195" s="37" t="n"/>
      <c r="J195" s="37" t="inlineStr">
        <is>
          <t>SAE J1926-1</t>
        </is>
      </c>
      <c r="K195" s="37" t="inlineStr">
        <is>
          <t>SAE J514-1</t>
        </is>
      </c>
      <c r="L195" s="37" t="n">
        <v>1.28</v>
      </c>
      <c r="M195" s="37" t="n">
        <v>1.73</v>
      </c>
      <c r="N195" s="37" t="n">
        <v>1.25</v>
      </c>
      <c r="O195" s="37" t="n">
        <v>1.06</v>
      </c>
      <c r="P195" s="37" t="n">
        <v>0.61</v>
      </c>
      <c r="Q195" s="37" t="n">
        <v>0.61</v>
      </c>
      <c r="R195" s="45" t="n">
        <v>1.06</v>
      </c>
      <c r="S195" s="45" t="n">
        <v>1.25</v>
      </c>
      <c r="T195" s="37" t="n">
        <v>45</v>
      </c>
      <c r="U195" s="37" t="inlineStr">
        <is>
          <t>VERIFIED</t>
        </is>
      </c>
      <c r="V195" s="37" t="inlineStr">
        <is>
          <t>MS51528 cross-check 2026-09-04: threads, both legs, both bores AGREE.</t>
        </is>
      </c>
      <c r="W195" s="37" t="inlineStr">
        <is>
          <t>BUILD</t>
        </is>
      </c>
      <c r="X195" s="37" t="inlineStr">
        <is>
          <t>Hex = Air-Way C4 column, CONFIRMED vs PressureConnections/Purvis.</t>
        </is>
      </c>
      <c r="Z195" s="45" t="inlineStr">
        <is>
          <t>Carbon Steel</t>
        </is>
      </c>
      <c r="AA195" s="45" t="inlineStr">
        <is>
          <t>ASTM A108 12L14</t>
        </is>
      </c>
      <c r="AB195" s="45" t="inlineStr">
        <is>
          <t>Trivalent Cr3 Zinc</t>
        </is>
      </c>
      <c r="AC195" s="45" t="inlineStr">
        <is>
          <t>ASTM B633 Type V/VI</t>
        </is>
      </c>
      <c r="AD195" s="46" t="n">
        <v>3500</v>
      </c>
      <c r="AE195" s="46" t="inlineStr">
        <is>
          <t>generic SAE table @ dash -12 (governing end)</t>
        </is>
      </c>
      <c r="AF195" s="46" t="n">
        <v>-65</v>
      </c>
      <c r="AG195" s="46" t="n">
        <v>400</v>
      </c>
      <c r="AH195" s="37" t="inlineStr">
        <is>
          <t>Ham-Let + hoseandfittings (pressure); Parker Cat.4300 (material); ASTM B633 (finish); see StandardsData</t>
        </is>
      </c>
    </row>
    <row r="196" ht="15" customHeight="1" s="35">
      <c r="A196" s="37" t="inlineStr">
        <is>
          <t>6802-12-12-NWO</t>
        </is>
      </c>
      <c r="B196" s="37" t="inlineStr">
        <is>
          <t>6802-12-12 NWO</t>
        </is>
      </c>
      <c r="C196" s="37" t="inlineStr">
        <is>
          <t>6802</t>
        </is>
      </c>
      <c r="D196" s="37" t="n">
        <v>158</v>
      </c>
      <c r="E196" s="37" t="inlineStr">
        <is>
          <t>45 deg</t>
        </is>
      </c>
      <c r="F196" s="37" t="inlineStr">
        <is>
          <t>45 deg Straight Thread Elbow, 1 1/16-12 x 1 1/16-12</t>
        </is>
      </c>
      <c r="G196" s="37" t="inlineStr">
        <is>
          <t>1 1/16-12</t>
        </is>
      </c>
      <c r="H196" s="37" t="inlineStr">
        <is>
          <t>1 1/16-12</t>
        </is>
      </c>
      <c r="I196" s="37" t="n"/>
      <c r="J196" s="37" t="inlineStr">
        <is>
          <t>SAE J1926-1</t>
        </is>
      </c>
      <c r="K196" s="37" t="inlineStr">
        <is>
          <t>SAE J514-1</t>
        </is>
      </c>
      <c r="L196" s="37" t="n">
        <v>1.28</v>
      </c>
      <c r="M196" s="37" t="n">
        <v>1.73</v>
      </c>
      <c r="N196" s="37" t="n">
        <v>1.25</v>
      </c>
      <c r="O196" s="37" t="n">
        <v>1.13</v>
      </c>
      <c r="P196" s="37" t="n">
        <v>0.61</v>
      </c>
      <c r="Q196" s="37" t="n">
        <v>0.61</v>
      </c>
      <c r="R196" s="45" t="n">
        <v>1.13</v>
      </c>
      <c r="S196" s="45" t="n">
        <v>1.25</v>
      </c>
      <c r="T196" s="37" t="n">
        <v>45</v>
      </c>
      <c r="U196" s="37" t="inlineStr">
        <is>
          <t>VERIFIED</t>
        </is>
      </c>
      <c r="V196" s="37" t="inlineStr">
        <is>
          <t>MS51528 cross-check 2026-09-04: threads, both legs, both bores AGREE.</t>
        </is>
      </c>
      <c r="W196" s="37" t="inlineStr">
        <is>
          <t>BUILD</t>
        </is>
      </c>
      <c r="X196" s="37" t="inlineStr">
        <is>
          <t>Hex = Air-Way C4 column, CONFIRMED vs PressureConnections/Purvis.</t>
        </is>
      </c>
      <c r="Z196" s="45" t="inlineStr">
        <is>
          <t>Carbon Steel</t>
        </is>
      </c>
      <c r="AA196" s="45" t="inlineStr">
        <is>
          <t>ASTM A108 12L14</t>
        </is>
      </c>
      <c r="AB196" s="45" t="inlineStr">
        <is>
          <t>Trivalent Cr3 Zinc</t>
        </is>
      </c>
      <c r="AC196" s="45" t="inlineStr">
        <is>
          <t>ASTM B633 Type V/VI</t>
        </is>
      </c>
      <c r="AD196" s="46" t="n">
        <v>3500</v>
      </c>
      <c r="AE196" s="46" t="inlineStr">
        <is>
          <t>generic SAE table @ dash -12 (governing end)</t>
        </is>
      </c>
      <c r="AF196" s="46" t="n">
        <v>-65</v>
      </c>
      <c r="AG196" s="46" t="n">
        <v>400</v>
      </c>
      <c r="AH196" s="37" t="inlineStr">
        <is>
          <t>Ham-Let + hoseandfittings (pressure); Parker Cat.4300 (material); ASTM B633 (finish); see StandardsData</t>
        </is>
      </c>
    </row>
    <row r="197" ht="15" customHeight="1" s="35">
      <c r="A197" s="37" t="inlineStr">
        <is>
          <t>6802-12-14-NWO</t>
        </is>
      </c>
      <c r="B197" s="37" t="inlineStr">
        <is>
          <t>6802-12-14 NWO</t>
        </is>
      </c>
      <c r="C197" s="37" t="inlineStr">
        <is>
          <t>6802</t>
        </is>
      </c>
      <c r="D197" s="37" t="n">
        <v>158</v>
      </c>
      <c r="E197" s="37" t="inlineStr">
        <is>
          <t>45 deg</t>
        </is>
      </c>
      <c r="F197" s="37" t="inlineStr">
        <is>
          <t>45 deg Straight Thread Elbow, 1 1/16-12 x 1 3/16-12</t>
        </is>
      </c>
      <c r="G197" s="37" t="inlineStr">
        <is>
          <t>1 3/16-12</t>
        </is>
      </c>
      <c r="H197" s="37" t="inlineStr">
        <is>
          <t>1 1/16-12</t>
        </is>
      </c>
      <c r="I197" s="37" t="n"/>
      <c r="J197" s="37" t="inlineStr">
        <is>
          <t>SAE J1926-1</t>
        </is>
      </c>
      <c r="K197" s="37" t="inlineStr">
        <is>
          <t>SAE J514-1</t>
        </is>
      </c>
      <c r="L197" s="37" t="n">
        <v>1.38</v>
      </c>
      <c r="M197" s="37" t="n">
        <v>1.86</v>
      </c>
      <c r="N197" s="37" t="n">
        <v>1.38</v>
      </c>
      <c r="O197" s="37" t="n">
        <v>1.25</v>
      </c>
      <c r="P197" s="37" t="n">
        <v>0.61</v>
      </c>
      <c r="Q197" s="37" t="n">
        <v>0.72</v>
      </c>
      <c r="R197" s="44" t="n">
        <v>1.25</v>
      </c>
      <c r="S197" s="44" t="n">
        <v>1.38</v>
      </c>
      <c r="T197" s="37" t="n">
        <v>45</v>
      </c>
      <c r="U197" s="37" t="inlineStr">
        <is>
          <t>ASSUMED</t>
        </is>
      </c>
      <c r="V197" s="37" t="inlineStr">
        <is>
          <t>MS51528 covers matched-dash sizes only; Air-Way remains single source.</t>
        </is>
      </c>
      <c r="W197" s="37" t="inlineStr">
        <is>
          <t>BUILD</t>
        </is>
      </c>
      <c r="X197" s="37" t="inlineStr">
        <is>
          <t>Hex = Air-Way C4 column (per-part). Matched sizes in this topology corroborate the column.</t>
        </is>
      </c>
      <c r="Z197" s="45" t="inlineStr">
        <is>
          <t>Carbon Steel</t>
        </is>
      </c>
      <c r="AA197" s="45" t="inlineStr">
        <is>
          <t>ASTM A108 12L14</t>
        </is>
      </c>
      <c r="AB197" s="45" t="inlineStr">
        <is>
          <t>Trivalent Cr3 Zinc</t>
        </is>
      </c>
      <c r="AC197" s="45" t="inlineStr">
        <is>
          <t>ASTM B633 Type V/VI</t>
        </is>
      </c>
      <c r="AD197" s="46" t="n">
        <v>3000</v>
      </c>
      <c r="AE197" s="46" t="inlineStr">
        <is>
          <t>generic SAE table @ dash -14 (governing end)</t>
        </is>
      </c>
      <c r="AF197" s="46" t="n">
        <v>-65</v>
      </c>
      <c r="AG197" s="46" t="n">
        <v>400</v>
      </c>
      <c r="AH197" s="37" t="inlineStr">
        <is>
          <t>Ham-Let + hoseandfittings (pressure); Parker Cat.4300 (material); ASTM B633 (finish); see StandardsData</t>
        </is>
      </c>
    </row>
    <row r="198" ht="15" customHeight="1" s="35">
      <c r="A198" s="37" t="inlineStr">
        <is>
          <t>6802-12-16-NWO-FG</t>
        </is>
      </c>
      <c r="B198" s="37" t="inlineStr">
        <is>
          <t>6802-12-16 NWO-FG</t>
        </is>
      </c>
      <c r="C198" s="37" t="inlineStr">
        <is>
          <t>6802</t>
        </is>
      </c>
      <c r="D198" s="37" t="n">
        <v>158</v>
      </c>
      <c r="E198" s="37" t="inlineStr">
        <is>
          <t>45 deg</t>
        </is>
      </c>
      <c r="F198" s="37" t="inlineStr">
        <is>
          <t>45 deg Straight Thread Elbow, 1 1/16-12 x 1 5/16-12</t>
        </is>
      </c>
      <c r="G198" s="37" t="inlineStr">
        <is>
          <t>1 5/16-12</t>
        </is>
      </c>
      <c r="H198" s="37" t="inlineStr">
        <is>
          <t>1 1/16-12</t>
        </is>
      </c>
      <c r="I198" s="37" t="n"/>
      <c r="J198" s="37" t="inlineStr">
        <is>
          <t>SAE J1926-1</t>
        </is>
      </c>
      <c r="K198" s="37" t="inlineStr">
        <is>
          <t>SAE J514-1</t>
        </is>
      </c>
      <c r="L198" s="37" t="n">
        <v>1.42</v>
      </c>
      <c r="M198" s="37" t="n">
        <v>1.86</v>
      </c>
      <c r="N198" s="37" t="n">
        <v>1.5</v>
      </c>
      <c r="O198" s="37" t="n">
        <v>1.31</v>
      </c>
      <c r="P198" s="37" t="n">
        <v>0.61</v>
      </c>
      <c r="Q198" s="37" t="n">
        <v>0.84</v>
      </c>
      <c r="R198" s="44" t="n">
        <v>1.31</v>
      </c>
      <c r="S198" s="44" t="n">
        <v>1.5</v>
      </c>
      <c r="T198" s="37" t="n">
        <v>45</v>
      </c>
      <c r="U198" s="37" t="inlineStr">
        <is>
          <t>ASSUMED</t>
        </is>
      </c>
      <c r="V198" s="37" t="inlineStr">
        <is>
          <t>MS51528 covers matched-dash sizes only; Air-Way remains single source.</t>
        </is>
      </c>
      <c r="W198" s="37" t="inlineStr">
        <is>
          <t>BUILD</t>
        </is>
      </c>
      <c r="X198" s="37" t="inlineStr">
        <is>
          <t>Hex = Air-Way C4 column (per-part). Matched sizes in this topology corroborate the column.</t>
        </is>
      </c>
      <c r="Z198" s="45" t="inlineStr">
        <is>
          <t>Carbon Steel</t>
        </is>
      </c>
      <c r="AA198" s="45" t="inlineStr">
        <is>
          <t>ASTM A108 12L14</t>
        </is>
      </c>
      <c r="AB198" s="45" t="inlineStr">
        <is>
          <t>Trivalent Cr3 Zinc</t>
        </is>
      </c>
      <c r="AC198" s="45" t="inlineStr">
        <is>
          <t>ASTM B633 Type V/VI</t>
        </is>
      </c>
      <c r="AD198" s="46" t="n">
        <v>3000</v>
      </c>
      <c r="AE198" s="46" t="inlineStr">
        <is>
          <t>generic SAE table @ dash -16 (governing end)</t>
        </is>
      </c>
      <c r="AF198" s="46" t="n">
        <v>-65</v>
      </c>
      <c r="AG198" s="46" t="n">
        <v>400</v>
      </c>
      <c r="AH198" s="37" t="inlineStr">
        <is>
          <t>Ham-Let + hoseandfittings (pressure); Parker Cat.4300 (material); ASTM B633 (finish); see StandardsData</t>
        </is>
      </c>
    </row>
    <row r="199" ht="15" customHeight="1" s="35">
      <c r="A199" s="37" t="inlineStr">
        <is>
          <t>6802-12-16-NWO</t>
        </is>
      </c>
      <c r="B199" s="37" t="inlineStr">
        <is>
          <t>6802-12-16 NWO</t>
        </is>
      </c>
      <c r="C199" s="37" t="inlineStr">
        <is>
          <t>6802</t>
        </is>
      </c>
      <c r="D199" s="37" t="n">
        <v>158</v>
      </c>
      <c r="E199" s="37" t="inlineStr">
        <is>
          <t>45 deg</t>
        </is>
      </c>
      <c r="F199" s="37" t="inlineStr">
        <is>
          <t>45 deg Straight Thread Elbow, 1 1/16-12 x 1 5/16-12</t>
        </is>
      </c>
      <c r="G199" s="37" t="inlineStr">
        <is>
          <t>1 5/16-12</t>
        </is>
      </c>
      <c r="H199" s="37" t="inlineStr">
        <is>
          <t>1 1/16-12</t>
        </is>
      </c>
      <c r="I199" s="37" t="n"/>
      <c r="J199" s="37" t="inlineStr">
        <is>
          <t>SAE J1926-1</t>
        </is>
      </c>
      <c r="K199" s="37" t="inlineStr">
        <is>
          <t>SAE J514-1</t>
        </is>
      </c>
      <c r="L199" s="37" t="n">
        <v>1.45</v>
      </c>
      <c r="M199" s="37" t="n">
        <v>1.86</v>
      </c>
      <c r="N199" s="37" t="n">
        <v>1.5</v>
      </c>
      <c r="O199" s="37" t="n">
        <v>1.38</v>
      </c>
      <c r="P199" s="37" t="n">
        <v>0.61</v>
      </c>
      <c r="Q199" s="37" t="n">
        <v>0.84</v>
      </c>
      <c r="R199" s="44" t="n">
        <v>1.38</v>
      </c>
      <c r="S199" s="44" t="n">
        <v>1.5</v>
      </c>
      <c r="T199" s="37" t="n">
        <v>45</v>
      </c>
      <c r="U199" s="37" t="inlineStr">
        <is>
          <t>ASSUMED</t>
        </is>
      </c>
      <c r="V199" s="37" t="inlineStr">
        <is>
          <t>MS51528 covers matched-dash sizes only; Air-Way remains single source.</t>
        </is>
      </c>
      <c r="W199" s="37" t="inlineStr">
        <is>
          <t>BUILD</t>
        </is>
      </c>
      <c r="X199" s="37" t="inlineStr">
        <is>
          <t>Hex = Air-Way C4 column (per-part). Matched sizes in this topology corroborate the column.</t>
        </is>
      </c>
      <c r="Z199" s="45" t="inlineStr">
        <is>
          <t>Carbon Steel</t>
        </is>
      </c>
      <c r="AA199" s="45" t="inlineStr">
        <is>
          <t>ASTM A108 12L14</t>
        </is>
      </c>
      <c r="AB199" s="45" t="inlineStr">
        <is>
          <t>Trivalent Cr3 Zinc</t>
        </is>
      </c>
      <c r="AC199" s="45" t="inlineStr">
        <is>
          <t>ASTM B633 Type V/VI</t>
        </is>
      </c>
      <c r="AD199" s="46" t="n">
        <v>3000</v>
      </c>
      <c r="AE199" s="46" t="inlineStr">
        <is>
          <t>generic SAE table @ dash -16 (governing end)</t>
        </is>
      </c>
      <c r="AF199" s="46" t="n">
        <v>-65</v>
      </c>
      <c r="AG199" s="46" t="n">
        <v>400</v>
      </c>
      <c r="AH199" s="37" t="inlineStr">
        <is>
          <t>Ham-Let + hoseandfittings (pressure); Parker Cat.4300 (material); ASTM B633 (finish); see StandardsData</t>
        </is>
      </c>
    </row>
    <row r="200" ht="15" customHeight="1" s="35">
      <c r="A200" s="37" t="inlineStr">
        <is>
          <t>6802-14-14-NWO</t>
        </is>
      </c>
      <c r="B200" s="37" t="inlineStr">
        <is>
          <t>6802-14-14 NWO</t>
        </is>
      </c>
      <c r="C200" s="37" t="inlineStr">
        <is>
          <t>6802</t>
        </is>
      </c>
      <c r="D200" s="37" t="n">
        <v>158</v>
      </c>
      <c r="E200" s="37" t="inlineStr">
        <is>
          <t>45 deg</t>
        </is>
      </c>
      <c r="F200" s="37" t="inlineStr">
        <is>
          <t>45 deg Straight Thread Elbow, 1 3/16-12 x 1 3/16-12</t>
        </is>
      </c>
      <c r="G200" s="37" t="inlineStr">
        <is>
          <t>1 3/16-12</t>
        </is>
      </c>
      <c r="H200" s="37" t="inlineStr">
        <is>
          <t>1 3/16-12</t>
        </is>
      </c>
      <c r="I200" s="37" t="n"/>
      <c r="J200" s="37" t="inlineStr">
        <is>
          <t>SAE J1926-1</t>
        </is>
      </c>
      <c r="K200" s="37" t="inlineStr">
        <is>
          <t>SAE J514-1</t>
        </is>
      </c>
      <c r="L200" s="37" t="n">
        <v>1.45</v>
      </c>
      <c r="M200" s="37" t="n">
        <v>1.86</v>
      </c>
      <c r="N200" s="37" t="n">
        <v>1.38</v>
      </c>
      <c r="O200" s="37" t="n">
        <v>1.25</v>
      </c>
      <c r="P200" s="37" t="n">
        <v>0.72</v>
      </c>
      <c r="Q200" s="37" t="n">
        <v>0.72</v>
      </c>
      <c r="R200" s="45" t="n">
        <v>1.25</v>
      </c>
      <c r="S200" s="45" t="n">
        <v>1.38</v>
      </c>
      <c r="T200" s="37" t="n">
        <v>45</v>
      </c>
      <c r="U200" s="37" t="inlineStr">
        <is>
          <t>VERIFIED</t>
        </is>
      </c>
      <c r="V200" s="37" t="inlineStr">
        <is>
          <t>RESOLVED 2-1: legs 1.45/1.86 (Air-Way+Brennan drawing; MS51528 1.39/1.80 outvoted). 2026-09-05 Brennan product-drawing tiebreak</t>
        </is>
      </c>
      <c r="W200" s="37" t="inlineStr">
        <is>
          <t>BUILD</t>
        </is>
      </c>
      <c r="X200" s="37" t="inlineStr">
        <is>
          <t>Hex = Air-Way C4 column, CONFIRMED vs PressureConnections/Purvis. | MS51528 DIVERGES on legA,legB (AW M2=1.45,M8=1.86,D1=0.72,D2=0.72 vs MS M2=1.39,M3=1.8,D=0.718). Blocked pending decision.</t>
        </is>
      </c>
      <c r="Z200" s="45" t="inlineStr">
        <is>
          <t>Carbon Steel</t>
        </is>
      </c>
      <c r="AA200" s="45" t="inlineStr">
        <is>
          <t>ASTM A108 12L14</t>
        </is>
      </c>
      <c r="AB200" s="45" t="inlineStr">
        <is>
          <t>Trivalent Cr3 Zinc</t>
        </is>
      </c>
      <c r="AC200" s="45" t="inlineStr">
        <is>
          <t>ASTM B633 Type V/VI</t>
        </is>
      </c>
      <c r="AD200" s="46" t="n">
        <v>3000</v>
      </c>
      <c r="AE200" s="46" t="inlineStr">
        <is>
          <t>generic SAE table @ dash -14 (governing end)</t>
        </is>
      </c>
      <c r="AF200" s="46" t="n">
        <v>-65</v>
      </c>
      <c r="AG200" s="46" t="n">
        <v>400</v>
      </c>
      <c r="AH200" s="37" t="inlineStr">
        <is>
          <t>Ham-Let + hoseandfittings (pressure); Parker Cat.4300 (material); ASTM B633 (finish); see StandardsData</t>
        </is>
      </c>
    </row>
    <row r="201" ht="15" customHeight="1" s="35">
      <c r="A201" s="37" t="inlineStr">
        <is>
          <t>6802-16-12-NWO-FG</t>
        </is>
      </c>
      <c r="B201" s="37" t="inlineStr">
        <is>
          <t>6802-16-12 NWO-FG</t>
        </is>
      </c>
      <c r="C201" s="37" t="inlineStr">
        <is>
          <t>6802</t>
        </is>
      </c>
      <c r="D201" s="37" t="n">
        <v>158</v>
      </c>
      <c r="E201" s="37" t="inlineStr">
        <is>
          <t>45 deg</t>
        </is>
      </c>
      <c r="F201" s="37" t="inlineStr">
        <is>
          <t>45 deg Straight Thread Elbow, 1 5/16-12 x 1 1/16-12</t>
        </is>
      </c>
      <c r="G201" s="37" t="inlineStr">
        <is>
          <t>1 1/16-12</t>
        </is>
      </c>
      <c r="H201" s="37" t="inlineStr">
        <is>
          <t>1 5/16-12</t>
        </is>
      </c>
      <c r="I201" s="37" t="n"/>
      <c r="J201" s="37" t="inlineStr">
        <is>
          <t>SAE J1926-1</t>
        </is>
      </c>
      <c r="K201" s="37" t="inlineStr">
        <is>
          <t>SAE J514-1</t>
        </is>
      </c>
      <c r="L201" s="37" t="n">
        <v>1.47</v>
      </c>
      <c r="M201" s="37" t="n">
        <v>1.86</v>
      </c>
      <c r="N201" s="37" t="n">
        <v>1.25</v>
      </c>
      <c r="O201" s="37" t="n">
        <v>1.31</v>
      </c>
      <c r="P201" s="37" t="n">
        <v>0.84</v>
      </c>
      <c r="Q201" s="37" t="n">
        <v>0.61</v>
      </c>
      <c r="R201" s="44" t="n">
        <v>1.31</v>
      </c>
      <c r="S201" s="44" t="n">
        <v>1.25</v>
      </c>
      <c r="T201" s="37" t="n">
        <v>45</v>
      </c>
      <c r="U201" s="37" t="inlineStr">
        <is>
          <t>ASSUMED</t>
        </is>
      </c>
      <c r="V201" s="37" t="inlineStr">
        <is>
          <t>MS51528 covers matched-dash sizes only; Air-Way remains single source.</t>
        </is>
      </c>
      <c r="W201" s="37" t="inlineStr">
        <is>
          <t>BUILD</t>
        </is>
      </c>
      <c r="X201" s="37" t="inlineStr">
        <is>
          <t>Hex = Air-Way C4 column (per-part). Matched sizes in this topology corroborate the column.</t>
        </is>
      </c>
      <c r="Z201" s="45" t="inlineStr">
        <is>
          <t>Carbon Steel</t>
        </is>
      </c>
      <c r="AA201" s="45" t="inlineStr">
        <is>
          <t>ASTM A108 12L14</t>
        </is>
      </c>
      <c r="AB201" s="45" t="inlineStr">
        <is>
          <t>Trivalent Cr3 Zinc</t>
        </is>
      </c>
      <c r="AC201" s="45" t="inlineStr">
        <is>
          <t>ASTM B633 Type V/VI</t>
        </is>
      </c>
      <c r="AD201" s="46" t="n">
        <v>3000</v>
      </c>
      <c r="AE201" s="46" t="inlineStr">
        <is>
          <t>generic SAE table @ dash -16 (governing end)</t>
        </is>
      </c>
      <c r="AF201" s="46" t="n">
        <v>-65</v>
      </c>
      <c r="AG201" s="46" t="n">
        <v>400</v>
      </c>
      <c r="AH201" s="37" t="inlineStr">
        <is>
          <t>Ham-Let + hoseandfittings (pressure); Parker Cat.4300 (material); ASTM B633 (finish); see StandardsData</t>
        </is>
      </c>
    </row>
    <row r="202" ht="15" customHeight="1" s="35">
      <c r="A202" s="37" t="inlineStr">
        <is>
          <t>6802-16-12-NWO</t>
        </is>
      </c>
      <c r="B202" s="37" t="inlineStr">
        <is>
          <t>6802-16-12 NWO</t>
        </is>
      </c>
      <c r="C202" s="37" t="inlineStr">
        <is>
          <t>6802</t>
        </is>
      </c>
      <c r="D202" s="37" t="n">
        <v>158</v>
      </c>
      <c r="E202" s="37" t="inlineStr">
        <is>
          <t>45 deg</t>
        </is>
      </c>
      <c r="F202" s="37" t="inlineStr">
        <is>
          <t>45 deg Straight Thread Elbow, 1 5/16-12 x 1 1/16-12</t>
        </is>
      </c>
      <c r="G202" s="37" t="inlineStr">
        <is>
          <t>1 1/16-12</t>
        </is>
      </c>
      <c r="H202" s="37" t="inlineStr">
        <is>
          <t>1 5/16-12</t>
        </is>
      </c>
      <c r="I202" s="37" t="n"/>
      <c r="J202" s="37" t="inlineStr">
        <is>
          <t>SAE J1926-1</t>
        </is>
      </c>
      <c r="K202" s="37" t="inlineStr">
        <is>
          <t>SAE J514-1</t>
        </is>
      </c>
      <c r="L202" s="37" t="n">
        <v>1.47</v>
      </c>
      <c r="M202" s="37" t="n">
        <v>1.86</v>
      </c>
      <c r="N202" s="37" t="n">
        <v>1.25</v>
      </c>
      <c r="O202" s="37" t="n">
        <v>1.38</v>
      </c>
      <c r="P202" s="37" t="n">
        <v>0.84</v>
      </c>
      <c r="Q202" s="37" t="n">
        <v>0.61</v>
      </c>
      <c r="R202" s="44" t="n">
        <v>1.38</v>
      </c>
      <c r="S202" s="44" t="n">
        <v>1.25</v>
      </c>
      <c r="T202" s="37" t="n">
        <v>45</v>
      </c>
      <c r="U202" s="37" t="inlineStr">
        <is>
          <t>ASSUMED</t>
        </is>
      </c>
      <c r="V202" s="37" t="inlineStr">
        <is>
          <t>MS51528 covers matched-dash sizes only; Air-Way remains single source.</t>
        </is>
      </c>
      <c r="W202" s="37" t="inlineStr">
        <is>
          <t>BUILD</t>
        </is>
      </c>
      <c r="X202" s="37" t="inlineStr">
        <is>
          <t>Hex = Air-Way C4 column (per-part). Matched sizes in this topology corroborate the column.</t>
        </is>
      </c>
      <c r="Z202" s="45" t="inlineStr">
        <is>
          <t>Carbon Steel</t>
        </is>
      </c>
      <c r="AA202" s="45" t="inlineStr">
        <is>
          <t>ASTM A108 12L14</t>
        </is>
      </c>
      <c r="AB202" s="45" t="inlineStr">
        <is>
          <t>Trivalent Cr3 Zinc</t>
        </is>
      </c>
      <c r="AC202" s="45" t="inlineStr">
        <is>
          <t>ASTM B633 Type V/VI</t>
        </is>
      </c>
      <c r="AD202" s="46" t="n">
        <v>3000</v>
      </c>
      <c r="AE202" s="46" t="inlineStr">
        <is>
          <t>generic SAE table @ dash -16 (governing end)</t>
        </is>
      </c>
      <c r="AF202" s="46" t="n">
        <v>-65</v>
      </c>
      <c r="AG202" s="46" t="n">
        <v>400</v>
      </c>
      <c r="AH202" s="37" t="inlineStr">
        <is>
          <t>Ham-Let + hoseandfittings (pressure); Parker Cat.4300 (material); ASTM B633 (finish); see StandardsData</t>
        </is>
      </c>
    </row>
    <row r="203" ht="15" customHeight="1" s="35">
      <c r="A203" s="37" t="inlineStr">
        <is>
          <t>6802-16-16-NWO</t>
        </is>
      </c>
      <c r="B203" s="37" t="inlineStr">
        <is>
          <t>6802-16-16 NWO</t>
        </is>
      </c>
      <c r="C203" s="37" t="inlineStr">
        <is>
          <t>6802</t>
        </is>
      </c>
      <c r="D203" s="37" t="n">
        <v>158</v>
      </c>
      <c r="E203" s="37" t="inlineStr">
        <is>
          <t>45 deg</t>
        </is>
      </c>
      <c r="F203" s="37" t="inlineStr">
        <is>
          <t>45 deg Straight Thread Elbow, 1 5/16-12 x 1 5/16-12</t>
        </is>
      </c>
      <c r="G203" s="37" t="inlineStr">
        <is>
          <t>1 5/16-12</t>
        </is>
      </c>
      <c r="H203" s="37" t="inlineStr">
        <is>
          <t>1 5/16-12</t>
        </is>
      </c>
      <c r="I203" s="37" t="n"/>
      <c r="J203" s="37" t="inlineStr">
        <is>
          <t>SAE J1926-1</t>
        </is>
      </c>
      <c r="K203" s="37" t="inlineStr">
        <is>
          <t>SAE J514-1</t>
        </is>
      </c>
      <c r="L203" s="37" t="n">
        <v>1.47</v>
      </c>
      <c r="M203" s="37" t="n">
        <v>1.86</v>
      </c>
      <c r="N203" s="37" t="n">
        <v>1.5</v>
      </c>
      <c r="O203" s="37" t="n">
        <v>1.38</v>
      </c>
      <c r="P203" s="37" t="n">
        <v>0.84</v>
      </c>
      <c r="Q203" s="37" t="n">
        <v>0.84</v>
      </c>
      <c r="R203" s="45" t="n">
        <v>1.38</v>
      </c>
      <c r="S203" s="45" t="n">
        <v>1.5</v>
      </c>
      <c r="T203" s="37" t="n">
        <v>45</v>
      </c>
      <c r="U203" s="37" t="inlineStr">
        <is>
          <t>VERIFIED</t>
        </is>
      </c>
      <c r="V203" s="37" t="inlineStr">
        <is>
          <t>MS51528 cross-check 2026-09-04: threads, both legs, both bores AGREE.</t>
        </is>
      </c>
      <c r="W203" s="37" t="inlineStr">
        <is>
          <t>BUILD</t>
        </is>
      </c>
      <c r="X203" s="37" t="inlineStr">
        <is>
          <t>Hex = Air-Way C4 column, CONFIRMED vs PressureConnections/Purvis.</t>
        </is>
      </c>
      <c r="Z203" s="45" t="inlineStr">
        <is>
          <t>Carbon Steel</t>
        </is>
      </c>
      <c r="AA203" s="45" t="inlineStr">
        <is>
          <t>ASTM A108 12L14</t>
        </is>
      </c>
      <c r="AB203" s="45" t="inlineStr">
        <is>
          <t>Trivalent Cr3 Zinc</t>
        </is>
      </c>
      <c r="AC203" s="45" t="inlineStr">
        <is>
          <t>ASTM B633 Type V/VI</t>
        </is>
      </c>
      <c r="AD203" s="46" t="n">
        <v>3000</v>
      </c>
      <c r="AE203" s="46" t="inlineStr">
        <is>
          <t>generic SAE table @ dash -16 (governing end)</t>
        </is>
      </c>
      <c r="AF203" s="46" t="n">
        <v>-65</v>
      </c>
      <c r="AG203" s="46" t="n">
        <v>400</v>
      </c>
      <c r="AH203" s="37" t="inlineStr">
        <is>
          <t>Ham-Let + hoseandfittings (pressure); Parker Cat.4300 (material); ASTM B633 (finish); see StandardsData</t>
        </is>
      </c>
    </row>
    <row r="204" ht="15" customHeight="1" s="35">
      <c r="A204" s="37" t="inlineStr">
        <is>
          <t>6802-16-16-NWO-FG</t>
        </is>
      </c>
      <c r="B204" s="37" t="inlineStr">
        <is>
          <t>6802-16-16 NWO-FG</t>
        </is>
      </c>
      <c r="C204" s="37" t="inlineStr">
        <is>
          <t>6802</t>
        </is>
      </c>
      <c r="D204" s="37" t="n">
        <v>158</v>
      </c>
      <c r="E204" s="37" t="inlineStr">
        <is>
          <t>45 deg</t>
        </is>
      </c>
      <c r="F204" s="37" t="inlineStr">
        <is>
          <t>45 deg Straight Thread Elbow, 1 5/16-12 x 1 5/16-12</t>
        </is>
      </c>
      <c r="G204" s="37" t="inlineStr">
        <is>
          <t>1 5/16-12</t>
        </is>
      </c>
      <c r="H204" s="37" t="inlineStr">
        <is>
          <t>1 5/16-12</t>
        </is>
      </c>
      <c r="I204" s="37" t="n"/>
      <c r="J204" s="37" t="inlineStr">
        <is>
          <t>SAE J1926-1</t>
        </is>
      </c>
      <c r="K204" s="37" t="inlineStr">
        <is>
          <t>SAE J514-1</t>
        </is>
      </c>
      <c r="L204" s="37" t="n">
        <v>1.47</v>
      </c>
      <c r="M204" s="37" t="n">
        <v>1.86</v>
      </c>
      <c r="N204" s="37" t="n">
        <v>1.5</v>
      </c>
      <c r="O204" s="37" t="n">
        <v>1.31</v>
      </c>
      <c r="P204" s="37" t="n">
        <v>0.84</v>
      </c>
      <c r="Q204" s="37" t="n">
        <v>0.84</v>
      </c>
      <c r="R204" s="45" t="n">
        <v>1.31</v>
      </c>
      <c r="S204" s="45" t="n">
        <v>1.5</v>
      </c>
      <c r="T204" s="37" t="n">
        <v>45</v>
      </c>
      <c r="U204" s="37" t="inlineStr">
        <is>
          <t>VERIFIED</t>
        </is>
      </c>
      <c r="V204" s="37" t="inlineStr">
        <is>
          <t>MS51528 cross-check 2026-09-04: threads, both legs, both bores AGREE.</t>
        </is>
      </c>
      <c r="W204" s="37" t="inlineStr">
        <is>
          <t>BUILD</t>
        </is>
      </c>
      <c r="X204" s="37" t="inlineStr">
        <is>
          <t>Hex = Air-Way C4 column, CONFIRMED vs PressureConnections/Purvis.</t>
        </is>
      </c>
      <c r="Z204" s="45" t="inlineStr">
        <is>
          <t>Carbon Steel</t>
        </is>
      </c>
      <c r="AA204" s="45" t="inlineStr">
        <is>
          <t>ASTM A108 12L14</t>
        </is>
      </c>
      <c r="AB204" s="45" t="inlineStr">
        <is>
          <t>Trivalent Cr3 Zinc</t>
        </is>
      </c>
      <c r="AC204" s="45" t="inlineStr">
        <is>
          <t>ASTM B633 Type V/VI</t>
        </is>
      </c>
      <c r="AD204" s="46" t="n">
        <v>3000</v>
      </c>
      <c r="AE204" s="46" t="inlineStr">
        <is>
          <t>generic SAE table @ dash -16 (governing end)</t>
        </is>
      </c>
      <c r="AF204" s="46" t="n">
        <v>-65</v>
      </c>
      <c r="AG204" s="46" t="n">
        <v>400</v>
      </c>
      <c r="AH204" s="37" t="inlineStr">
        <is>
          <t>Ham-Let + hoseandfittings (pressure); Parker Cat.4300 (material); ASTM B633 (finish); see StandardsData</t>
        </is>
      </c>
    </row>
    <row r="205" ht="15" customHeight="1" s="35">
      <c r="A205" s="37" t="inlineStr">
        <is>
          <t>6802-16-20-NWO-FG</t>
        </is>
      </c>
      <c r="B205" s="37" t="inlineStr">
        <is>
          <t>6802-16-20 NWO-FG</t>
        </is>
      </c>
      <c r="C205" s="37" t="inlineStr">
        <is>
          <t>6802</t>
        </is>
      </c>
      <c r="D205" s="37" t="n">
        <v>158</v>
      </c>
      <c r="E205" s="37" t="inlineStr">
        <is>
          <t>45 deg</t>
        </is>
      </c>
      <c r="F205" s="37" t="inlineStr">
        <is>
          <t>45 deg Straight Thread Elbow, 1 5/16-12 x 1 5/8-12</t>
        </is>
      </c>
      <c r="G205" s="37" t="inlineStr">
        <is>
          <t>1 5/8-12</t>
        </is>
      </c>
      <c r="H205" s="37" t="inlineStr">
        <is>
          <t>1 5/16-12</t>
        </is>
      </c>
      <c r="I205" s="37" t="n"/>
      <c r="J205" s="37" t="inlineStr">
        <is>
          <t>SAE J1926-1</t>
        </is>
      </c>
      <c r="K205" s="37" t="inlineStr">
        <is>
          <t>SAE J514-1</t>
        </is>
      </c>
      <c r="L205" s="37" t="n">
        <v>1.54</v>
      </c>
      <c r="M205" s="37" t="n">
        <v>1.91</v>
      </c>
      <c r="N205" s="37" t="n">
        <v>1.88</v>
      </c>
      <c r="O205" s="37" t="n">
        <v>1.63</v>
      </c>
      <c r="P205" s="37" t="n">
        <v>0.84</v>
      </c>
      <c r="Q205" s="37" t="n">
        <v>1.08</v>
      </c>
      <c r="R205" s="44" t="n">
        <v>1.63</v>
      </c>
      <c r="S205" s="44" t="n">
        <v>1.88</v>
      </c>
      <c r="T205" s="37" t="n">
        <v>45</v>
      </c>
      <c r="U205" s="37" t="inlineStr">
        <is>
          <t>ASSUMED</t>
        </is>
      </c>
      <c r="V205" s="37" t="inlineStr">
        <is>
          <t>MS51528 covers matched-dash sizes only; Air-Way remains single source.</t>
        </is>
      </c>
      <c r="W205" s="37" t="inlineStr">
        <is>
          <t>BUILD</t>
        </is>
      </c>
      <c r="X205" s="37" t="inlineStr">
        <is>
          <t>Hex = Air-Way C4 column (per-part). Matched sizes in this topology corroborate the column.</t>
        </is>
      </c>
      <c r="Z205" s="45" t="inlineStr">
        <is>
          <t>Carbon Steel</t>
        </is>
      </c>
      <c r="AA205" s="45" t="inlineStr">
        <is>
          <t>ASTM A108 12L14</t>
        </is>
      </c>
      <c r="AB205" s="45" t="inlineStr">
        <is>
          <t>Trivalent Cr3 Zinc</t>
        </is>
      </c>
      <c r="AC205" s="45" t="inlineStr">
        <is>
          <t>ASTM B633 Type V/VI</t>
        </is>
      </c>
      <c r="AD205" s="46" t="n">
        <v>2500</v>
      </c>
      <c r="AE205" s="46" t="inlineStr">
        <is>
          <t>generic SAE table @ dash -20 (governing end)</t>
        </is>
      </c>
      <c r="AF205" s="46" t="n">
        <v>-65</v>
      </c>
      <c r="AG205" s="46" t="n">
        <v>400</v>
      </c>
      <c r="AH205" s="37" t="inlineStr">
        <is>
          <t>Ham-Let + hoseandfittings (pressure); Parker Cat.4300 (material); ASTM B633 (finish); see StandardsData</t>
        </is>
      </c>
    </row>
    <row r="206" ht="15" customHeight="1" s="35">
      <c r="A206" s="37" t="inlineStr">
        <is>
          <t>6802-16-20-NWO</t>
        </is>
      </c>
      <c r="B206" s="37" t="inlineStr">
        <is>
          <t>6802-16-20 NWO</t>
        </is>
      </c>
      <c r="C206" s="37" t="inlineStr">
        <is>
          <t>6802</t>
        </is>
      </c>
      <c r="D206" s="37" t="n">
        <v>158</v>
      </c>
      <c r="E206" s="37" t="inlineStr">
        <is>
          <t>45 deg</t>
        </is>
      </c>
      <c r="F206" s="37" t="inlineStr">
        <is>
          <t>45 deg Straight Thread Elbow, 1 5/16-12 x 1 5/8-12</t>
        </is>
      </c>
      <c r="G206" s="37" t="inlineStr">
        <is>
          <t>1 5/8-12</t>
        </is>
      </c>
      <c r="H206" s="37" t="inlineStr">
        <is>
          <t>1 5/16-12</t>
        </is>
      </c>
      <c r="I206" s="37" t="n"/>
      <c r="J206" s="37" t="inlineStr">
        <is>
          <t>SAE J1926-1</t>
        </is>
      </c>
      <c r="K206" s="37" t="inlineStr">
        <is>
          <t>SAE J514-1</t>
        </is>
      </c>
      <c r="L206" s="37" t="n">
        <v>1.55</v>
      </c>
      <c r="M206" s="37" t="n">
        <v>1.91</v>
      </c>
      <c r="N206" s="37" t="n">
        <v>1.88</v>
      </c>
      <c r="O206" s="37" t="n">
        <v>1.75</v>
      </c>
      <c r="P206" s="37" t="n">
        <v>0.84</v>
      </c>
      <c r="Q206" s="37" t="n">
        <v>1.08</v>
      </c>
      <c r="R206" s="44" t="n">
        <v>1.75</v>
      </c>
      <c r="S206" s="44" t="n">
        <v>1.88</v>
      </c>
      <c r="T206" s="37" t="n">
        <v>45</v>
      </c>
      <c r="U206" s="37" t="inlineStr">
        <is>
          <t>ASSUMED</t>
        </is>
      </c>
      <c r="V206" s="37" t="inlineStr">
        <is>
          <t>MS51528 covers matched-dash sizes only; Air-Way remains single source.</t>
        </is>
      </c>
      <c r="W206" s="37" t="inlineStr">
        <is>
          <t>BUILD</t>
        </is>
      </c>
      <c r="X206" s="37" t="inlineStr">
        <is>
          <t>Hex = Air-Way C4 column (per-part). Matched sizes in this topology corroborate the column.</t>
        </is>
      </c>
      <c r="Z206" s="45" t="inlineStr">
        <is>
          <t>Carbon Steel</t>
        </is>
      </c>
      <c r="AA206" s="45" t="inlineStr">
        <is>
          <t>ASTM A108 12L14</t>
        </is>
      </c>
      <c r="AB206" s="45" t="inlineStr">
        <is>
          <t>Trivalent Cr3 Zinc</t>
        </is>
      </c>
      <c r="AC206" s="45" t="inlineStr">
        <is>
          <t>ASTM B633 Type V/VI</t>
        </is>
      </c>
      <c r="AD206" s="46" t="n">
        <v>2500</v>
      </c>
      <c r="AE206" s="46" t="inlineStr">
        <is>
          <t>generic SAE table @ dash -20 (governing end)</t>
        </is>
      </c>
      <c r="AF206" s="46" t="n">
        <v>-65</v>
      </c>
      <c r="AG206" s="46" t="n">
        <v>400</v>
      </c>
      <c r="AH206" s="37" t="inlineStr">
        <is>
          <t>Ham-Let + hoseandfittings (pressure); Parker Cat.4300 (material); ASTM B633 (finish); see StandardsData</t>
        </is>
      </c>
    </row>
    <row r="207" ht="15" customHeight="1" s="35">
      <c r="A207" s="37" t="inlineStr">
        <is>
          <t>6802-16-24-NWO</t>
        </is>
      </c>
      <c r="B207" s="37" t="inlineStr">
        <is>
          <t>6802-16-24 NWO</t>
        </is>
      </c>
      <c r="C207" s="37" t="inlineStr">
        <is>
          <t>6802</t>
        </is>
      </c>
      <c r="D207" s="37" t="n">
        <v>158</v>
      </c>
      <c r="E207" s="37" t="inlineStr">
        <is>
          <t>45 deg</t>
        </is>
      </c>
      <c r="F207" s="37" t="inlineStr">
        <is>
          <t>45 deg Straight Thread Elbow, 1 5/16-12 x 1 7/8-12</t>
        </is>
      </c>
      <c r="G207" s="37" t="inlineStr">
        <is>
          <t>1 7/8-12</t>
        </is>
      </c>
      <c r="H207" s="37" t="inlineStr">
        <is>
          <t>1 5/16-12</t>
        </is>
      </c>
      <c r="I207" s="37" t="n"/>
      <c r="J207" s="37" t="inlineStr">
        <is>
          <t>SAE J1926-1</t>
        </is>
      </c>
      <c r="K207" s="37" t="inlineStr">
        <is>
          <t>SAE J514-1</t>
        </is>
      </c>
      <c r="L207" s="37" t="n">
        <v>1.65</v>
      </c>
      <c r="M207" s="37" t="n">
        <v>1.91</v>
      </c>
      <c r="N207" s="37" t="n">
        <v>2.13</v>
      </c>
      <c r="O207" s="37" t="n">
        <v>2</v>
      </c>
      <c r="P207" s="37" t="n">
        <v>0.84</v>
      </c>
      <c r="Q207" s="37" t="n">
        <v>0.84</v>
      </c>
      <c r="R207" s="44" t="n">
        <v>2</v>
      </c>
      <c r="S207" s="44" t="n">
        <v>2.13</v>
      </c>
      <c r="T207" s="37" t="n">
        <v>45</v>
      </c>
      <c r="U207" s="37" t="inlineStr">
        <is>
          <t>ASSUMED</t>
        </is>
      </c>
      <c r="V207" s="37" t="inlineStr">
        <is>
          <t>MS51528 covers matched-dash sizes only; Air-Way remains single source.</t>
        </is>
      </c>
      <c r="W207" s="37" t="inlineStr">
        <is>
          <t>BUILD</t>
        </is>
      </c>
      <c r="X207" s="37" t="inlineStr">
        <is>
          <t>Hex = Air-Way C4 column (per-part). Matched sizes in this topology corroborate the column.</t>
        </is>
      </c>
      <c r="Z207" s="45" t="inlineStr">
        <is>
          <t>Carbon Steel</t>
        </is>
      </c>
      <c r="AA207" s="45" t="inlineStr">
        <is>
          <t>ASTM A108 12L14</t>
        </is>
      </c>
      <c r="AB207" s="45" t="inlineStr">
        <is>
          <t>Trivalent Cr3 Zinc</t>
        </is>
      </c>
      <c r="AC207" s="45" t="inlineStr">
        <is>
          <t>ASTM B633 Type V/VI</t>
        </is>
      </c>
      <c r="AD207" s="46" t="n">
        <v>2000</v>
      </c>
      <c r="AE207" s="46" t="inlineStr">
        <is>
          <t>generic SAE table @ dash -24 (governing end)</t>
        </is>
      </c>
      <c r="AF207" s="46" t="n">
        <v>-65</v>
      </c>
      <c r="AG207" s="46" t="n">
        <v>400</v>
      </c>
      <c r="AH207" s="37" t="inlineStr">
        <is>
          <t>Ham-Let + hoseandfittings (pressure); Parker Cat.4300 (material); ASTM B633 (finish); see StandardsData</t>
        </is>
      </c>
    </row>
    <row r="208" ht="15" customHeight="1" s="35">
      <c r="A208" s="37" t="inlineStr">
        <is>
          <t>6802-20-16-NWO-FG</t>
        </is>
      </c>
      <c r="B208" s="37" t="inlineStr">
        <is>
          <t>6802-20-16 NWO-FG</t>
        </is>
      </c>
      <c r="C208" s="37" t="inlineStr">
        <is>
          <t>6802</t>
        </is>
      </c>
      <c r="D208" s="37" t="n">
        <v>158</v>
      </c>
      <c r="E208" s="37" t="inlineStr">
        <is>
          <t>45 deg</t>
        </is>
      </c>
      <c r="F208" s="37" t="inlineStr">
        <is>
          <t>45 deg Straight Thread Elbow, 1 5/8-12 x 1 5/16-12</t>
        </is>
      </c>
      <c r="G208" s="37" t="inlineStr">
        <is>
          <t>1 5/16-12</t>
        </is>
      </c>
      <c r="H208" s="37" t="inlineStr">
        <is>
          <t>1 5/8-12</t>
        </is>
      </c>
      <c r="I208" s="37" t="n"/>
      <c r="J208" s="37" t="inlineStr">
        <is>
          <t>SAE J1926-1</t>
        </is>
      </c>
      <c r="K208" s="37" t="inlineStr">
        <is>
          <t>SAE J514-1</t>
        </is>
      </c>
      <c r="L208" s="37" t="n">
        <v>1.59</v>
      </c>
      <c r="M208" s="37" t="n">
        <v>1.91</v>
      </c>
      <c r="N208" s="37" t="n">
        <v>1.5</v>
      </c>
      <c r="O208" s="37" t="n">
        <v>1.63</v>
      </c>
      <c r="P208" s="37" t="n">
        <v>1.08</v>
      </c>
      <c r="Q208" s="37" t="n">
        <v>0.84</v>
      </c>
      <c r="R208" s="44" t="n">
        <v>1.63</v>
      </c>
      <c r="S208" s="44" t="n">
        <v>1.5</v>
      </c>
      <c r="T208" s="37" t="n">
        <v>45</v>
      </c>
      <c r="U208" s="37" t="inlineStr">
        <is>
          <t>ASSUMED</t>
        </is>
      </c>
      <c r="V208" s="37" t="inlineStr">
        <is>
          <t>MS51528 covers matched-dash sizes only; Air-Way remains single source.</t>
        </is>
      </c>
      <c r="W208" s="37" t="inlineStr">
        <is>
          <t>BUILD</t>
        </is>
      </c>
      <c r="X208" s="37" t="inlineStr">
        <is>
          <t>Hex = Air-Way C4 column (per-part). Matched sizes in this topology corroborate the column.</t>
        </is>
      </c>
      <c r="Z208" s="45" t="inlineStr">
        <is>
          <t>Carbon Steel</t>
        </is>
      </c>
      <c r="AA208" s="45" t="inlineStr">
        <is>
          <t>ASTM A108 12L14</t>
        </is>
      </c>
      <c r="AB208" s="45" t="inlineStr">
        <is>
          <t>Trivalent Cr3 Zinc</t>
        </is>
      </c>
      <c r="AC208" s="45" t="inlineStr">
        <is>
          <t>ASTM B633 Type V/VI</t>
        </is>
      </c>
      <c r="AD208" s="46" t="n">
        <v>2500</v>
      </c>
      <c r="AE208" s="46" t="inlineStr">
        <is>
          <t>generic SAE table @ dash -20 (governing end)</t>
        </is>
      </c>
      <c r="AF208" s="46" t="n">
        <v>-65</v>
      </c>
      <c r="AG208" s="46" t="n">
        <v>400</v>
      </c>
      <c r="AH208" s="37" t="inlineStr">
        <is>
          <t>Ham-Let + hoseandfittings (pressure); Parker Cat.4300 (material); ASTM B633 (finish); see StandardsData</t>
        </is>
      </c>
    </row>
    <row r="209" ht="15" customHeight="1" s="35">
      <c r="A209" s="37" t="inlineStr">
        <is>
          <t>6802-20-20-NWO-FG</t>
        </is>
      </c>
      <c r="B209" s="37" t="inlineStr">
        <is>
          <t>6802-20-20 NWO-FG</t>
        </is>
      </c>
      <c r="C209" s="37" t="inlineStr">
        <is>
          <t>6802</t>
        </is>
      </c>
      <c r="D209" s="37" t="n">
        <v>158</v>
      </c>
      <c r="E209" s="37" t="inlineStr">
        <is>
          <t>45 deg</t>
        </is>
      </c>
      <c r="F209" s="37" t="inlineStr">
        <is>
          <t>45 deg Straight Thread Elbow, 1 5/8-12 x 1 5/8-12</t>
        </is>
      </c>
      <c r="G209" s="37" t="inlineStr">
        <is>
          <t>1 5/8-12</t>
        </is>
      </c>
      <c r="H209" s="37" t="inlineStr">
        <is>
          <t>1 5/8-12</t>
        </is>
      </c>
      <c r="I209" s="37" t="n"/>
      <c r="J209" s="37" t="inlineStr">
        <is>
          <t>SAE J1926-1</t>
        </is>
      </c>
      <c r="K209" s="37" t="inlineStr">
        <is>
          <t>SAE J514-1</t>
        </is>
      </c>
      <c r="L209" s="37" t="n">
        <v>1.59</v>
      </c>
      <c r="M209" s="37" t="n">
        <v>1.91</v>
      </c>
      <c r="N209" s="37" t="n">
        <v>1.88</v>
      </c>
      <c r="O209" s="37" t="n">
        <v>1.63</v>
      </c>
      <c r="P209" s="37" t="n">
        <v>1.08</v>
      </c>
      <c r="Q209" s="37" t="n">
        <v>1.08</v>
      </c>
      <c r="R209" s="45" t="n">
        <v>1.63</v>
      </c>
      <c r="S209" s="45" t="n">
        <v>1.88</v>
      </c>
      <c r="T209" s="37" t="n">
        <v>45</v>
      </c>
      <c r="U209" s="37" t="inlineStr">
        <is>
          <t>VERIFIED</t>
        </is>
      </c>
      <c r="V209" s="37" t="inlineStr">
        <is>
          <t>MS51528 cross-check 2026-09-04: threads, both legs, both bores AGREE.</t>
        </is>
      </c>
      <c r="W209" s="37" t="inlineStr">
        <is>
          <t>BUILD</t>
        </is>
      </c>
      <c r="X209" s="37" t="inlineStr">
        <is>
          <t>Hex = Air-Way C4 column, CONFIRMED vs PressureConnections/Purvis.</t>
        </is>
      </c>
      <c r="Z209" s="45" t="inlineStr">
        <is>
          <t>Carbon Steel</t>
        </is>
      </c>
      <c r="AA209" s="45" t="inlineStr">
        <is>
          <t>ASTM A108 12L14</t>
        </is>
      </c>
      <c r="AB209" s="45" t="inlineStr">
        <is>
          <t>Trivalent Cr3 Zinc</t>
        </is>
      </c>
      <c r="AC209" s="45" t="inlineStr">
        <is>
          <t>ASTM B633 Type V/VI</t>
        </is>
      </c>
      <c r="AD209" s="46" t="n">
        <v>2500</v>
      </c>
      <c r="AE209" s="46" t="inlineStr">
        <is>
          <t>generic SAE table @ dash -20 (governing end)</t>
        </is>
      </c>
      <c r="AF209" s="46" t="n">
        <v>-65</v>
      </c>
      <c r="AG209" s="46" t="n">
        <v>400</v>
      </c>
      <c r="AH209" s="37" t="inlineStr">
        <is>
          <t>Ham-Let + hoseandfittings (pressure); Parker Cat.4300 (material); ASTM B633 (finish); see StandardsData</t>
        </is>
      </c>
    </row>
    <row r="210" ht="15" customHeight="1" s="35">
      <c r="A210" s="37" t="inlineStr">
        <is>
          <t>6802-20-20-NWO</t>
        </is>
      </c>
      <c r="B210" s="37" t="inlineStr">
        <is>
          <t>6802-20-20 NWO</t>
        </is>
      </c>
      <c r="C210" s="37" t="inlineStr">
        <is>
          <t>6802</t>
        </is>
      </c>
      <c r="D210" s="37" t="n">
        <v>158</v>
      </c>
      <c r="E210" s="37" t="inlineStr">
        <is>
          <t>45 deg</t>
        </is>
      </c>
      <c r="F210" s="37" t="inlineStr">
        <is>
          <t>45 deg Straight Thread Elbow, 1 5/8-12 x 1 5/8-12</t>
        </is>
      </c>
      <c r="G210" s="37" t="inlineStr">
        <is>
          <t>1 5/8-12</t>
        </is>
      </c>
      <c r="H210" s="37" t="inlineStr">
        <is>
          <t>1 5/8-12</t>
        </is>
      </c>
      <c r="I210" s="37" t="n"/>
      <c r="J210" s="37" t="inlineStr">
        <is>
          <t>SAE J1926-1</t>
        </is>
      </c>
      <c r="K210" s="37" t="inlineStr">
        <is>
          <t>SAE J514-1</t>
        </is>
      </c>
      <c r="L210" s="37" t="n">
        <v>1.59</v>
      </c>
      <c r="M210" s="37" t="n">
        <v>1.91</v>
      </c>
      <c r="N210" s="37" t="n">
        <v>1.88</v>
      </c>
      <c r="O210" s="37" t="n">
        <v>1.75</v>
      </c>
      <c r="P210" s="37" t="n">
        <v>1.08</v>
      </c>
      <c r="Q210" s="37" t="n">
        <v>1.08</v>
      </c>
      <c r="R210" s="45" t="n">
        <v>1.75</v>
      </c>
      <c r="S210" s="45" t="n">
        <v>1.88</v>
      </c>
      <c r="T210" s="37" t="n">
        <v>45</v>
      </c>
      <c r="U210" s="37" t="inlineStr">
        <is>
          <t>VERIFIED</t>
        </is>
      </c>
      <c r="V210" s="37" t="inlineStr">
        <is>
          <t>MS51528 cross-check 2026-09-04: threads, both legs, both bores AGREE.</t>
        </is>
      </c>
      <c r="W210" s="37" t="inlineStr">
        <is>
          <t>BUILD</t>
        </is>
      </c>
      <c r="X210" s="37" t="inlineStr">
        <is>
          <t>Hex = Air-Way C4 column, CONFIRMED vs PressureConnections/Purvis.</t>
        </is>
      </c>
      <c r="Z210" s="45" t="inlineStr">
        <is>
          <t>Carbon Steel</t>
        </is>
      </c>
      <c r="AA210" s="45" t="inlineStr">
        <is>
          <t>ASTM A108 12L14</t>
        </is>
      </c>
      <c r="AB210" s="45" t="inlineStr">
        <is>
          <t>Trivalent Cr3 Zinc</t>
        </is>
      </c>
      <c r="AC210" s="45" t="inlineStr">
        <is>
          <t>ASTM B633 Type V/VI</t>
        </is>
      </c>
      <c r="AD210" s="46" t="n">
        <v>2500</v>
      </c>
      <c r="AE210" s="46" t="inlineStr">
        <is>
          <t>generic SAE table @ dash -20 (governing end)</t>
        </is>
      </c>
      <c r="AF210" s="46" t="n">
        <v>-65</v>
      </c>
      <c r="AG210" s="46" t="n">
        <v>400</v>
      </c>
      <c r="AH210" s="37" t="inlineStr">
        <is>
          <t>Ham-Let + hoseandfittings (pressure); Parker Cat.4300 (material); ASTM B633 (finish); see StandardsData</t>
        </is>
      </c>
    </row>
    <row r="211" ht="15" customHeight="1" s="35">
      <c r="A211" s="37" t="inlineStr">
        <is>
          <t>6802-24-20-NWO</t>
        </is>
      </c>
      <c r="B211" s="37" t="inlineStr">
        <is>
          <t>6802-24-20 NWO</t>
        </is>
      </c>
      <c r="C211" s="37" t="inlineStr">
        <is>
          <t>6802</t>
        </is>
      </c>
      <c r="D211" s="37" t="n">
        <v>158</v>
      </c>
      <c r="E211" s="37" t="inlineStr">
        <is>
          <t>45 deg</t>
        </is>
      </c>
      <c r="F211" s="37" t="inlineStr">
        <is>
          <t>45 deg Straight Thread Elbow, 1 7/8-12 x 1 5/8-12</t>
        </is>
      </c>
      <c r="G211" s="37" t="inlineStr">
        <is>
          <t>1 5/8-12</t>
        </is>
      </c>
      <c r="H211" s="37" t="inlineStr">
        <is>
          <t>1 7/8-12</t>
        </is>
      </c>
      <c r="I211" s="37" t="n"/>
      <c r="J211" s="37" t="inlineStr">
        <is>
          <t>SAE J1926-1</t>
        </is>
      </c>
      <c r="K211" s="37" t="inlineStr">
        <is>
          <t>SAE J514-1</t>
        </is>
      </c>
      <c r="L211" s="37" t="n">
        <v>1.78</v>
      </c>
      <c r="M211" s="37" t="n">
        <v>1.91</v>
      </c>
      <c r="N211" s="37" t="n">
        <v>1.88</v>
      </c>
      <c r="O211" s="37" t="n">
        <v>2</v>
      </c>
      <c r="P211" s="37" t="n">
        <v>1.31</v>
      </c>
      <c r="Q211" s="37" t="n">
        <v>1.08</v>
      </c>
      <c r="R211" s="44" t="n">
        <v>2</v>
      </c>
      <c r="S211" s="44" t="n">
        <v>1.88</v>
      </c>
      <c r="T211" s="37" t="n">
        <v>45</v>
      </c>
      <c r="U211" s="37" t="inlineStr">
        <is>
          <t>ASSUMED</t>
        </is>
      </c>
      <c r="V211" s="37" t="inlineStr">
        <is>
          <t>MS51528 covers matched-dash sizes only; Air-Way remains single source.</t>
        </is>
      </c>
      <c r="W211" s="37" t="inlineStr">
        <is>
          <t>BUILD</t>
        </is>
      </c>
      <c r="X211" s="37" t="inlineStr">
        <is>
          <t>Hex = Air-Way C4 column (per-part). Matched sizes in this topology corroborate the column.</t>
        </is>
      </c>
      <c r="Z211" s="45" t="inlineStr">
        <is>
          <t>Carbon Steel</t>
        </is>
      </c>
      <c r="AA211" s="45" t="inlineStr">
        <is>
          <t>ASTM A108 12L14</t>
        </is>
      </c>
      <c r="AB211" s="45" t="inlineStr">
        <is>
          <t>Trivalent Cr3 Zinc</t>
        </is>
      </c>
      <c r="AC211" s="45" t="inlineStr">
        <is>
          <t>ASTM B633 Type V/VI</t>
        </is>
      </c>
      <c r="AD211" s="46" t="n">
        <v>2000</v>
      </c>
      <c r="AE211" s="46" t="inlineStr">
        <is>
          <t>generic SAE table @ dash -24 (governing end)</t>
        </is>
      </c>
      <c r="AF211" s="46" t="n">
        <v>-65</v>
      </c>
      <c r="AG211" s="46" t="n">
        <v>400</v>
      </c>
      <c r="AH211" s="37" t="inlineStr">
        <is>
          <t>Ham-Let + hoseandfittings (pressure); Parker Cat.4300 (material); ASTM B633 (finish); see StandardsData</t>
        </is>
      </c>
    </row>
    <row r="212" ht="15" customHeight="1" s="35">
      <c r="A212" s="37" t="inlineStr">
        <is>
          <t>6802-20-24-NWO</t>
        </is>
      </c>
      <c r="B212" s="37" t="inlineStr">
        <is>
          <t>6802-20-24 NWO</t>
        </is>
      </c>
      <c r="C212" s="37" t="inlineStr">
        <is>
          <t>6802</t>
        </is>
      </c>
      <c r="D212" s="37" t="n">
        <v>158</v>
      </c>
      <c r="E212" s="37" t="inlineStr">
        <is>
          <t>45 deg</t>
        </is>
      </c>
      <c r="F212" s="37" t="inlineStr">
        <is>
          <t>45 deg Straight Thread Elbow, 1 5/8-12 x 1 7/8-12</t>
        </is>
      </c>
      <c r="G212" s="37" t="inlineStr">
        <is>
          <t>1 7/8-12</t>
        </is>
      </c>
      <c r="H212" s="37" t="inlineStr">
        <is>
          <t>1 5/8-12</t>
        </is>
      </c>
      <c r="I212" s="37" t="n"/>
      <c r="J212" s="37" t="inlineStr">
        <is>
          <t>SAE J1926-1</t>
        </is>
      </c>
      <c r="K212" s="37" t="inlineStr">
        <is>
          <t>SAE J514-1</t>
        </is>
      </c>
      <c r="L212" s="37" t="n">
        <v>1.66</v>
      </c>
      <c r="M212" s="37" t="n">
        <v>1.91</v>
      </c>
      <c r="N212" s="37" t="n">
        <v>2.13</v>
      </c>
      <c r="O212" s="37" t="n">
        <v>2</v>
      </c>
      <c r="P212" s="37" t="n">
        <v>1.08</v>
      </c>
      <c r="Q212" s="37" t="n">
        <v>1.31</v>
      </c>
      <c r="R212" s="44" t="n">
        <v>2</v>
      </c>
      <c r="S212" s="44" t="n">
        <v>2.13</v>
      </c>
      <c r="T212" s="37" t="n">
        <v>45</v>
      </c>
      <c r="U212" s="37" t="inlineStr">
        <is>
          <t>ASSUMED</t>
        </is>
      </c>
      <c r="V212" s="37" t="inlineStr">
        <is>
          <t>MS51528 covers matched-dash sizes only; Air-Way remains single source.</t>
        </is>
      </c>
      <c r="W212" s="37" t="inlineStr">
        <is>
          <t>BUILD</t>
        </is>
      </c>
      <c r="X212" s="37" t="inlineStr">
        <is>
          <t>Hex = Air-Way C4 column (per-part). Matched sizes in this topology corroborate the column.</t>
        </is>
      </c>
      <c r="Z212" s="45" t="inlineStr">
        <is>
          <t>Carbon Steel</t>
        </is>
      </c>
      <c r="AA212" s="45" t="inlineStr">
        <is>
          <t>ASTM A108 12L14</t>
        </is>
      </c>
      <c r="AB212" s="45" t="inlineStr">
        <is>
          <t>Trivalent Cr3 Zinc</t>
        </is>
      </c>
      <c r="AC212" s="45" t="inlineStr">
        <is>
          <t>ASTM B633 Type V/VI</t>
        </is>
      </c>
      <c r="AD212" s="46" t="n">
        <v>2000</v>
      </c>
      <c r="AE212" s="46" t="inlineStr">
        <is>
          <t>generic SAE table @ dash -24 (governing end)</t>
        </is>
      </c>
      <c r="AF212" s="46" t="n">
        <v>-65</v>
      </c>
      <c r="AG212" s="46" t="n">
        <v>400</v>
      </c>
      <c r="AH212" s="37" t="inlineStr">
        <is>
          <t>Ham-Let + hoseandfittings (pressure); Parker Cat.4300 (material); ASTM B633 (finish); see StandardsData</t>
        </is>
      </c>
    </row>
    <row r="213" ht="15" customHeight="1" s="35">
      <c r="A213" s="37" t="inlineStr">
        <is>
          <t>6802-24-24-NWO-FG</t>
        </is>
      </c>
      <c r="B213" s="37" t="inlineStr">
        <is>
          <t>6802-24-24 NWO-FG</t>
        </is>
      </c>
      <c r="C213" s="37" t="inlineStr">
        <is>
          <t>6802</t>
        </is>
      </c>
      <c r="D213" s="37" t="n">
        <v>158</v>
      </c>
      <c r="E213" s="37" t="inlineStr">
        <is>
          <t>45 deg</t>
        </is>
      </c>
      <c r="F213" s="37" t="inlineStr">
        <is>
          <t>45 deg Straight Thread Elbow, 1 7/8-12 x 1 7/8-12</t>
        </is>
      </c>
      <c r="G213" s="37" t="inlineStr">
        <is>
          <t>1 7/8-12</t>
        </is>
      </c>
      <c r="H213" s="37" t="inlineStr">
        <is>
          <t>1 7/8-12</t>
        </is>
      </c>
      <c r="I213" s="37" t="n"/>
      <c r="J213" s="37" t="inlineStr">
        <is>
          <t>SAE J1926-1</t>
        </is>
      </c>
      <c r="K213" s="37" t="inlineStr">
        <is>
          <t>SAE J514-1</t>
        </is>
      </c>
      <c r="L213" s="37" t="n">
        <v>1.78</v>
      </c>
      <c r="M213" s="37" t="n">
        <v>1.91</v>
      </c>
      <c r="N213" s="37" t="n">
        <v>2.13</v>
      </c>
      <c r="O213" s="37" t="n">
        <v>1.87</v>
      </c>
      <c r="P213" s="37" t="n">
        <v>1.31</v>
      </c>
      <c r="Q213" s="37" t="n">
        <v>1.31</v>
      </c>
      <c r="R213" s="45" t="n">
        <v>1.87</v>
      </c>
      <c r="S213" s="45" t="n">
        <v>2.13</v>
      </c>
      <c r="T213" s="37" t="n">
        <v>45</v>
      </c>
      <c r="U213" s="37" t="inlineStr">
        <is>
          <t>VERIFIED</t>
        </is>
      </c>
      <c r="V213" s="37" t="inlineStr">
        <is>
          <t>MS51528 cross-check 2026-09-04: threads, both legs, both bores AGREE.</t>
        </is>
      </c>
      <c r="W213" s="37" t="inlineStr">
        <is>
          <t>BUILD</t>
        </is>
      </c>
      <c r="X213" s="37" t="inlineStr">
        <is>
          <t>Hex = Air-Way C4 column, CONFIRMED vs PressureConnections/Purvis.</t>
        </is>
      </c>
      <c r="Z213" s="45" t="inlineStr">
        <is>
          <t>Carbon Steel</t>
        </is>
      </c>
      <c r="AA213" s="45" t="inlineStr">
        <is>
          <t>ASTM A108 12L14</t>
        </is>
      </c>
      <c r="AB213" s="45" t="inlineStr">
        <is>
          <t>Trivalent Cr3 Zinc</t>
        </is>
      </c>
      <c r="AC213" s="45" t="inlineStr">
        <is>
          <t>ASTM B633 Type V/VI</t>
        </is>
      </c>
      <c r="AD213" s="46" t="n">
        <v>2000</v>
      </c>
      <c r="AE213" s="46" t="inlineStr">
        <is>
          <t>generic SAE table @ dash -24 (governing end)</t>
        </is>
      </c>
      <c r="AF213" s="46" t="n">
        <v>-65</v>
      </c>
      <c r="AG213" s="46" t="n">
        <v>400</v>
      </c>
      <c r="AH213" s="37" t="inlineStr">
        <is>
          <t>Ham-Let + hoseandfittings (pressure); Parker Cat.4300 (material); ASTM B633 (finish); see StandardsData</t>
        </is>
      </c>
    </row>
    <row r="214" ht="15" customHeight="1" s="35">
      <c r="A214" s="37" t="inlineStr">
        <is>
          <t>6802-24-24-NWO</t>
        </is>
      </c>
      <c r="B214" s="37" t="inlineStr">
        <is>
          <t>6802-24-24 NWO</t>
        </is>
      </c>
      <c r="C214" s="37" t="inlineStr">
        <is>
          <t>6802</t>
        </is>
      </c>
      <c r="D214" s="37" t="n">
        <v>158</v>
      </c>
      <c r="E214" s="37" t="inlineStr">
        <is>
          <t>45 deg</t>
        </is>
      </c>
      <c r="F214" s="37" t="inlineStr">
        <is>
          <t>45 deg Straight Thread Elbow, 1 7/8-12 x 1 7/8-12</t>
        </is>
      </c>
      <c r="G214" s="37" t="inlineStr">
        <is>
          <t>1 7/8-12</t>
        </is>
      </c>
      <c r="H214" s="37" t="inlineStr">
        <is>
          <t>1 7/8-12</t>
        </is>
      </c>
      <c r="I214" s="37" t="n"/>
      <c r="J214" s="37" t="inlineStr">
        <is>
          <t>SAE J1926-1</t>
        </is>
      </c>
      <c r="K214" s="37" t="inlineStr">
        <is>
          <t>SAE J514-1</t>
        </is>
      </c>
      <c r="L214" s="37" t="n">
        <v>1.78</v>
      </c>
      <c r="M214" s="37" t="n">
        <v>1.91</v>
      </c>
      <c r="N214" s="37" t="n">
        <v>2.13</v>
      </c>
      <c r="O214" s="37" t="n">
        <v>2</v>
      </c>
      <c r="P214" s="37" t="n">
        <v>1.31</v>
      </c>
      <c r="Q214" s="37" t="n">
        <v>1.31</v>
      </c>
      <c r="R214" s="45" t="n">
        <v>2</v>
      </c>
      <c r="S214" s="45" t="n">
        <v>2.13</v>
      </c>
      <c r="T214" s="37" t="n">
        <v>45</v>
      </c>
      <c r="U214" s="37" t="inlineStr">
        <is>
          <t>VERIFIED</t>
        </is>
      </c>
      <c r="V214" s="37" t="inlineStr">
        <is>
          <t>MS51528 cross-check 2026-09-04: threads, both legs, both bores AGREE.</t>
        </is>
      </c>
      <c r="W214" s="37" t="inlineStr">
        <is>
          <t>BUILD</t>
        </is>
      </c>
      <c r="X214" s="37" t="inlineStr">
        <is>
          <t>Hex = Air-Way C4 column, CONFIRMED vs PressureConnections/Purvis.</t>
        </is>
      </c>
      <c r="Z214" s="45" t="inlineStr">
        <is>
          <t>Carbon Steel</t>
        </is>
      </c>
      <c r="AA214" s="45" t="inlineStr">
        <is>
          <t>ASTM A108 12L14</t>
        </is>
      </c>
      <c r="AB214" s="45" t="inlineStr">
        <is>
          <t>Trivalent Cr3 Zinc</t>
        </is>
      </c>
      <c r="AC214" s="45" t="inlineStr">
        <is>
          <t>ASTM B633 Type V/VI</t>
        </is>
      </c>
      <c r="AD214" s="46" t="n">
        <v>2000</v>
      </c>
      <c r="AE214" s="46" t="inlineStr">
        <is>
          <t>generic SAE table @ dash -24 (governing end)</t>
        </is>
      </c>
      <c r="AF214" s="46" t="n">
        <v>-65</v>
      </c>
      <c r="AG214" s="46" t="n">
        <v>400</v>
      </c>
      <c r="AH214" s="37" t="inlineStr">
        <is>
          <t>Ham-Let + hoseandfittings (pressure); Parker Cat.4300 (material); ASTM B633 (finish); see StandardsData</t>
        </is>
      </c>
    </row>
    <row r="215" ht="15" customHeight="1" s="35">
      <c r="A215" s="37" t="inlineStr">
        <is>
          <t>6802-32-32-NWO</t>
        </is>
      </c>
      <c r="B215" s="37" t="inlineStr">
        <is>
          <t>6802-32-32 NWO</t>
        </is>
      </c>
      <c r="C215" s="37" t="inlineStr">
        <is>
          <t>6802</t>
        </is>
      </c>
      <c r="D215" s="37" t="n">
        <v>158</v>
      </c>
      <c r="E215" s="37" t="inlineStr">
        <is>
          <t>45 deg</t>
        </is>
      </c>
      <c r="F215" s="37" t="inlineStr">
        <is>
          <t>45 deg Straight Thread Elbow, 2 1/2-12 x 2 1/2-12</t>
        </is>
      </c>
      <c r="G215" s="37" t="inlineStr">
        <is>
          <t>2 1/2-12</t>
        </is>
      </c>
      <c r="H215" s="37" t="inlineStr">
        <is>
          <t>2 1/2-12</t>
        </is>
      </c>
      <c r="I215" s="37" t="n"/>
      <c r="J215" s="37" t="inlineStr">
        <is>
          <t>SAE J1926-1</t>
        </is>
      </c>
      <c r="K215" s="37" t="inlineStr">
        <is>
          <t>SAE J514-1</t>
        </is>
      </c>
      <c r="L215" s="37" t="n">
        <v>2.22</v>
      </c>
      <c r="M215" s="37" t="n">
        <v>1.86</v>
      </c>
      <c r="N215" s="37" t="n">
        <v>2.75</v>
      </c>
      <c r="O215" s="37" t="n">
        <v>2.63</v>
      </c>
      <c r="P215" s="37" t="n">
        <v>1.78</v>
      </c>
      <c r="Q215" s="37" t="n">
        <v>1.78</v>
      </c>
      <c r="R215" s="45" t="n">
        <v>2.63</v>
      </c>
      <c r="S215" s="45" t="n">
        <v>2.75</v>
      </c>
      <c r="T215" s="37" t="n">
        <v>45</v>
      </c>
      <c r="U215" s="37" t="inlineStr">
        <is>
          <t>VERIFIED</t>
        </is>
      </c>
      <c r="V215" s="37" t="inlineStr">
        <is>
          <t>MS51528 cross-check 2026-09-04: threads, both legs, both bores AGREE.</t>
        </is>
      </c>
      <c r="W215" s="37" t="inlineStr">
        <is>
          <t>BUILD</t>
        </is>
      </c>
      <c r="X215" s="37" t="inlineStr">
        <is>
          <t>Hex = Air-Way C4 column, CONFIRMED vs PressureConnections/Purvis.</t>
        </is>
      </c>
      <c r="Z215" s="45" t="inlineStr">
        <is>
          <t>Carbon Steel</t>
        </is>
      </c>
      <c r="AA215" s="45" t="inlineStr">
        <is>
          <t>ASTM A108 12L14</t>
        </is>
      </c>
      <c r="AB215" s="45" t="inlineStr">
        <is>
          <t>Trivalent Cr3 Zinc</t>
        </is>
      </c>
      <c r="AC215" s="45" t="inlineStr">
        <is>
          <t>ASTM B633 Type V/VI</t>
        </is>
      </c>
      <c r="AD215" s="46" t="n">
        <v>1500</v>
      </c>
      <c r="AE215" s="46" t="inlineStr">
        <is>
          <t>generic SAE table @ dash -32 (governing end)</t>
        </is>
      </c>
      <c r="AF215" s="46" t="n">
        <v>-65</v>
      </c>
      <c r="AG215" s="46" t="n">
        <v>400</v>
      </c>
      <c r="AH215" s="37" t="inlineStr">
        <is>
          <t>Ham-Let + hoseandfittings (pressure); Parker Cat.4300 (material); ASTM B633 (finish); see StandardsData</t>
        </is>
      </c>
    </row>
    <row r="216" ht="15" customHeight="1" s="35">
      <c r="A216" s="37" t="inlineStr">
        <is>
          <t>2501-02-02-FG</t>
        </is>
      </c>
      <c r="B216" s="37" t="inlineStr">
        <is>
          <t>2501-2-2-FG</t>
        </is>
      </c>
      <c r="C216" s="37" t="inlineStr">
        <is>
          <t>2501</t>
        </is>
      </c>
      <c r="D216" s="37" t="n">
        <v>118</v>
      </c>
      <c r="E216" s="37" t="inlineStr">
        <is>
          <t>90 deg</t>
        </is>
      </c>
      <c r="F216" s="37" t="inlineStr">
        <is>
          <t>90 deg Male Elbow, 5/16-24 x 1/8-27</t>
        </is>
      </c>
      <c r="G216" s="37" t="inlineStr">
        <is>
          <t>1/8-27</t>
        </is>
      </c>
      <c r="H216" s="37" t="inlineStr">
        <is>
          <t>5/16-24</t>
        </is>
      </c>
      <c r="I216" s="37" t="inlineStr">
        <is>
          <t>1/8</t>
        </is>
      </c>
      <c r="J216" s="37" t="inlineStr">
        <is>
          <t>ASME B1.20.3</t>
        </is>
      </c>
      <c r="K216" s="37" t="inlineStr">
        <is>
          <t>SAE J514-1</t>
        </is>
      </c>
      <c r="L216" s="37" t="n">
        <v>0.77</v>
      </c>
      <c r="M216" s="37" t="n">
        <v>0.72</v>
      </c>
      <c r="N216" s="37" t="n">
        <v>0.44</v>
      </c>
      <c r="O216" s="37" t="n">
        <v>0.06</v>
      </c>
      <c r="P216" s="37" t="n">
        <v>0.19</v>
      </c>
      <c r="Q216" s="37" t="n"/>
      <c r="R216" s="44" t="n"/>
      <c r="S216" s="45" t="n">
        <v>0.4375</v>
      </c>
      <c r="T216" s="37" t="n">
        <v>90</v>
      </c>
      <c r="U216" s="37" t="inlineStr">
        <is>
          <t>ASSUMED</t>
        </is>
      </c>
      <c r="V216" s="37" t="inlineStr">
        <is>
          <t>MS51504 cross-check 2026-09-04: B,M,N,D,D1 all AGREE (forged pattern).</t>
        </is>
      </c>
      <c r="W216" s="37" t="inlineStr">
        <is>
          <t>BUILD</t>
        </is>
      </c>
      <c r="X216" s="37" t="inlineStr">
        <is>
          <t>Dimensions verbatim from Air-Way, two reconciled passes. Hex/material/finish/pressure outstanding. | Single body hex 7/16 keyed to larger dash -2 (sources show hex follows larger end).</t>
        </is>
      </c>
      <c r="Z216" s="45" t="inlineStr">
        <is>
          <t>Carbon Steel</t>
        </is>
      </c>
      <c r="AA216" s="45" t="inlineStr">
        <is>
          <t>ASTM A108 12L14</t>
        </is>
      </c>
      <c r="AB216" s="45" t="inlineStr">
        <is>
          <t>Trivalent Cr3 Zinc</t>
        </is>
      </c>
      <c r="AC216" s="45" t="inlineStr">
        <is>
          <t>ASTM B633 Type V/VI</t>
        </is>
      </c>
      <c r="AD216" s="46" t="n">
        <v>5000</v>
      </c>
      <c r="AE216" s="46" t="inlineStr">
        <is>
          <t>generic SAE table @ dash -2 (governing end)</t>
        </is>
      </c>
      <c r="AF216" s="46" t="n">
        <v>-65</v>
      </c>
      <c r="AG216" s="46" t="n">
        <v>400</v>
      </c>
      <c r="AH216" s="37" t="inlineStr">
        <is>
          <t>Ham-Let + hoseandfittings (pressure); Parker Cat.4300 (material); ASTM B633 (finish); see StandardsData</t>
        </is>
      </c>
    </row>
    <row r="217" ht="15" customHeight="1" s="35">
      <c r="A217" s="37" t="inlineStr">
        <is>
          <t>2501-02-02</t>
        </is>
      </c>
      <c r="B217" s="37" t="inlineStr">
        <is>
          <t>2501-2-2</t>
        </is>
      </c>
      <c r="C217" s="37" t="inlineStr">
        <is>
          <t>2501</t>
        </is>
      </c>
      <c r="D217" s="37" t="n">
        <v>118</v>
      </c>
      <c r="E217" s="37" t="inlineStr">
        <is>
          <t>90 deg</t>
        </is>
      </c>
      <c r="F217" s="37" t="inlineStr">
        <is>
          <t>90 deg Male Elbow, 5/16-24 x 1/8-27</t>
        </is>
      </c>
      <c r="G217" s="37" t="inlineStr">
        <is>
          <t>1/8-27</t>
        </is>
      </c>
      <c r="H217" s="37" t="inlineStr">
        <is>
          <t>5/16-24</t>
        </is>
      </c>
      <c r="I217" s="37" t="inlineStr">
        <is>
          <t>1/8</t>
        </is>
      </c>
      <c r="J217" s="37" t="inlineStr">
        <is>
          <t>ASME B1.20.3</t>
        </is>
      </c>
      <c r="K217" s="37" t="inlineStr">
        <is>
          <t>SAE J514-1</t>
        </is>
      </c>
      <c r="L217" s="37" t="n">
        <v>0.8100000000000001</v>
      </c>
      <c r="M217" s="37" t="n">
        <v>0.78</v>
      </c>
      <c r="N217" s="37" t="n">
        <v>0.5</v>
      </c>
      <c r="O217" s="37" t="n">
        <v>0.06</v>
      </c>
      <c r="P217" s="37" t="n">
        <v>0.19</v>
      </c>
      <c r="Q217" s="37" t="n"/>
      <c r="R217" s="44" t="n"/>
      <c r="S217" s="45" t="n">
        <v>0.4375</v>
      </c>
      <c r="T217" s="37" t="n">
        <v>90</v>
      </c>
      <c r="U217" s="37" t="inlineStr">
        <is>
          <t>ASSUMED</t>
        </is>
      </c>
      <c r="V217" s="37" t="inlineStr">
        <is>
          <t>Non-forged leg pattern; MS51504 covers the forged pattern (FG sibling matches MS). Air-Way single source for these legs.</t>
        </is>
      </c>
      <c r="W217" s="37" t="inlineStr">
        <is>
          <t>BUILD</t>
        </is>
      </c>
      <c r="X217" s="37" t="inlineStr">
        <is>
          <t>Dimensions verbatim from Air-Way, two reconciled passes. Hex/material/finish/pressure outstanding. | Single body hex 7/16 keyed to larger dash -2 (sources show hex follows larger end).</t>
        </is>
      </c>
      <c r="Z217" s="45" t="inlineStr">
        <is>
          <t>Carbon Steel</t>
        </is>
      </c>
      <c r="AA217" s="45" t="inlineStr">
        <is>
          <t>ASTM A108 12L14</t>
        </is>
      </c>
      <c r="AB217" s="45" t="inlineStr">
        <is>
          <t>Trivalent Cr3 Zinc</t>
        </is>
      </c>
      <c r="AC217" s="45" t="inlineStr">
        <is>
          <t>ASTM B633 Type V/VI</t>
        </is>
      </c>
      <c r="AD217" s="46" t="n">
        <v>5000</v>
      </c>
      <c r="AE217" s="46" t="inlineStr">
        <is>
          <t>generic SAE table @ dash -2 (governing end)</t>
        </is>
      </c>
      <c r="AF217" s="46" t="n">
        <v>-65</v>
      </c>
      <c r="AG217" s="46" t="n">
        <v>400</v>
      </c>
      <c r="AH217" s="37" t="inlineStr">
        <is>
          <t>Ham-Let + hoseandfittings (pressure); Parker Cat.4300 (material); ASTM B633 (finish); see StandardsData</t>
        </is>
      </c>
    </row>
    <row r="218" ht="15" customHeight="1" s="35">
      <c r="A218" s="37" t="inlineStr">
        <is>
          <t>2501-02-04</t>
        </is>
      </c>
      <c r="B218" s="37" t="inlineStr">
        <is>
          <t>2501-2-4</t>
        </is>
      </c>
      <c r="C218" s="37" t="inlineStr">
        <is>
          <t>2501</t>
        </is>
      </c>
      <c r="D218" s="37" t="n">
        <v>118</v>
      </c>
      <c r="E218" s="37" t="inlineStr">
        <is>
          <t>90 deg</t>
        </is>
      </c>
      <c r="F218" s="37" t="inlineStr">
        <is>
          <t>90 deg Male Elbow, 5/16-24 x 1/4-18</t>
        </is>
      </c>
      <c r="G218" s="37" t="inlineStr">
        <is>
          <t>1/4-18</t>
        </is>
      </c>
      <c r="H218" s="37" t="inlineStr">
        <is>
          <t>5/16-24</t>
        </is>
      </c>
      <c r="I218" s="37" t="inlineStr">
        <is>
          <t>1/8</t>
        </is>
      </c>
      <c r="J218" s="37" t="inlineStr">
        <is>
          <t>ASME B1.20.3</t>
        </is>
      </c>
      <c r="K218" s="37" t="inlineStr">
        <is>
          <t>SAE J514-1</t>
        </is>
      </c>
      <c r="L218" s="37" t="n">
        <v>0.87</v>
      </c>
      <c r="M218" s="37" t="n">
        <v>1.09</v>
      </c>
      <c r="N218" s="37" t="n">
        <v>0.63</v>
      </c>
      <c r="O218" s="37" t="n">
        <v>0.06</v>
      </c>
      <c r="P218" s="37" t="n">
        <v>0.28</v>
      </c>
      <c r="Q218" s="37" t="n"/>
      <c r="R218" s="44" t="n"/>
      <c r="S218" s="45" t="n">
        <v>0.5625</v>
      </c>
      <c r="T218" s="37" t="n">
        <v>90</v>
      </c>
      <c r="U218" s="37" t="inlineStr">
        <is>
          <t>ASSUMED</t>
        </is>
      </c>
      <c r="V218" s="37" t="inlineStr">
        <is>
          <t>MS51504 has no row for this size combo; Air-Way remains single source.</t>
        </is>
      </c>
      <c r="W218" s="37" t="inlineStr">
        <is>
          <t>BUILD</t>
        </is>
      </c>
      <c r="X218" s="37" t="inlineStr">
        <is>
          <t>Dimensions verbatim from Air-Way, two reconciled passes. Hex/material/finish/pressure outstanding. | Single body hex 9/16 keyed to larger dash -4 (sources show hex follows larger end).</t>
        </is>
      </c>
      <c r="Z218" s="45" t="inlineStr">
        <is>
          <t>Carbon Steel</t>
        </is>
      </c>
      <c r="AA218" s="45" t="inlineStr">
        <is>
          <t>ASTM A108 12L14</t>
        </is>
      </c>
      <c r="AB218" s="45" t="inlineStr">
        <is>
          <t>Trivalent Cr3 Zinc</t>
        </is>
      </c>
      <c r="AC218" s="45" t="inlineStr">
        <is>
          <t>ASTM B633 Type V/VI</t>
        </is>
      </c>
      <c r="AD218" s="46" t="n">
        <v>5000</v>
      </c>
      <c r="AE218" s="46" t="inlineStr">
        <is>
          <t>generic SAE table @ dash -4 (governing end)</t>
        </is>
      </c>
      <c r="AF218" s="46" t="n">
        <v>-65</v>
      </c>
      <c r="AG218" s="46" t="n">
        <v>400</v>
      </c>
      <c r="AH218" s="37" t="inlineStr">
        <is>
          <t>Ham-Let + hoseandfittings (pressure); Parker Cat.4300 (material); ASTM B633 (finish); see StandardsData</t>
        </is>
      </c>
    </row>
    <row r="219" ht="15" customHeight="1" s="35">
      <c r="A219" s="37" t="inlineStr">
        <is>
          <t>2501-03-02-FG</t>
        </is>
      </c>
      <c r="B219" s="37" t="inlineStr">
        <is>
          <t>2501-3-2-FG</t>
        </is>
      </c>
      <c r="C219" s="37" t="inlineStr">
        <is>
          <t>2501</t>
        </is>
      </c>
      <c r="D219" s="37" t="n">
        <v>118</v>
      </c>
      <c r="E219" s="37" t="inlineStr">
        <is>
          <t>90 deg</t>
        </is>
      </c>
      <c r="F219" s="37" t="inlineStr">
        <is>
          <t>90 deg Male Elbow, 3/8-24 x 1/8-27</t>
        </is>
      </c>
      <c r="G219" s="37" t="inlineStr">
        <is>
          <t>1/8-27</t>
        </is>
      </c>
      <c r="H219" s="37" t="inlineStr">
        <is>
          <t>3/8-24</t>
        </is>
      </c>
      <c r="I219" s="37" t="inlineStr">
        <is>
          <t>3/16</t>
        </is>
      </c>
      <c r="J219" s="37" t="inlineStr">
        <is>
          <t>ASME B1.20.3</t>
        </is>
      </c>
      <c r="K219" s="37" t="inlineStr">
        <is>
          <t>SAE J514-1</t>
        </is>
      </c>
      <c r="L219" s="37" t="n">
        <v>0.83</v>
      </c>
      <c r="M219" s="37" t="n">
        <v>0.72</v>
      </c>
      <c r="N219" s="37" t="n">
        <v>0.44</v>
      </c>
      <c r="O219" s="37" t="n">
        <v>0.13</v>
      </c>
      <c r="P219" s="37" t="n">
        <v>0.19</v>
      </c>
      <c r="Q219" s="37" t="n"/>
      <c r="R219" s="44" t="n"/>
      <c r="S219" s="47" t="n"/>
      <c r="T219" s="37" t="n">
        <v>90</v>
      </c>
      <c r="U219" s="37" t="inlineStr">
        <is>
          <t>MISSING</t>
        </is>
      </c>
      <c r="V219" s="37" t="inlineStr">
        <is>
          <t>MS51504 cross-check 2026-09-04: B,M,N,D,D1 all AGREE (forged pattern).</t>
        </is>
      </c>
      <c r="W219" s="37" t="inlineStr">
        <is>
          <t>BUILD</t>
        </is>
      </c>
      <c r="X219" s="37" t="inlineStr">
        <is>
          <t>Dimensions verbatim from Air-Way, two reconciled passes. Hex/material/finish/pressure outstanding.</t>
        </is>
      </c>
      <c r="Z219" s="45" t="inlineStr">
        <is>
          <t>Carbon Steel</t>
        </is>
      </c>
      <c r="AA219" s="45" t="inlineStr">
        <is>
          <t>ASTM A108 12L14</t>
        </is>
      </c>
      <c r="AB219" s="45" t="inlineStr">
        <is>
          <t>Trivalent Cr3 Zinc</t>
        </is>
      </c>
      <c r="AC219" s="45" t="inlineStr">
        <is>
          <t>ASTM B633 Type V/VI</t>
        </is>
      </c>
      <c r="AD219" s="46" t="n">
        <v>5000</v>
      </c>
      <c r="AE219" s="46" t="inlineStr">
        <is>
          <t>generic SAE table @ dash -3 (governing end)</t>
        </is>
      </c>
      <c r="AF219" s="46" t="n">
        <v>-65</v>
      </c>
      <c r="AG219" s="46" t="n">
        <v>400</v>
      </c>
      <c r="AH219" s="37" t="inlineStr">
        <is>
          <t>Ham-Let + hoseandfittings (pressure); Parker Cat.4300 (material); ASTM B633 (finish); see StandardsData</t>
        </is>
      </c>
    </row>
    <row r="220" ht="15" customHeight="1" s="35">
      <c r="A220" s="37" t="inlineStr">
        <is>
          <t>2501-03-02</t>
        </is>
      </c>
      <c r="B220" s="37" t="inlineStr">
        <is>
          <t>2501-3-2</t>
        </is>
      </c>
      <c r="C220" s="37" t="inlineStr">
        <is>
          <t>2501</t>
        </is>
      </c>
      <c r="D220" s="37" t="n">
        <v>118</v>
      </c>
      <c r="E220" s="37" t="inlineStr">
        <is>
          <t>90 deg</t>
        </is>
      </c>
      <c r="F220" s="37" t="inlineStr">
        <is>
          <t>90 deg Male Elbow, 3/8-24 x 1/8-27</t>
        </is>
      </c>
      <c r="G220" s="37" t="inlineStr">
        <is>
          <t>1/8-27</t>
        </is>
      </c>
      <c r="H220" s="37" t="inlineStr">
        <is>
          <t>3/8-24</t>
        </is>
      </c>
      <c r="I220" s="37" t="inlineStr">
        <is>
          <t>3/16</t>
        </is>
      </c>
      <c r="J220" s="37" t="inlineStr">
        <is>
          <t>ASME B1.20.3</t>
        </is>
      </c>
      <c r="K220" s="37" t="inlineStr">
        <is>
          <t>SAE J514-1</t>
        </is>
      </c>
      <c r="L220" s="37" t="n">
        <v>0.86</v>
      </c>
      <c r="M220" s="37" t="n">
        <v>0.78</v>
      </c>
      <c r="N220" s="37" t="n">
        <v>0.5</v>
      </c>
      <c r="O220" s="37" t="n">
        <v>0.13</v>
      </c>
      <c r="P220" s="37" t="n">
        <v>0.19</v>
      </c>
      <c r="Q220" s="37" t="n"/>
      <c r="R220" s="44" t="n"/>
      <c r="S220" s="47" t="n"/>
      <c r="T220" s="37" t="n">
        <v>90</v>
      </c>
      <c r="U220" s="37" t="inlineStr">
        <is>
          <t>MISSING</t>
        </is>
      </c>
      <c r="V220" s="37" t="inlineStr">
        <is>
          <t>Non-forged leg pattern; MS51504 covers the forged pattern (FG sibling matches MS). Air-Way single source for these legs.</t>
        </is>
      </c>
      <c r="W220" s="37" t="inlineStr">
        <is>
          <t>BUILD</t>
        </is>
      </c>
      <c r="X220" s="37" t="inlineStr">
        <is>
          <t>Dimensions verbatim from Air-Way, two reconciled passes. Hex/material/finish/pressure outstanding.</t>
        </is>
      </c>
      <c r="Z220" s="45" t="inlineStr">
        <is>
          <t>Carbon Steel</t>
        </is>
      </c>
      <c r="AA220" s="45" t="inlineStr">
        <is>
          <t>ASTM A108 12L14</t>
        </is>
      </c>
      <c r="AB220" s="45" t="inlineStr">
        <is>
          <t>Trivalent Cr3 Zinc</t>
        </is>
      </c>
      <c r="AC220" s="45" t="inlineStr">
        <is>
          <t>ASTM B633 Type V/VI</t>
        </is>
      </c>
      <c r="AD220" s="46" t="n">
        <v>5000</v>
      </c>
      <c r="AE220" s="46" t="inlineStr">
        <is>
          <t>generic SAE table @ dash -3 (governing end)</t>
        </is>
      </c>
      <c r="AF220" s="46" t="n">
        <v>-65</v>
      </c>
      <c r="AG220" s="46" t="n">
        <v>400</v>
      </c>
      <c r="AH220" s="37" t="inlineStr">
        <is>
          <t>Ham-Let + hoseandfittings (pressure); Parker Cat.4300 (material); ASTM B633 (finish); see StandardsData</t>
        </is>
      </c>
    </row>
    <row r="221" ht="15" customHeight="1" s="35">
      <c r="A221" s="37" t="inlineStr">
        <is>
          <t>2501-04-02-FG</t>
        </is>
      </c>
      <c r="B221" s="37" t="inlineStr">
        <is>
          <t>2501-4-2-FG</t>
        </is>
      </c>
      <c r="C221" s="37" t="inlineStr">
        <is>
          <t>2501</t>
        </is>
      </c>
      <c r="D221" s="37" t="n">
        <v>118</v>
      </c>
      <c r="E221" s="37" t="inlineStr">
        <is>
          <t>90 deg</t>
        </is>
      </c>
      <c r="F221" s="37" t="inlineStr">
        <is>
          <t>90 deg Male Elbow, 7/16-20 x 1/8-27</t>
        </is>
      </c>
      <c r="G221" s="37" t="inlineStr">
        <is>
          <t>1/8-27</t>
        </is>
      </c>
      <c r="H221" s="37" t="inlineStr">
        <is>
          <t>7/16-20</t>
        </is>
      </c>
      <c r="I221" s="37" t="inlineStr">
        <is>
          <t>1/4</t>
        </is>
      </c>
      <c r="J221" s="37" t="inlineStr">
        <is>
          <t>ASME B1.20.3</t>
        </is>
      </c>
      <c r="K221" s="37" t="inlineStr">
        <is>
          <t>SAE J514-1</t>
        </is>
      </c>
      <c r="L221" s="37" t="n">
        <v>0.89</v>
      </c>
      <c r="M221" s="37" t="n">
        <v>0.78</v>
      </c>
      <c r="N221" s="37" t="n">
        <v>0.44</v>
      </c>
      <c r="O221" s="37" t="n">
        <v>0.17</v>
      </c>
      <c r="P221" s="37" t="n">
        <v>0.19</v>
      </c>
      <c r="Q221" s="37" t="n"/>
      <c r="R221" s="44" t="n"/>
      <c r="S221" s="45" t="n">
        <v>0.5625</v>
      </c>
      <c r="T221" s="37" t="n">
        <v>90</v>
      </c>
      <c r="U221" s="37" t="inlineStr">
        <is>
          <t>VERIFIED</t>
        </is>
      </c>
      <c r="V221" s="37" t="inlineStr">
        <is>
          <t>RESOLVED 2-1: N=0.78 (MS51504+Brennan drawing agree; Air-Way printed 0.76, outvoted). 2026-09-05 Brennan product-drawing tiebreak</t>
        </is>
      </c>
      <c r="W221" s="37" t="inlineStr">
        <is>
          <t>BUILD</t>
        </is>
      </c>
      <c r="X221" s="37" t="inlineStr">
        <is>
          <t>Dimensions verbatim from Air-Way, two reconciled passes. Hex/material/finish/pressure outstanding. | Single body hex 9/16 keyed to larger dash -4 (sources show hex follows larger end). | MS51504 DIVERGES on N -&gt; N: AW=0.76 vs MS=0.78. Blocked pending decision.</t>
        </is>
      </c>
      <c r="Z221" s="45" t="inlineStr">
        <is>
          <t>Carbon Steel</t>
        </is>
      </c>
      <c r="AA221" s="45" t="inlineStr">
        <is>
          <t>ASTM A108 12L14</t>
        </is>
      </c>
      <c r="AB221" s="45" t="inlineStr">
        <is>
          <t>Trivalent Cr3 Zinc</t>
        </is>
      </c>
      <c r="AC221" s="45" t="inlineStr">
        <is>
          <t>ASTM B633 Type V/VI</t>
        </is>
      </c>
      <c r="AD221" s="46" t="n">
        <v>5000</v>
      </c>
      <c r="AE221" s="46" t="inlineStr">
        <is>
          <t>generic SAE table @ dash -4 (governing end)</t>
        </is>
      </c>
      <c r="AF221" s="46" t="n">
        <v>-65</v>
      </c>
      <c r="AG221" s="46" t="n">
        <v>400</v>
      </c>
      <c r="AH221" s="37" t="inlineStr">
        <is>
          <t>Ham-Let + hoseandfittings (pressure); Parker Cat.4300 (material); ASTM B633 (finish); see StandardsData</t>
        </is>
      </c>
    </row>
    <row r="222" ht="15" customHeight="1" s="35">
      <c r="A222" s="37" t="inlineStr">
        <is>
          <t>2501-04-02</t>
        </is>
      </c>
      <c r="B222" s="37" t="inlineStr">
        <is>
          <t>2501-4-2</t>
        </is>
      </c>
      <c r="C222" s="37" t="inlineStr">
        <is>
          <t>2501</t>
        </is>
      </c>
      <c r="D222" s="37" t="n">
        <v>118</v>
      </c>
      <c r="E222" s="37" t="inlineStr">
        <is>
          <t>90 deg</t>
        </is>
      </c>
      <c r="F222" s="37" t="inlineStr">
        <is>
          <t>90 deg Male Elbow, 7/16-20 x 1/8-27</t>
        </is>
      </c>
      <c r="G222" s="37" t="inlineStr">
        <is>
          <t>1/8-27</t>
        </is>
      </c>
      <c r="H222" s="37" t="inlineStr">
        <is>
          <t>7/16-20</t>
        </is>
      </c>
      <c r="I222" s="37" t="inlineStr">
        <is>
          <t>1/4</t>
        </is>
      </c>
      <c r="J222" s="37" t="inlineStr">
        <is>
          <t>ASME B1.20.3</t>
        </is>
      </c>
      <c r="K222" s="37" t="inlineStr">
        <is>
          <t>SAE J514-1</t>
        </is>
      </c>
      <c r="L222" s="37" t="n">
        <v>0.89</v>
      </c>
      <c r="M222" s="37" t="n">
        <v>0.78</v>
      </c>
      <c r="N222" s="37" t="n">
        <v>0.5</v>
      </c>
      <c r="O222" s="37" t="n">
        <v>0.17</v>
      </c>
      <c r="P222" s="37" t="n">
        <v>0.19</v>
      </c>
      <c r="Q222" s="37" t="n"/>
      <c r="R222" s="44" t="n"/>
      <c r="S222" s="45" t="n">
        <v>0.5625</v>
      </c>
      <c r="T222" s="37" t="n">
        <v>90</v>
      </c>
      <c r="U222" s="37" t="inlineStr">
        <is>
          <t>ASSUMED</t>
        </is>
      </c>
      <c r="V222" s="37" t="inlineStr">
        <is>
          <t>Non-forged leg pattern; MS51504 covers the forged pattern (FG sibling matches MS). Air-Way single source for these legs.</t>
        </is>
      </c>
      <c r="W222" s="37" t="inlineStr">
        <is>
          <t>BUILD</t>
        </is>
      </c>
      <c r="X222" s="37" t="inlineStr">
        <is>
          <t>Dimensions verbatim from Air-Way, two reconciled passes. Hex/material/finish/pressure outstanding. | Single body hex 9/16 keyed to larger dash -4 (sources show hex follows larger end).</t>
        </is>
      </c>
      <c r="Z222" s="45" t="inlineStr">
        <is>
          <t>Carbon Steel</t>
        </is>
      </c>
      <c r="AA222" s="45" t="inlineStr">
        <is>
          <t>ASTM A108 12L14</t>
        </is>
      </c>
      <c r="AB222" s="45" t="inlineStr">
        <is>
          <t>Trivalent Cr3 Zinc</t>
        </is>
      </c>
      <c r="AC222" s="45" t="inlineStr">
        <is>
          <t>ASTM B633 Type V/VI</t>
        </is>
      </c>
      <c r="AD222" s="46" t="n">
        <v>5000</v>
      </c>
      <c r="AE222" s="46" t="inlineStr">
        <is>
          <t>generic SAE table @ dash -4 (governing end)</t>
        </is>
      </c>
      <c r="AF222" s="46" t="n">
        <v>-65</v>
      </c>
      <c r="AG222" s="46" t="n">
        <v>400</v>
      </c>
      <c r="AH222" s="37" t="inlineStr">
        <is>
          <t>Ham-Let + hoseandfittings (pressure); Parker Cat.4300 (material); ASTM B633 (finish); see StandardsData</t>
        </is>
      </c>
    </row>
    <row r="223" ht="15" customHeight="1" s="35">
      <c r="A223" s="37" t="inlineStr">
        <is>
          <t>2501-04-04-FG</t>
        </is>
      </c>
      <c r="B223" s="37" t="inlineStr">
        <is>
          <t>2501-4-4-FG</t>
        </is>
      </c>
      <c r="C223" s="37" t="inlineStr">
        <is>
          <t>2501</t>
        </is>
      </c>
      <c r="D223" s="37" t="n">
        <v>118</v>
      </c>
      <c r="E223" s="37" t="inlineStr">
        <is>
          <t>90 deg</t>
        </is>
      </c>
      <c r="F223" s="37" t="inlineStr">
        <is>
          <t>90 deg Male Elbow, 7/16-20 x 1/4-18</t>
        </is>
      </c>
      <c r="G223" s="37" t="inlineStr">
        <is>
          <t>1/4-18</t>
        </is>
      </c>
      <c r="H223" s="37" t="inlineStr">
        <is>
          <t>7/16-20</t>
        </is>
      </c>
      <c r="I223" s="37" t="inlineStr">
        <is>
          <t>1/4</t>
        </is>
      </c>
      <c r="J223" s="37" t="inlineStr">
        <is>
          <t>ASME B1.20.3</t>
        </is>
      </c>
      <c r="K223" s="37" t="inlineStr">
        <is>
          <t>SAE J514-1</t>
        </is>
      </c>
      <c r="L223" s="37" t="n">
        <v>1.05</v>
      </c>
      <c r="M223" s="37" t="n">
        <v>1.09</v>
      </c>
      <c r="N223" s="37" t="n">
        <v>0.5600000000000001</v>
      </c>
      <c r="O223" s="37" t="n">
        <v>0.17</v>
      </c>
      <c r="P223" s="37" t="n">
        <v>0.28</v>
      </c>
      <c r="Q223" s="37" t="n"/>
      <c r="R223" s="44" t="n"/>
      <c r="S223" s="45" t="n">
        <v>0.5625</v>
      </c>
      <c r="T223" s="37" t="n">
        <v>90</v>
      </c>
      <c r="U223" s="37" t="inlineStr">
        <is>
          <t>ASSUMED</t>
        </is>
      </c>
      <c r="V223" s="37" t="inlineStr">
        <is>
          <t>MS51504 cross-check 2026-09-04: B,M,N,D,D1 all AGREE (forged pattern).</t>
        </is>
      </c>
      <c r="W223" s="37" t="inlineStr">
        <is>
          <t>BUILD</t>
        </is>
      </c>
      <c r="X223" s="37" t="inlineStr">
        <is>
          <t>Dimensions verbatim from Air-Way, two reconciled passes. Hex/material/finish/pressure outstanding. | Single body hex 9/16 keyed to larger dash -4 (sources show hex follows larger end).</t>
        </is>
      </c>
      <c r="Z223" s="45" t="inlineStr">
        <is>
          <t>Carbon Steel</t>
        </is>
      </c>
      <c r="AA223" s="45" t="inlineStr">
        <is>
          <t>ASTM A108 12L14</t>
        </is>
      </c>
      <c r="AB223" s="45" t="inlineStr">
        <is>
          <t>Trivalent Cr3 Zinc</t>
        </is>
      </c>
      <c r="AC223" s="45" t="inlineStr">
        <is>
          <t>ASTM B633 Type V/VI</t>
        </is>
      </c>
      <c r="AD223" s="46" t="n">
        <v>5000</v>
      </c>
      <c r="AE223" s="46" t="inlineStr">
        <is>
          <t>generic SAE table @ dash -4 (governing end)</t>
        </is>
      </c>
      <c r="AF223" s="46" t="n">
        <v>-65</v>
      </c>
      <c r="AG223" s="46" t="n">
        <v>400</v>
      </c>
      <c r="AH223" s="37" t="inlineStr">
        <is>
          <t>Ham-Let + hoseandfittings (pressure); Parker Cat.4300 (material); ASTM B633 (finish); see StandardsData</t>
        </is>
      </c>
    </row>
    <row r="224" ht="15" customHeight="1" s="35">
      <c r="A224" s="37" t="inlineStr">
        <is>
          <t>2501-04-04</t>
        </is>
      </c>
      <c r="B224" s="37" t="inlineStr">
        <is>
          <t>2501-4-4</t>
        </is>
      </c>
      <c r="C224" s="37" t="inlineStr">
        <is>
          <t>2501</t>
        </is>
      </c>
      <c r="D224" s="37" t="n">
        <v>118</v>
      </c>
      <c r="E224" s="37" t="inlineStr">
        <is>
          <t>90 deg</t>
        </is>
      </c>
      <c r="F224" s="37" t="inlineStr">
        <is>
          <t>90 deg Male Elbow, 7/16-20 x 1/4-18</t>
        </is>
      </c>
      <c r="G224" s="37" t="inlineStr">
        <is>
          <t>1/4-18</t>
        </is>
      </c>
      <c r="H224" s="37" t="inlineStr">
        <is>
          <t>7/16-20</t>
        </is>
      </c>
      <c r="I224" s="37" t="inlineStr">
        <is>
          <t>1/4</t>
        </is>
      </c>
      <c r="J224" s="37" t="inlineStr">
        <is>
          <t>ASME B1.20.3</t>
        </is>
      </c>
      <c r="K224" s="37" t="inlineStr">
        <is>
          <t>SAE J514-1</t>
        </is>
      </c>
      <c r="L224" s="37" t="n">
        <v>0.95</v>
      </c>
      <c r="M224" s="37" t="n">
        <v>1.09</v>
      </c>
      <c r="N224" s="37" t="n">
        <v>0.63</v>
      </c>
      <c r="O224" s="37" t="n">
        <v>0.17</v>
      </c>
      <c r="P224" s="37" t="n">
        <v>0.28</v>
      </c>
      <c r="Q224" s="37" t="n"/>
      <c r="R224" s="44" t="n"/>
      <c r="S224" s="45" t="n">
        <v>0.5625</v>
      </c>
      <c r="T224" s="37" t="n">
        <v>90</v>
      </c>
      <c r="U224" s="37" t="inlineStr">
        <is>
          <t>ASSUMED</t>
        </is>
      </c>
      <c r="V224" s="37" t="inlineStr">
        <is>
          <t>Non-forged leg pattern; MS51504 covers the forged pattern (FG sibling matches MS). Air-Way single source for these legs.</t>
        </is>
      </c>
      <c r="W224" s="37" t="inlineStr">
        <is>
          <t>BUILD</t>
        </is>
      </c>
      <c r="X224" s="37" t="inlineStr">
        <is>
          <t>Dimensions verbatim from Air-Way, two reconciled passes. Hex/material/finish/pressure outstanding. | Single body hex 9/16 keyed to larger dash -4 (sources show hex follows larger end).</t>
        </is>
      </c>
      <c r="Z224" s="45" t="inlineStr">
        <is>
          <t>Carbon Steel</t>
        </is>
      </c>
      <c r="AA224" s="45" t="inlineStr">
        <is>
          <t>ASTM A108 12L14</t>
        </is>
      </c>
      <c r="AB224" s="45" t="inlineStr">
        <is>
          <t>Trivalent Cr3 Zinc</t>
        </is>
      </c>
      <c r="AC224" s="45" t="inlineStr">
        <is>
          <t>ASTM B633 Type V/VI</t>
        </is>
      </c>
      <c r="AD224" s="46" t="n">
        <v>5000</v>
      </c>
      <c r="AE224" s="46" t="inlineStr">
        <is>
          <t>generic SAE table @ dash -4 (governing end)</t>
        </is>
      </c>
      <c r="AF224" s="46" t="n">
        <v>-65</v>
      </c>
      <c r="AG224" s="46" t="n">
        <v>400</v>
      </c>
      <c r="AH224" s="37" t="inlineStr">
        <is>
          <t>Ham-Let + hoseandfittings (pressure); Parker Cat.4300 (material); ASTM B633 (finish); see StandardsData</t>
        </is>
      </c>
    </row>
    <row r="225" ht="15" customHeight="1" s="35">
      <c r="A225" s="37" t="inlineStr">
        <is>
          <t>2501-04-06-FG</t>
        </is>
      </c>
      <c r="B225" s="37" t="inlineStr">
        <is>
          <t>2501-4-6-FG</t>
        </is>
      </c>
      <c r="C225" s="37" t="inlineStr">
        <is>
          <t>2501</t>
        </is>
      </c>
      <c r="D225" s="37" t="n">
        <v>118</v>
      </c>
      <c r="E225" s="37" t="inlineStr">
        <is>
          <t>90 deg</t>
        </is>
      </c>
      <c r="F225" s="37" t="inlineStr">
        <is>
          <t>90 deg Male Elbow, 7/16-20 x 3/8-18</t>
        </is>
      </c>
      <c r="G225" s="37" t="inlineStr">
        <is>
          <t>3/8-18</t>
        </is>
      </c>
      <c r="H225" s="37" t="inlineStr">
        <is>
          <t>7/16-20</t>
        </is>
      </c>
      <c r="I225" s="37" t="inlineStr">
        <is>
          <t>1/4</t>
        </is>
      </c>
      <c r="J225" s="37" t="inlineStr">
        <is>
          <t>ASME B1.20.3</t>
        </is>
      </c>
      <c r="K225" s="37" t="inlineStr">
        <is>
          <t>SAE J514-1</t>
        </is>
      </c>
      <c r="L225" s="37" t="n">
        <v>1.12</v>
      </c>
      <c r="M225" s="37" t="n">
        <v>1.22</v>
      </c>
      <c r="N225" s="37" t="n">
        <v>0.75</v>
      </c>
      <c r="O225" s="37" t="n">
        <v>0.17</v>
      </c>
      <c r="P225" s="37" t="n">
        <v>0.41</v>
      </c>
      <c r="Q225" s="37" t="n"/>
      <c r="R225" s="44" t="n"/>
      <c r="S225" s="45" t="n">
        <v>0.75</v>
      </c>
      <c r="T225" s="37" t="n">
        <v>90</v>
      </c>
      <c r="U225" s="37" t="inlineStr">
        <is>
          <t>ASSUMED</t>
        </is>
      </c>
      <c r="V225" s="37" t="inlineStr">
        <is>
          <t>MS51504 has no row for this size combo; Air-Way remains single source.</t>
        </is>
      </c>
      <c r="W225" s="37" t="inlineStr">
        <is>
          <t>BUILD</t>
        </is>
      </c>
      <c r="X225" s="37" t="inlineStr">
        <is>
          <t>Dimensions verbatim from Air-Way, two reconciled passes. Hex/material/finish/pressure outstanding. | Single body hex 3/4 keyed to larger dash -6 (sources show hex follows larger end).</t>
        </is>
      </c>
      <c r="Z225" s="45" t="inlineStr">
        <is>
          <t>Carbon Steel</t>
        </is>
      </c>
      <c r="AA225" s="45" t="inlineStr">
        <is>
          <t>ASTM A108 12L14</t>
        </is>
      </c>
      <c r="AB225" s="45" t="inlineStr">
        <is>
          <t>Trivalent Cr3 Zinc</t>
        </is>
      </c>
      <c r="AC225" s="45" t="inlineStr">
        <is>
          <t>ASTM B633 Type V/VI</t>
        </is>
      </c>
      <c r="AD225" s="46" t="n">
        <v>5000</v>
      </c>
      <c r="AE225" s="46" t="inlineStr">
        <is>
          <t>generic SAE table @ dash -6 (governing end)</t>
        </is>
      </c>
      <c r="AF225" s="46" t="n">
        <v>-65</v>
      </c>
      <c r="AG225" s="46" t="n">
        <v>400</v>
      </c>
      <c r="AH225" s="37" t="inlineStr">
        <is>
          <t>Ham-Let + hoseandfittings (pressure); Parker Cat.4300 (material); ASTM B633 (finish); see StandardsData</t>
        </is>
      </c>
    </row>
    <row r="226" ht="15" customHeight="1" s="35">
      <c r="A226" s="37" t="inlineStr">
        <is>
          <t>2501-04-06</t>
        </is>
      </c>
      <c r="B226" s="37" t="inlineStr">
        <is>
          <t>2501-4-6</t>
        </is>
      </c>
      <c r="C226" s="37" t="inlineStr">
        <is>
          <t>2501</t>
        </is>
      </c>
      <c r="D226" s="37" t="n">
        <v>118</v>
      </c>
      <c r="E226" s="37" t="inlineStr">
        <is>
          <t>90 deg</t>
        </is>
      </c>
      <c r="F226" s="37" t="inlineStr">
        <is>
          <t>90 deg Male Elbow, 7/16-20 x 3/8-18</t>
        </is>
      </c>
      <c r="G226" s="37" t="inlineStr">
        <is>
          <t>3/8-18</t>
        </is>
      </c>
      <c r="H226" s="37" t="inlineStr">
        <is>
          <t>7/16-20</t>
        </is>
      </c>
      <c r="I226" s="37" t="inlineStr">
        <is>
          <t>1/4</t>
        </is>
      </c>
      <c r="J226" s="37" t="inlineStr">
        <is>
          <t>ASME B1.20.3</t>
        </is>
      </c>
      <c r="K226" s="37" t="inlineStr">
        <is>
          <t>SAE J514-1</t>
        </is>
      </c>
      <c r="L226" s="37" t="n">
        <v>1.05</v>
      </c>
      <c r="M226" s="37" t="n">
        <v>1.22</v>
      </c>
      <c r="N226" s="37" t="n">
        <v>0.8100000000000001</v>
      </c>
      <c r="O226" s="37" t="n">
        <v>0.17</v>
      </c>
      <c r="P226" s="37" t="n">
        <v>0.41</v>
      </c>
      <c r="Q226" s="37" t="n"/>
      <c r="R226" s="44" t="n"/>
      <c r="S226" s="45" t="n">
        <v>0.75</v>
      </c>
      <c r="T226" s="37" t="n">
        <v>90</v>
      </c>
      <c r="U226" s="37" t="inlineStr">
        <is>
          <t>ASSUMED</t>
        </is>
      </c>
      <c r="V226" s="37" t="inlineStr">
        <is>
          <t>MS51504 has no row for this size combo; Air-Way remains single source.</t>
        </is>
      </c>
      <c r="W226" s="37" t="inlineStr">
        <is>
          <t>BUILD</t>
        </is>
      </c>
      <c r="X226" s="37" t="inlineStr">
        <is>
          <t>Dimensions verbatim from Air-Way, two reconciled passes. Hex/material/finish/pressure outstanding. | Single body hex 3/4 keyed to larger dash -6 (sources show hex follows larger end).</t>
        </is>
      </c>
      <c r="Z226" s="45" t="inlineStr">
        <is>
          <t>Carbon Steel</t>
        </is>
      </c>
      <c r="AA226" s="45" t="inlineStr">
        <is>
          <t>ASTM A108 12L14</t>
        </is>
      </c>
      <c r="AB226" s="45" t="inlineStr">
        <is>
          <t>Trivalent Cr3 Zinc</t>
        </is>
      </c>
      <c r="AC226" s="45" t="inlineStr">
        <is>
          <t>ASTM B633 Type V/VI</t>
        </is>
      </c>
      <c r="AD226" s="46" t="n">
        <v>5000</v>
      </c>
      <c r="AE226" s="46" t="inlineStr">
        <is>
          <t>generic SAE table @ dash -6 (governing end)</t>
        </is>
      </c>
      <c r="AF226" s="46" t="n">
        <v>-65</v>
      </c>
      <c r="AG226" s="46" t="n">
        <v>400</v>
      </c>
      <c r="AH226" s="37" t="inlineStr">
        <is>
          <t>Ham-Let + hoseandfittings (pressure); Parker Cat.4300 (material); ASTM B633 (finish); see StandardsData</t>
        </is>
      </c>
    </row>
    <row r="227" ht="15" customHeight="1" s="35">
      <c r="A227" s="37" t="inlineStr">
        <is>
          <t>2501-04-08-FG</t>
        </is>
      </c>
      <c r="B227" s="37" t="inlineStr">
        <is>
          <t>2501-4-8-FG</t>
        </is>
      </c>
      <c r="C227" s="37" t="inlineStr">
        <is>
          <t>2501</t>
        </is>
      </c>
      <c r="D227" s="37" t="n">
        <v>118</v>
      </c>
      <c r="E227" s="37" t="inlineStr">
        <is>
          <t>90 deg</t>
        </is>
      </c>
      <c r="F227" s="37" t="inlineStr">
        <is>
          <t>90 deg Male Elbow, 7/16-20 x 1/2-14</t>
        </is>
      </c>
      <c r="G227" s="37" t="inlineStr">
        <is>
          <t>1/2-14</t>
        </is>
      </c>
      <c r="H227" s="37" t="inlineStr">
        <is>
          <t>7/16-20</t>
        </is>
      </c>
      <c r="I227" s="37" t="inlineStr">
        <is>
          <t>1/4</t>
        </is>
      </c>
      <c r="J227" s="37" t="inlineStr">
        <is>
          <t>ASME B1.20.3</t>
        </is>
      </c>
      <c r="K227" s="37" t="inlineStr">
        <is>
          <t>SAE J514-1</t>
        </is>
      </c>
      <c r="L227" s="37" t="n">
        <v>1.21</v>
      </c>
      <c r="M227" s="37" t="n">
        <v>1.47</v>
      </c>
      <c r="N227" s="37" t="n">
        <v>0.88</v>
      </c>
      <c r="O227" s="37" t="n">
        <v>0.17</v>
      </c>
      <c r="P227" s="37" t="n">
        <v>0.53</v>
      </c>
      <c r="Q227" s="37" t="n"/>
      <c r="R227" s="44" t="n"/>
      <c r="S227" s="45" t="n">
        <v>0.875</v>
      </c>
      <c r="T227" s="37" t="n">
        <v>90</v>
      </c>
      <c r="U227" s="37" t="inlineStr">
        <is>
          <t>ASSUMED</t>
        </is>
      </c>
      <c r="V227" s="37" t="inlineStr">
        <is>
          <t>MS51504 has no row for this size combo; Air-Way remains single source.</t>
        </is>
      </c>
      <c r="W227" s="37" t="inlineStr">
        <is>
          <t>BUILD</t>
        </is>
      </c>
      <c r="X227" s="37" t="inlineStr">
        <is>
          <t>Dimensions verbatim from Air-Way, two reconciled passes. Hex/material/finish/pressure outstanding. | Single body hex 7/8 keyed to larger dash -8 (sources show hex follows larger end).</t>
        </is>
      </c>
      <c r="Z227" s="45" t="inlineStr">
        <is>
          <t>Carbon Steel</t>
        </is>
      </c>
      <c r="AA227" s="45" t="inlineStr">
        <is>
          <t>ASTM A108 12L14</t>
        </is>
      </c>
      <c r="AB227" s="45" t="inlineStr">
        <is>
          <t>Trivalent Cr3 Zinc</t>
        </is>
      </c>
      <c r="AC227" s="45" t="inlineStr">
        <is>
          <t>ASTM B633 Type V/VI</t>
        </is>
      </c>
      <c r="AD227" s="46" t="n">
        <v>4500</v>
      </c>
      <c r="AE227" s="46" t="inlineStr">
        <is>
          <t>generic SAE table @ dash -8 (governing end)</t>
        </is>
      </c>
      <c r="AF227" s="46" t="n">
        <v>-65</v>
      </c>
      <c r="AG227" s="46" t="n">
        <v>400</v>
      </c>
      <c r="AH227" s="37" t="inlineStr">
        <is>
          <t>Ham-Let + hoseandfittings (pressure); Parker Cat.4300 (material); ASTM B633 (finish); see StandardsData</t>
        </is>
      </c>
    </row>
    <row r="228" ht="15" customHeight="1" s="35">
      <c r="A228" s="37" t="inlineStr">
        <is>
          <t>2501-04-08</t>
        </is>
      </c>
      <c r="B228" s="37" t="inlineStr">
        <is>
          <t>2501-4-8</t>
        </is>
      </c>
      <c r="C228" s="37" t="inlineStr">
        <is>
          <t>2501</t>
        </is>
      </c>
      <c r="D228" s="37" t="n">
        <v>118</v>
      </c>
      <c r="E228" s="37" t="inlineStr">
        <is>
          <t>90 deg</t>
        </is>
      </c>
      <c r="F228" s="37" t="inlineStr">
        <is>
          <t>90 deg Male Elbow, 7/16-20 x 1/2-14</t>
        </is>
      </c>
      <c r="G228" s="37" t="inlineStr">
        <is>
          <t>1/2-14</t>
        </is>
      </c>
      <c r="H228" s="37" t="inlineStr">
        <is>
          <t>7/16-20</t>
        </is>
      </c>
      <c r="I228" s="37" t="inlineStr">
        <is>
          <t>1/4</t>
        </is>
      </c>
      <c r="J228" s="37" t="inlineStr">
        <is>
          <t>ASME B1.20.3</t>
        </is>
      </c>
      <c r="K228" s="37" t="inlineStr">
        <is>
          <t>SAE J514-1</t>
        </is>
      </c>
      <c r="L228" s="37" t="n">
        <v>1.11</v>
      </c>
      <c r="M228" s="37" t="n">
        <v>1.47</v>
      </c>
      <c r="N228" s="37" t="n">
        <v>0.9399999999999999</v>
      </c>
      <c r="O228" s="37" t="n">
        <v>0.17</v>
      </c>
      <c r="P228" s="37" t="n">
        <v>0.53</v>
      </c>
      <c r="Q228" s="37" t="n"/>
      <c r="R228" s="44" t="n"/>
      <c r="S228" s="45" t="n">
        <v>0.875</v>
      </c>
      <c r="T228" s="37" t="n">
        <v>90</v>
      </c>
      <c r="U228" s="37" t="inlineStr">
        <is>
          <t>ASSUMED</t>
        </is>
      </c>
      <c r="V228" s="37" t="inlineStr">
        <is>
          <t>MS51504 has no row for this size combo; Air-Way remains single source.</t>
        </is>
      </c>
      <c r="W228" s="37" t="inlineStr">
        <is>
          <t>BUILD</t>
        </is>
      </c>
      <c r="X228" s="37" t="inlineStr">
        <is>
          <t>Dimensions verbatim from Air-Way, two reconciled passes. Hex/material/finish/pressure outstanding. | Single body hex 7/8 keyed to larger dash -8 (sources show hex follows larger end).</t>
        </is>
      </c>
      <c r="Z228" s="45" t="inlineStr">
        <is>
          <t>Carbon Steel</t>
        </is>
      </c>
      <c r="AA228" s="45" t="inlineStr">
        <is>
          <t>ASTM A108 12L14</t>
        </is>
      </c>
      <c r="AB228" s="45" t="inlineStr">
        <is>
          <t>Trivalent Cr3 Zinc</t>
        </is>
      </c>
      <c r="AC228" s="45" t="inlineStr">
        <is>
          <t>ASTM B633 Type V/VI</t>
        </is>
      </c>
      <c r="AD228" s="46" t="n">
        <v>4500</v>
      </c>
      <c r="AE228" s="46" t="inlineStr">
        <is>
          <t>generic SAE table @ dash -8 (governing end)</t>
        </is>
      </c>
      <c r="AF228" s="46" t="n">
        <v>-65</v>
      </c>
      <c r="AG228" s="46" t="n">
        <v>400</v>
      </c>
      <c r="AH228" s="37" t="inlineStr">
        <is>
          <t>Ham-Let + hoseandfittings (pressure); Parker Cat.4300 (material); ASTM B633 (finish); see StandardsData</t>
        </is>
      </c>
    </row>
    <row r="229" ht="15" customHeight="1" s="35">
      <c r="A229" s="37" t="inlineStr">
        <is>
          <t>2501-04-12</t>
        </is>
      </c>
      <c r="B229" s="37" t="inlineStr">
        <is>
          <t>2501-4-12</t>
        </is>
      </c>
      <c r="C229" s="37" t="inlineStr">
        <is>
          <t>2501</t>
        </is>
      </c>
      <c r="D229" s="37" t="n">
        <v>118</v>
      </c>
      <c r="E229" s="37" t="inlineStr">
        <is>
          <t>90 deg</t>
        </is>
      </c>
      <c r="F229" s="37" t="inlineStr">
        <is>
          <t>90 deg Male Elbow, 7/16-20 x 3/4-14</t>
        </is>
      </c>
      <c r="G229" s="37" t="inlineStr">
        <is>
          <t>3/4-14</t>
        </is>
      </c>
      <c r="H229" s="37" t="inlineStr">
        <is>
          <t>7/16-20</t>
        </is>
      </c>
      <c r="I229" s="37" t="inlineStr">
        <is>
          <t>1/4</t>
        </is>
      </c>
      <c r="J229" s="37" t="inlineStr">
        <is>
          <t>ASME B1.20.3</t>
        </is>
      </c>
      <c r="K229" s="37" t="inlineStr">
        <is>
          <t>SAE J514-1</t>
        </is>
      </c>
      <c r="L229" s="37" t="n">
        <v>1.2</v>
      </c>
      <c r="M229" s="37" t="n">
        <v>1.59</v>
      </c>
      <c r="N229" s="37" t="n">
        <v>1.13</v>
      </c>
      <c r="O229" s="37" t="n">
        <v>0.17</v>
      </c>
      <c r="P229" s="37" t="n">
        <v>0.72</v>
      </c>
      <c r="Q229" s="37" t="n"/>
      <c r="R229" s="44" t="n"/>
      <c r="S229" s="45" t="n">
        <v>1.0625</v>
      </c>
      <c r="T229" s="37" t="n">
        <v>90</v>
      </c>
      <c r="U229" s="37" t="inlineStr">
        <is>
          <t>ASSUMED</t>
        </is>
      </c>
      <c r="V229" s="37" t="inlineStr">
        <is>
          <t>MS51504 has no row for this size combo; Air-Way remains single source.</t>
        </is>
      </c>
      <c r="W229" s="37" t="inlineStr">
        <is>
          <t>BUILD</t>
        </is>
      </c>
      <c r="X229" s="37" t="inlineStr">
        <is>
          <t>Dimensions verbatim from Air-Way, two reconciled passes. Hex/material/finish/pressure outstanding. | Single body hex 1 1/16 keyed to larger dash -12 (sources show hex follows larger end).</t>
        </is>
      </c>
      <c r="Z229" s="45" t="inlineStr">
        <is>
          <t>Carbon Steel</t>
        </is>
      </c>
      <c r="AA229" s="45" t="inlineStr">
        <is>
          <t>ASTM A108 12L14</t>
        </is>
      </c>
      <c r="AB229" s="45" t="inlineStr">
        <is>
          <t>Trivalent Cr3 Zinc</t>
        </is>
      </c>
      <c r="AC229" s="45" t="inlineStr">
        <is>
          <t>ASTM B633 Type V/VI</t>
        </is>
      </c>
      <c r="AD229" s="46" t="n">
        <v>3500</v>
      </c>
      <c r="AE229" s="46" t="inlineStr">
        <is>
          <t>generic SAE table @ dash -12 (governing end)</t>
        </is>
      </c>
      <c r="AF229" s="46" t="n">
        <v>-65</v>
      </c>
      <c r="AG229" s="46" t="n">
        <v>400</v>
      </c>
      <c r="AH229" s="37" t="inlineStr">
        <is>
          <t>Ham-Let + hoseandfittings (pressure); Parker Cat.4300 (material); ASTM B633 (finish); see StandardsData</t>
        </is>
      </c>
    </row>
    <row r="230" ht="15" customHeight="1" s="35">
      <c r="A230" s="37" t="inlineStr">
        <is>
          <t>2501-05-02-FG</t>
        </is>
      </c>
      <c r="B230" s="37" t="inlineStr">
        <is>
          <t>2501-5-2-FG</t>
        </is>
      </c>
      <c r="C230" s="37" t="inlineStr">
        <is>
          <t>2501</t>
        </is>
      </c>
      <c r="D230" s="37" t="n">
        <v>118</v>
      </c>
      <c r="E230" s="37" t="inlineStr">
        <is>
          <t>90 deg</t>
        </is>
      </c>
      <c r="F230" s="37" t="inlineStr">
        <is>
          <t>90 deg Male Elbow, 1/2-20 x 1/8-27</t>
        </is>
      </c>
      <c r="G230" s="37" t="inlineStr">
        <is>
          <t>1/8-27</t>
        </is>
      </c>
      <c r="H230" s="37" t="inlineStr">
        <is>
          <t>1/2-20</t>
        </is>
      </c>
      <c r="I230" s="37" t="inlineStr">
        <is>
          <t>5/16</t>
        </is>
      </c>
      <c r="J230" s="37" t="inlineStr">
        <is>
          <t>ASME B1.20.3</t>
        </is>
      </c>
      <c r="K230" s="37" t="inlineStr">
        <is>
          <t>SAE J514-1</t>
        </is>
      </c>
      <c r="L230" s="37" t="n">
        <v>0.95</v>
      </c>
      <c r="M230" s="37" t="n">
        <v>0.78</v>
      </c>
      <c r="N230" s="37" t="n">
        <v>0.5600000000000001</v>
      </c>
      <c r="O230" s="37" t="n">
        <v>0.23</v>
      </c>
      <c r="P230" s="37" t="n">
        <v>0.19</v>
      </c>
      <c r="Q230" s="37" t="n"/>
      <c r="R230" s="44" t="n"/>
      <c r="S230" s="47" t="n"/>
      <c r="T230" s="37" t="n">
        <v>90</v>
      </c>
      <c r="U230" s="37" t="inlineStr">
        <is>
          <t>MISSING</t>
        </is>
      </c>
      <c r="V230" s="37" t="inlineStr">
        <is>
          <t>MS51504 cross-check 2026-09-04: B,M,N,D,D1 all AGREE (forged pattern).</t>
        </is>
      </c>
      <c r="W230" s="37" t="inlineStr">
        <is>
          <t>BUILD</t>
        </is>
      </c>
      <c r="X230" s="37" t="inlineStr">
        <is>
          <t>Dimensions verbatim from Air-Way, two reconciled passes. Hex/material/finish/pressure outstanding.</t>
        </is>
      </c>
      <c r="Z230" s="45" t="inlineStr">
        <is>
          <t>Carbon Steel</t>
        </is>
      </c>
      <c r="AA230" s="45" t="inlineStr">
        <is>
          <t>ASTM A108 12L14</t>
        </is>
      </c>
      <c r="AB230" s="45" t="inlineStr">
        <is>
          <t>Trivalent Cr3 Zinc</t>
        </is>
      </c>
      <c r="AC230" s="45" t="inlineStr">
        <is>
          <t>ASTM B633 Type V/VI</t>
        </is>
      </c>
      <c r="AD230" s="46" t="n">
        <v>5000</v>
      </c>
      <c r="AE230" s="46" t="inlineStr">
        <is>
          <t>generic SAE table @ dash -5 (governing end)</t>
        </is>
      </c>
      <c r="AF230" s="46" t="n">
        <v>-65</v>
      </c>
      <c r="AG230" s="46" t="n">
        <v>400</v>
      </c>
      <c r="AH230" s="37" t="inlineStr">
        <is>
          <t>Ham-Let + hoseandfittings (pressure); Parker Cat.4300 (material); ASTM B633 (finish); see StandardsData</t>
        </is>
      </c>
    </row>
    <row r="231" ht="15" customHeight="1" s="35">
      <c r="A231" s="37" t="inlineStr">
        <is>
          <t>2501-05-02</t>
        </is>
      </c>
      <c r="B231" s="37" t="inlineStr">
        <is>
          <t>2501-5-2</t>
        </is>
      </c>
      <c r="C231" s="37" t="inlineStr">
        <is>
          <t>2501</t>
        </is>
      </c>
      <c r="D231" s="37" t="n">
        <v>118</v>
      </c>
      <c r="E231" s="37" t="inlineStr">
        <is>
          <t>90 deg</t>
        </is>
      </c>
      <c r="F231" s="37" t="inlineStr">
        <is>
          <t>90 deg Male Elbow, 1/2-20 x 1/8-27</t>
        </is>
      </c>
      <c r="G231" s="37" t="inlineStr">
        <is>
          <t>1/8-27</t>
        </is>
      </c>
      <c r="H231" s="37" t="inlineStr">
        <is>
          <t>1/2-20</t>
        </is>
      </c>
      <c r="I231" s="37" t="inlineStr">
        <is>
          <t>5/16</t>
        </is>
      </c>
      <c r="J231" s="37" t="inlineStr">
        <is>
          <t>ASME B1.20.3</t>
        </is>
      </c>
      <c r="K231" s="37" t="inlineStr">
        <is>
          <t>SAE J514-1</t>
        </is>
      </c>
      <c r="L231" s="37" t="n">
        <v>0.95</v>
      </c>
      <c r="M231" s="37" t="n">
        <v>0.8100000000000001</v>
      </c>
      <c r="N231" s="37" t="n">
        <v>0.5600000000000001</v>
      </c>
      <c r="O231" s="37" t="n">
        <v>0.23</v>
      </c>
      <c r="P231" s="37" t="n">
        <v>0.19</v>
      </c>
      <c r="Q231" s="37" t="n"/>
      <c r="R231" s="44" t="n"/>
      <c r="S231" s="47" t="n"/>
      <c r="T231" s="37" t="n">
        <v>90</v>
      </c>
      <c r="U231" s="37" t="inlineStr">
        <is>
          <t>MISSING</t>
        </is>
      </c>
      <c r="V231" s="37" t="inlineStr">
        <is>
          <t>Non-forged leg pattern; MS51504 covers the forged pattern (FG sibling matches MS). Air-Way single source for these legs.</t>
        </is>
      </c>
      <c r="W231" s="37" t="inlineStr">
        <is>
          <t>BUILD</t>
        </is>
      </c>
      <c r="X231" s="37" t="inlineStr">
        <is>
          <t>Dimensions verbatim from Air-Way, two reconciled passes. Hex/material/finish/pressure outstanding.</t>
        </is>
      </c>
      <c r="Z231" s="45" t="inlineStr">
        <is>
          <t>Carbon Steel</t>
        </is>
      </c>
      <c r="AA231" s="45" t="inlineStr">
        <is>
          <t>ASTM A108 12L14</t>
        </is>
      </c>
      <c r="AB231" s="45" t="inlineStr">
        <is>
          <t>Trivalent Cr3 Zinc</t>
        </is>
      </c>
      <c r="AC231" s="45" t="inlineStr">
        <is>
          <t>ASTM B633 Type V/VI</t>
        </is>
      </c>
      <c r="AD231" s="46" t="n">
        <v>5000</v>
      </c>
      <c r="AE231" s="46" t="inlineStr">
        <is>
          <t>generic SAE table @ dash -5 (governing end)</t>
        </is>
      </c>
      <c r="AF231" s="46" t="n">
        <v>-65</v>
      </c>
      <c r="AG231" s="46" t="n">
        <v>400</v>
      </c>
      <c r="AH231" s="37" t="inlineStr">
        <is>
          <t>Ham-Let + hoseandfittings (pressure); Parker Cat.4300 (material); ASTM B633 (finish); see StandardsData</t>
        </is>
      </c>
    </row>
    <row r="232" ht="15" customHeight="1" s="35">
      <c r="A232" s="37" t="inlineStr">
        <is>
          <t>2501-05-04-FG</t>
        </is>
      </c>
      <c r="B232" s="37" t="inlineStr">
        <is>
          <t>2501-5-4-FG</t>
        </is>
      </c>
      <c r="C232" s="37" t="inlineStr">
        <is>
          <t>2501</t>
        </is>
      </c>
      <c r="D232" s="37" t="n">
        <v>118</v>
      </c>
      <c r="E232" s="37" t="inlineStr">
        <is>
          <t>90 deg</t>
        </is>
      </c>
      <c r="F232" s="37" t="inlineStr">
        <is>
          <t>90 deg Male Elbow, 1/2-20 x 1/4-18</t>
        </is>
      </c>
      <c r="G232" s="37" t="inlineStr">
        <is>
          <t>1/4-18</t>
        </is>
      </c>
      <c r="H232" s="37" t="inlineStr">
        <is>
          <t>1/2-20</t>
        </is>
      </c>
      <c r="I232" s="37" t="inlineStr">
        <is>
          <t>5/16</t>
        </is>
      </c>
      <c r="J232" s="37" t="inlineStr">
        <is>
          <t>ASME B1.20.3</t>
        </is>
      </c>
      <c r="K232" s="37" t="inlineStr">
        <is>
          <t>SAE J514-1</t>
        </is>
      </c>
      <c r="L232" s="37" t="n">
        <v>1.05</v>
      </c>
      <c r="M232" s="37" t="n">
        <v>1.09</v>
      </c>
      <c r="N232" s="37" t="n">
        <v>0.5600000000000001</v>
      </c>
      <c r="O232" s="37" t="n">
        <v>0.23</v>
      </c>
      <c r="P232" s="37" t="n">
        <v>0.28</v>
      </c>
      <c r="Q232" s="37" t="n"/>
      <c r="R232" s="44" t="n"/>
      <c r="S232" s="47" t="n"/>
      <c r="T232" s="37" t="n">
        <v>90</v>
      </c>
      <c r="U232" s="37" t="inlineStr">
        <is>
          <t>MISSING</t>
        </is>
      </c>
      <c r="V232" s="37" t="inlineStr">
        <is>
          <t>MS51504 cross-check 2026-09-04: B,M,N,D,D1 all AGREE (forged pattern).</t>
        </is>
      </c>
      <c r="W232" s="37" t="inlineStr">
        <is>
          <t>BUILD</t>
        </is>
      </c>
      <c r="X232" s="37" t="inlineStr">
        <is>
          <t>Dimensions verbatim from Air-Way, two reconciled passes. Hex/material/finish/pressure outstanding.</t>
        </is>
      </c>
      <c r="Z232" s="45" t="inlineStr">
        <is>
          <t>Carbon Steel</t>
        </is>
      </c>
      <c r="AA232" s="45" t="inlineStr">
        <is>
          <t>ASTM A108 12L14</t>
        </is>
      </c>
      <c r="AB232" s="45" t="inlineStr">
        <is>
          <t>Trivalent Cr3 Zinc</t>
        </is>
      </c>
      <c r="AC232" s="45" t="inlineStr">
        <is>
          <t>ASTM B633 Type V/VI</t>
        </is>
      </c>
      <c r="AD232" s="46" t="n">
        <v>5000</v>
      </c>
      <c r="AE232" s="46" t="inlineStr">
        <is>
          <t>generic SAE table @ dash -5 (governing end)</t>
        </is>
      </c>
      <c r="AF232" s="46" t="n">
        <v>-65</v>
      </c>
      <c r="AG232" s="46" t="n">
        <v>400</v>
      </c>
      <c r="AH232" s="37" t="inlineStr">
        <is>
          <t>Ham-Let + hoseandfittings (pressure); Parker Cat.4300 (material); ASTM B633 (finish); see StandardsData</t>
        </is>
      </c>
    </row>
    <row r="233" ht="15" customHeight="1" s="35">
      <c r="A233" s="37" t="inlineStr">
        <is>
          <t>2501-05-04</t>
        </is>
      </c>
      <c r="B233" s="37" t="inlineStr">
        <is>
          <t>2501-5-4</t>
        </is>
      </c>
      <c r="C233" s="37" t="inlineStr">
        <is>
          <t>2501</t>
        </is>
      </c>
      <c r="D233" s="37" t="n">
        <v>118</v>
      </c>
      <c r="E233" s="37" t="inlineStr">
        <is>
          <t>90 deg</t>
        </is>
      </c>
      <c r="F233" s="37" t="inlineStr">
        <is>
          <t>90 deg Male Elbow, 1/2-20 x 1/4-18</t>
        </is>
      </c>
      <c r="G233" s="37" t="inlineStr">
        <is>
          <t>1/4-18</t>
        </is>
      </c>
      <c r="H233" s="37" t="inlineStr">
        <is>
          <t>1/2-20</t>
        </is>
      </c>
      <c r="I233" s="37" t="inlineStr">
        <is>
          <t>5/16</t>
        </is>
      </c>
      <c r="J233" s="37" t="inlineStr">
        <is>
          <t>ASME B1.20.3</t>
        </is>
      </c>
      <c r="K233" s="37" t="inlineStr">
        <is>
          <t>SAE J514-1</t>
        </is>
      </c>
      <c r="L233" s="37" t="n">
        <v>0.98</v>
      </c>
      <c r="M233" s="37" t="n">
        <v>1.09</v>
      </c>
      <c r="N233" s="37" t="n">
        <v>0.63</v>
      </c>
      <c r="O233" s="37" t="n">
        <v>0.23</v>
      </c>
      <c r="P233" s="37" t="n">
        <v>0.28</v>
      </c>
      <c r="Q233" s="37" t="n"/>
      <c r="R233" s="44" t="n"/>
      <c r="S233" s="47" t="n"/>
      <c r="T233" s="37" t="n">
        <v>90</v>
      </c>
      <c r="U233" s="37" t="inlineStr">
        <is>
          <t>MISSING</t>
        </is>
      </c>
      <c r="V233" s="37" t="inlineStr">
        <is>
          <t>Non-forged leg pattern; MS51504 covers the forged pattern (FG sibling matches MS). Air-Way single source for these legs.</t>
        </is>
      </c>
      <c r="W233" s="37" t="inlineStr">
        <is>
          <t>BUILD</t>
        </is>
      </c>
      <c r="X233" s="37" t="inlineStr">
        <is>
          <t>Dimensions verbatim from Air-Way, two reconciled passes. Hex/material/finish/pressure outstanding.</t>
        </is>
      </c>
      <c r="Z233" s="45" t="inlineStr">
        <is>
          <t>Carbon Steel</t>
        </is>
      </c>
      <c r="AA233" s="45" t="inlineStr">
        <is>
          <t>ASTM A108 12L14</t>
        </is>
      </c>
      <c r="AB233" s="45" t="inlineStr">
        <is>
          <t>Trivalent Cr3 Zinc</t>
        </is>
      </c>
      <c r="AC233" s="45" t="inlineStr">
        <is>
          <t>ASTM B633 Type V/VI</t>
        </is>
      </c>
      <c r="AD233" s="46" t="n">
        <v>5000</v>
      </c>
      <c r="AE233" s="46" t="inlineStr">
        <is>
          <t>generic SAE table @ dash -5 (governing end)</t>
        </is>
      </c>
      <c r="AF233" s="46" t="n">
        <v>-65</v>
      </c>
      <c r="AG233" s="46" t="n">
        <v>400</v>
      </c>
      <c r="AH233" s="37" t="inlineStr">
        <is>
          <t>Ham-Let + hoseandfittings (pressure); Parker Cat.4300 (material); ASTM B633 (finish); see StandardsData</t>
        </is>
      </c>
    </row>
    <row r="234" ht="15" customHeight="1" s="35">
      <c r="A234" s="37" t="inlineStr">
        <is>
          <t>2501-05-06</t>
        </is>
      </c>
      <c r="B234" s="37" t="inlineStr">
        <is>
          <t>2501-5-6</t>
        </is>
      </c>
      <c r="C234" s="37" t="inlineStr">
        <is>
          <t>2501</t>
        </is>
      </c>
      <c r="D234" s="37" t="n">
        <v>118</v>
      </c>
      <c r="E234" s="37" t="inlineStr">
        <is>
          <t>90 deg</t>
        </is>
      </c>
      <c r="F234" s="37" t="inlineStr">
        <is>
          <t>90 deg Male Elbow, 1/2-20 x 3/8-18</t>
        </is>
      </c>
      <c r="G234" s="37" t="inlineStr">
        <is>
          <t>3/8-18</t>
        </is>
      </c>
      <c r="H234" s="37" t="inlineStr">
        <is>
          <t>1/2-20</t>
        </is>
      </c>
      <c r="I234" s="37" t="inlineStr">
        <is>
          <t>5/16</t>
        </is>
      </c>
      <c r="J234" s="37" t="inlineStr">
        <is>
          <t>ASME B1.20.3</t>
        </is>
      </c>
      <c r="K234" s="37" t="inlineStr">
        <is>
          <t>SAE J514-1</t>
        </is>
      </c>
      <c r="L234" s="37" t="n">
        <v>1.08</v>
      </c>
      <c r="M234" s="37" t="n">
        <v>1.22</v>
      </c>
      <c r="N234" s="37" t="n">
        <v>0.8100000000000001</v>
      </c>
      <c r="O234" s="37" t="n">
        <v>0.23</v>
      </c>
      <c r="P234" s="37" t="n">
        <v>0.41</v>
      </c>
      <c r="Q234" s="37" t="n"/>
      <c r="R234" s="44" t="n"/>
      <c r="S234" s="45" t="n">
        <v>0.75</v>
      </c>
      <c r="T234" s="37" t="n">
        <v>90</v>
      </c>
      <c r="U234" s="37" t="inlineStr">
        <is>
          <t>ASSUMED</t>
        </is>
      </c>
      <c r="V234" s="37" t="inlineStr">
        <is>
          <t>MS51504 has no row for this size combo; Air-Way remains single source.</t>
        </is>
      </c>
      <c r="W234" s="37" t="inlineStr">
        <is>
          <t>BUILD</t>
        </is>
      </c>
      <c r="X234" s="37" t="inlineStr">
        <is>
          <t>Dimensions verbatim from Air-Way, two reconciled passes. Hex/material/finish/pressure outstanding. | Single body hex 3/4 keyed to larger dash -6 (sources show hex follows larger end).</t>
        </is>
      </c>
      <c r="Z234" s="45" t="inlineStr">
        <is>
          <t>Carbon Steel</t>
        </is>
      </c>
      <c r="AA234" s="45" t="inlineStr">
        <is>
          <t>ASTM A108 12L14</t>
        </is>
      </c>
      <c r="AB234" s="45" t="inlineStr">
        <is>
          <t>Trivalent Cr3 Zinc</t>
        </is>
      </c>
      <c r="AC234" s="45" t="inlineStr">
        <is>
          <t>ASTM B633 Type V/VI</t>
        </is>
      </c>
      <c r="AD234" s="46" t="n">
        <v>5000</v>
      </c>
      <c r="AE234" s="46" t="inlineStr">
        <is>
          <t>generic SAE table @ dash -6 (governing end)</t>
        </is>
      </c>
      <c r="AF234" s="46" t="n">
        <v>-65</v>
      </c>
      <c r="AG234" s="46" t="n">
        <v>400</v>
      </c>
      <c r="AH234" s="37" t="inlineStr">
        <is>
          <t>Ham-Let + hoseandfittings (pressure); Parker Cat.4300 (material); ASTM B633 (finish); see StandardsData</t>
        </is>
      </c>
    </row>
    <row r="235" ht="15" customHeight="1" s="35">
      <c r="A235" s="37" t="inlineStr">
        <is>
          <t>2501-05-08</t>
        </is>
      </c>
      <c r="B235" s="37" t="inlineStr">
        <is>
          <t>2501-5-8</t>
        </is>
      </c>
      <c r="C235" s="37" t="inlineStr">
        <is>
          <t>2501</t>
        </is>
      </c>
      <c r="D235" s="37" t="n">
        <v>118</v>
      </c>
      <c r="E235" s="37" t="inlineStr">
        <is>
          <t>90 deg</t>
        </is>
      </c>
      <c r="F235" s="37" t="inlineStr">
        <is>
          <t>90 deg Male Elbow, 1/2-20 x 1/2-14</t>
        </is>
      </c>
      <c r="G235" s="37" t="inlineStr">
        <is>
          <t>1/2-14</t>
        </is>
      </c>
      <c r="H235" s="37" t="inlineStr">
        <is>
          <t>1/2-20</t>
        </is>
      </c>
      <c r="I235" s="37" t="inlineStr">
        <is>
          <t>5/16</t>
        </is>
      </c>
      <c r="J235" s="37" t="inlineStr">
        <is>
          <t>ASME B1.20.3</t>
        </is>
      </c>
      <c r="K235" s="37" t="inlineStr">
        <is>
          <t>SAE J514-1</t>
        </is>
      </c>
      <c r="L235" s="37" t="n">
        <v>1.14</v>
      </c>
      <c r="M235" s="37" t="n">
        <v>1.47</v>
      </c>
      <c r="N235" s="37" t="n">
        <v>0.9399999999999999</v>
      </c>
      <c r="O235" s="37" t="n">
        <v>0.23</v>
      </c>
      <c r="P235" s="37" t="n">
        <v>0.53</v>
      </c>
      <c r="Q235" s="37" t="n"/>
      <c r="R235" s="44" t="n"/>
      <c r="S235" s="45" t="n">
        <v>0.875</v>
      </c>
      <c r="T235" s="37" t="n">
        <v>90</v>
      </c>
      <c r="U235" s="37" t="inlineStr">
        <is>
          <t>ASSUMED</t>
        </is>
      </c>
      <c r="V235" s="37" t="inlineStr">
        <is>
          <t>MS51504 has no row for this size combo; Air-Way remains single source.</t>
        </is>
      </c>
      <c r="W235" s="37" t="inlineStr">
        <is>
          <t>BUILD</t>
        </is>
      </c>
      <c r="X235" s="37" t="inlineStr">
        <is>
          <t>Dimensions verbatim from Air-Way, two reconciled passes. Hex/material/finish/pressure outstanding. | Single body hex 7/8 keyed to larger dash -8 (sources show hex follows larger end).</t>
        </is>
      </c>
      <c r="Z235" s="45" t="inlineStr">
        <is>
          <t>Carbon Steel</t>
        </is>
      </c>
      <c r="AA235" s="45" t="inlineStr">
        <is>
          <t>ASTM A108 12L14</t>
        </is>
      </c>
      <c r="AB235" s="45" t="inlineStr">
        <is>
          <t>Trivalent Cr3 Zinc</t>
        </is>
      </c>
      <c r="AC235" s="45" t="inlineStr">
        <is>
          <t>ASTM B633 Type V/VI</t>
        </is>
      </c>
      <c r="AD235" s="46" t="n">
        <v>4500</v>
      </c>
      <c r="AE235" s="46" t="inlineStr">
        <is>
          <t>generic SAE table @ dash -8 (governing end)</t>
        </is>
      </c>
      <c r="AF235" s="46" t="n">
        <v>-65</v>
      </c>
      <c r="AG235" s="46" t="n">
        <v>400</v>
      </c>
      <c r="AH235" s="37" t="inlineStr">
        <is>
          <t>Ham-Let + hoseandfittings (pressure); Parker Cat.4300 (material); ASTM B633 (finish); see StandardsData</t>
        </is>
      </c>
    </row>
    <row r="236" ht="15" customHeight="1" s="35">
      <c r="A236" s="37" t="inlineStr">
        <is>
          <t>2501-06-02-FG</t>
        </is>
      </c>
      <c r="B236" s="37" t="inlineStr">
        <is>
          <t>2501-6-2-FG</t>
        </is>
      </c>
      <c r="C236" s="37" t="inlineStr">
        <is>
          <t>2501</t>
        </is>
      </c>
      <c r="D236" s="37" t="n">
        <v>118</v>
      </c>
      <c r="E236" s="37" t="inlineStr">
        <is>
          <t>90 deg</t>
        </is>
      </c>
      <c r="F236" s="37" t="inlineStr">
        <is>
          <t>90 deg Male Elbow, 9/16-18 x 1/8-27</t>
        </is>
      </c>
      <c r="G236" s="37" t="inlineStr">
        <is>
          <t>1/8-27</t>
        </is>
      </c>
      <c r="H236" s="37" t="inlineStr">
        <is>
          <t>9/16-18</t>
        </is>
      </c>
      <c r="I236" s="37" t="inlineStr">
        <is>
          <t>3/8</t>
        </is>
      </c>
      <c r="J236" s="37" t="inlineStr">
        <is>
          <t>ASME B1.20.3</t>
        </is>
      </c>
      <c r="K236" s="37" t="inlineStr">
        <is>
          <t>SAE J514-1</t>
        </is>
      </c>
      <c r="L236" s="37" t="n">
        <v>1.06</v>
      </c>
      <c r="M236" s="37" t="n">
        <v>0.9</v>
      </c>
      <c r="N236" s="37" t="n">
        <v>0.5600000000000001</v>
      </c>
      <c r="O236" s="37" t="n">
        <v>0.3</v>
      </c>
      <c r="P236" s="37" t="n">
        <v>0.19</v>
      </c>
      <c r="Q236" s="37" t="n"/>
      <c r="R236" s="44" t="n"/>
      <c r="S236" s="45" t="n">
        <v>0.75</v>
      </c>
      <c r="T236" s="37" t="n">
        <v>90</v>
      </c>
      <c r="U236" s="37" t="inlineStr">
        <is>
          <t>ASSUMED</t>
        </is>
      </c>
      <c r="V236" s="37" t="inlineStr">
        <is>
          <t>MS51504 cross-check 2026-09-04: B,M,N,D,D1 all AGREE (forged pattern).</t>
        </is>
      </c>
      <c r="W236" s="37" t="inlineStr">
        <is>
          <t>BUILD</t>
        </is>
      </c>
      <c r="X236" s="37" t="inlineStr">
        <is>
          <t>Dimensions verbatim from Air-Way, two reconciled passes. Hex/material/finish/pressure outstanding. | Single body hex 3/4 keyed to larger dash -6 (sources show hex follows larger end).</t>
        </is>
      </c>
      <c r="Z236" s="45" t="inlineStr">
        <is>
          <t>Carbon Steel</t>
        </is>
      </c>
      <c r="AA236" s="45" t="inlineStr">
        <is>
          <t>ASTM A108 12L14</t>
        </is>
      </c>
      <c r="AB236" s="45" t="inlineStr">
        <is>
          <t>Trivalent Cr3 Zinc</t>
        </is>
      </c>
      <c r="AC236" s="45" t="inlineStr">
        <is>
          <t>ASTM B633 Type V/VI</t>
        </is>
      </c>
      <c r="AD236" s="46" t="n">
        <v>5000</v>
      </c>
      <c r="AE236" s="46" t="inlineStr">
        <is>
          <t>generic SAE table @ dash -6 (governing end)</t>
        </is>
      </c>
      <c r="AF236" s="46" t="n">
        <v>-65</v>
      </c>
      <c r="AG236" s="46" t="n">
        <v>400</v>
      </c>
      <c r="AH236" s="37" t="inlineStr">
        <is>
          <t>Ham-Let + hoseandfittings (pressure); Parker Cat.4300 (material); ASTM B633 (finish); see StandardsData</t>
        </is>
      </c>
    </row>
    <row r="237" ht="15" customHeight="1" s="35">
      <c r="A237" s="37" t="inlineStr">
        <is>
          <t>2501-06-02</t>
        </is>
      </c>
      <c r="B237" s="37" t="inlineStr">
        <is>
          <t>2501-6-2</t>
        </is>
      </c>
      <c r="C237" s="37" t="inlineStr">
        <is>
          <t>2501</t>
        </is>
      </c>
      <c r="D237" s="37" t="n">
        <v>118</v>
      </c>
      <c r="E237" s="37" t="inlineStr">
        <is>
          <t>90 deg</t>
        </is>
      </c>
      <c r="F237" s="37" t="inlineStr">
        <is>
          <t>90 deg Male Elbow, 9/16-18 x 1/8-27</t>
        </is>
      </c>
      <c r="G237" s="37" t="inlineStr">
        <is>
          <t>1/8-27</t>
        </is>
      </c>
      <c r="H237" s="37" t="inlineStr">
        <is>
          <t>9/16-18</t>
        </is>
      </c>
      <c r="I237" s="37" t="inlineStr">
        <is>
          <t>3/8</t>
        </is>
      </c>
      <c r="J237" s="37" t="inlineStr">
        <is>
          <t>ASME B1.20.3</t>
        </is>
      </c>
      <c r="K237" s="37" t="inlineStr">
        <is>
          <t>SAE J514-1</t>
        </is>
      </c>
      <c r="L237" s="37" t="n">
        <v>1.08</v>
      </c>
      <c r="M237" s="37" t="n">
        <v>0.84</v>
      </c>
      <c r="N237" s="37" t="n">
        <v>0.63</v>
      </c>
      <c r="O237" s="37" t="n">
        <v>0.3</v>
      </c>
      <c r="P237" s="37" t="n">
        <v>0.19</v>
      </c>
      <c r="Q237" s="37" t="n"/>
      <c r="R237" s="44" t="n"/>
      <c r="S237" s="45" t="n">
        <v>0.75</v>
      </c>
      <c r="T237" s="37" t="n">
        <v>90</v>
      </c>
      <c r="U237" s="37" t="inlineStr">
        <is>
          <t>ASSUMED</t>
        </is>
      </c>
      <c r="V237" s="37" t="inlineStr">
        <is>
          <t>Non-forged leg pattern; MS51504 covers the forged pattern (FG sibling matches MS). Air-Way single source for these legs.</t>
        </is>
      </c>
      <c r="W237" s="37" t="inlineStr">
        <is>
          <t>BUILD</t>
        </is>
      </c>
      <c r="X237" s="37" t="inlineStr">
        <is>
          <t>Dimensions verbatim from Air-Way, two reconciled passes. Hex/material/finish/pressure outstanding. | Single body hex 3/4 keyed to larger dash -6 (sources show hex follows larger end).</t>
        </is>
      </c>
      <c r="Z237" s="45" t="inlineStr">
        <is>
          <t>Carbon Steel</t>
        </is>
      </c>
      <c r="AA237" s="45" t="inlineStr">
        <is>
          <t>ASTM A108 12L14</t>
        </is>
      </c>
      <c r="AB237" s="45" t="inlineStr">
        <is>
          <t>Trivalent Cr3 Zinc</t>
        </is>
      </c>
      <c r="AC237" s="45" t="inlineStr">
        <is>
          <t>ASTM B633 Type V/VI</t>
        </is>
      </c>
      <c r="AD237" s="46" t="n">
        <v>5000</v>
      </c>
      <c r="AE237" s="46" t="inlineStr">
        <is>
          <t>generic SAE table @ dash -6 (governing end)</t>
        </is>
      </c>
      <c r="AF237" s="46" t="n">
        <v>-65</v>
      </c>
      <c r="AG237" s="46" t="n">
        <v>400</v>
      </c>
      <c r="AH237" s="37" t="inlineStr">
        <is>
          <t>Ham-Let + hoseandfittings (pressure); Parker Cat.4300 (material); ASTM B633 (finish); see StandardsData</t>
        </is>
      </c>
    </row>
    <row r="238" ht="15" customHeight="1" s="35">
      <c r="A238" s="37" t="inlineStr">
        <is>
          <t>2501-06-04-FG</t>
        </is>
      </c>
      <c r="B238" s="37" t="inlineStr">
        <is>
          <t>2501-6-4-FG</t>
        </is>
      </c>
      <c r="C238" s="37" t="inlineStr">
        <is>
          <t>2501</t>
        </is>
      </c>
      <c r="D238" s="37" t="n">
        <v>118</v>
      </c>
      <c r="E238" s="37" t="inlineStr">
        <is>
          <t>90 deg</t>
        </is>
      </c>
      <c r="F238" s="37" t="inlineStr">
        <is>
          <t>90 deg Male Elbow, 9/16-18 x 1/4-18</t>
        </is>
      </c>
      <c r="G238" s="37" t="inlineStr">
        <is>
          <t>1/4-18</t>
        </is>
      </c>
      <c r="H238" s="37" t="inlineStr">
        <is>
          <t>9/16-18</t>
        </is>
      </c>
      <c r="I238" s="37" t="inlineStr">
        <is>
          <t>3/8</t>
        </is>
      </c>
      <c r="J238" s="37" t="inlineStr">
        <is>
          <t>ASME B1.20.3</t>
        </is>
      </c>
      <c r="K238" s="37" t="inlineStr">
        <is>
          <t>SAE J514-1</t>
        </is>
      </c>
      <c r="L238" s="37" t="n">
        <v>1.06</v>
      </c>
      <c r="M238" s="37" t="n">
        <v>1.09</v>
      </c>
      <c r="N238" s="37" t="n">
        <v>0.5600000000000001</v>
      </c>
      <c r="O238" s="37" t="n">
        <v>0.3</v>
      </c>
      <c r="P238" s="37" t="n">
        <v>0.28</v>
      </c>
      <c r="Q238" s="37" t="n"/>
      <c r="R238" s="44" t="n"/>
      <c r="S238" s="45" t="n">
        <v>0.75</v>
      </c>
      <c r="T238" s="37" t="n">
        <v>90</v>
      </c>
      <c r="U238" s="37" t="inlineStr">
        <is>
          <t>ASSUMED</t>
        </is>
      </c>
      <c r="V238" s="37" t="inlineStr">
        <is>
          <t>MS51504 cross-check 2026-09-04: B,M,N,D,D1 all AGREE (forged pattern).</t>
        </is>
      </c>
      <c r="W238" s="37" t="inlineStr">
        <is>
          <t>BUILD</t>
        </is>
      </c>
      <c r="X238" s="37" t="inlineStr">
        <is>
          <t>Dimensions verbatim from Air-Way, two reconciled passes. Hex/material/finish/pressure outstanding. | Single body hex 3/4 keyed to larger dash -6 (sources show hex follows larger end).</t>
        </is>
      </c>
      <c r="Z238" s="45" t="inlineStr">
        <is>
          <t>Carbon Steel</t>
        </is>
      </c>
      <c r="AA238" s="45" t="inlineStr">
        <is>
          <t>ASTM A108 12L14</t>
        </is>
      </c>
      <c r="AB238" s="45" t="inlineStr">
        <is>
          <t>Trivalent Cr3 Zinc</t>
        </is>
      </c>
      <c r="AC238" s="45" t="inlineStr">
        <is>
          <t>ASTM B633 Type V/VI</t>
        </is>
      </c>
      <c r="AD238" s="46" t="n">
        <v>5000</v>
      </c>
      <c r="AE238" s="46" t="inlineStr">
        <is>
          <t>generic SAE table @ dash -6 (governing end)</t>
        </is>
      </c>
      <c r="AF238" s="46" t="n">
        <v>-65</v>
      </c>
      <c r="AG238" s="46" t="n">
        <v>400</v>
      </c>
      <c r="AH238" s="37" t="inlineStr">
        <is>
          <t>Ham-Let + hoseandfittings (pressure); Parker Cat.4300 (material); ASTM B633 (finish); see StandardsData</t>
        </is>
      </c>
    </row>
    <row r="239" ht="15" customHeight="1" s="35">
      <c r="A239" s="37" t="inlineStr">
        <is>
          <t>2501-06-04</t>
        </is>
      </c>
      <c r="B239" s="37" t="inlineStr">
        <is>
          <t>2501-6-4</t>
        </is>
      </c>
      <c r="C239" s="37" t="inlineStr">
        <is>
          <t>2501</t>
        </is>
      </c>
      <c r="D239" s="37" t="n">
        <v>118</v>
      </c>
      <c r="E239" s="37" t="inlineStr">
        <is>
          <t>90 deg</t>
        </is>
      </c>
      <c r="F239" s="37" t="inlineStr">
        <is>
          <t>90 deg Male Elbow, 9/16-18 x 1/4-18</t>
        </is>
      </c>
      <c r="G239" s="37" t="inlineStr">
        <is>
          <t>1/4-18</t>
        </is>
      </c>
      <c r="H239" s="37" t="inlineStr">
        <is>
          <t>9/16-18</t>
        </is>
      </c>
      <c r="I239" s="37" t="inlineStr">
        <is>
          <t>3/8</t>
        </is>
      </c>
      <c r="J239" s="37" t="inlineStr">
        <is>
          <t>ASME B1.20.3</t>
        </is>
      </c>
      <c r="K239" s="37" t="inlineStr">
        <is>
          <t>SAE J514-1</t>
        </is>
      </c>
      <c r="L239" s="37" t="n">
        <v>1.06</v>
      </c>
      <c r="M239" s="37" t="n">
        <v>1.09</v>
      </c>
      <c r="N239" s="37" t="n">
        <v>0.63</v>
      </c>
      <c r="O239" s="37" t="n">
        <v>0.3</v>
      </c>
      <c r="P239" s="37" t="n">
        <v>0.28</v>
      </c>
      <c r="Q239" s="37" t="n"/>
      <c r="R239" s="44" t="n"/>
      <c r="S239" s="45" t="n">
        <v>0.75</v>
      </c>
      <c r="T239" s="37" t="n">
        <v>90</v>
      </c>
      <c r="U239" s="37" t="inlineStr">
        <is>
          <t>ASSUMED</t>
        </is>
      </c>
      <c r="V239" s="37" t="inlineStr">
        <is>
          <t>Non-forged leg pattern; MS51504 covers the forged pattern (FG sibling matches MS). Air-Way single source for these legs.</t>
        </is>
      </c>
      <c r="W239" s="37" t="inlineStr">
        <is>
          <t>BUILD</t>
        </is>
      </c>
      <c r="X239" s="37" t="inlineStr">
        <is>
          <t>Dimensions verbatim from Air-Way, two reconciled passes. Hex/material/finish/pressure outstanding. | Single body hex 3/4 keyed to larger dash -6 (sources show hex follows larger end).</t>
        </is>
      </c>
      <c r="Z239" s="45" t="inlineStr">
        <is>
          <t>Carbon Steel</t>
        </is>
      </c>
      <c r="AA239" s="45" t="inlineStr">
        <is>
          <t>ASTM A108 12L14</t>
        </is>
      </c>
      <c r="AB239" s="45" t="inlineStr">
        <is>
          <t>Trivalent Cr3 Zinc</t>
        </is>
      </c>
      <c r="AC239" s="45" t="inlineStr">
        <is>
          <t>ASTM B633 Type V/VI</t>
        </is>
      </c>
      <c r="AD239" s="46" t="n">
        <v>5000</v>
      </c>
      <c r="AE239" s="46" t="inlineStr">
        <is>
          <t>generic SAE table @ dash -6 (governing end)</t>
        </is>
      </c>
      <c r="AF239" s="46" t="n">
        <v>-65</v>
      </c>
      <c r="AG239" s="46" t="n">
        <v>400</v>
      </c>
      <c r="AH239" s="37" t="inlineStr">
        <is>
          <t>Ham-Let + hoseandfittings (pressure); Parker Cat.4300 (material); ASTM B633 (finish); see StandardsData</t>
        </is>
      </c>
    </row>
    <row r="240" ht="15" customHeight="1" s="35">
      <c r="A240" s="37" t="inlineStr">
        <is>
          <t>2501-06-06-FG</t>
        </is>
      </c>
      <c r="B240" s="37" t="inlineStr">
        <is>
          <t>2501-6-6-FG</t>
        </is>
      </c>
      <c r="C240" s="37" t="inlineStr">
        <is>
          <t>2501</t>
        </is>
      </c>
      <c r="D240" s="37" t="n">
        <v>118</v>
      </c>
      <c r="E240" s="37" t="inlineStr">
        <is>
          <t>90 deg</t>
        </is>
      </c>
      <c r="F240" s="37" t="inlineStr">
        <is>
          <t>90 deg Male Elbow, 9/16-18 x 3/8-18</t>
        </is>
      </c>
      <c r="G240" s="37" t="inlineStr">
        <is>
          <t>3/8-18</t>
        </is>
      </c>
      <c r="H240" s="37" t="inlineStr">
        <is>
          <t>9/16-18</t>
        </is>
      </c>
      <c r="I240" s="37" t="inlineStr">
        <is>
          <t>3/8</t>
        </is>
      </c>
      <c r="J240" s="37" t="inlineStr">
        <is>
          <t>ASME B1.20.3</t>
        </is>
      </c>
      <c r="K240" s="37" t="inlineStr">
        <is>
          <t>SAE J514-1</t>
        </is>
      </c>
      <c r="L240" s="37" t="n">
        <v>1.14</v>
      </c>
      <c r="M240" s="37" t="n">
        <v>1.22</v>
      </c>
      <c r="N240" s="37" t="n">
        <v>0.75</v>
      </c>
      <c r="O240" s="37" t="n">
        <v>0.3</v>
      </c>
      <c r="P240" s="37" t="n">
        <v>0.41</v>
      </c>
      <c r="Q240" s="37" t="n"/>
      <c r="R240" s="44" t="n"/>
      <c r="S240" s="45" t="n">
        <v>0.75</v>
      </c>
      <c r="T240" s="37" t="n">
        <v>90</v>
      </c>
      <c r="U240" s="37" t="inlineStr">
        <is>
          <t>ASSUMED</t>
        </is>
      </c>
      <c r="V240" s="37" t="inlineStr">
        <is>
          <t>MS51504 cross-check 2026-09-04: B,M,N,D,D1 all AGREE (forged pattern).</t>
        </is>
      </c>
      <c r="W240" s="37" t="inlineStr">
        <is>
          <t>BUILD</t>
        </is>
      </c>
      <c r="X240" s="37" t="inlineStr">
        <is>
          <t>Dimensions verbatim from Air-Way, two reconciled passes. Hex/material/finish/pressure outstanding. | Single body hex 3/4 keyed to larger dash -6 (sources show hex follows larger end).</t>
        </is>
      </c>
      <c r="Z240" s="45" t="inlineStr">
        <is>
          <t>Carbon Steel</t>
        </is>
      </c>
      <c r="AA240" s="45" t="inlineStr">
        <is>
          <t>ASTM A108 12L14</t>
        </is>
      </c>
      <c r="AB240" s="45" t="inlineStr">
        <is>
          <t>Trivalent Cr3 Zinc</t>
        </is>
      </c>
      <c r="AC240" s="45" t="inlineStr">
        <is>
          <t>ASTM B633 Type V/VI</t>
        </is>
      </c>
      <c r="AD240" s="46" t="n">
        <v>5000</v>
      </c>
      <c r="AE240" s="46" t="inlineStr">
        <is>
          <t>generic SAE table @ dash -6 (governing end)</t>
        </is>
      </c>
      <c r="AF240" s="46" t="n">
        <v>-65</v>
      </c>
      <c r="AG240" s="46" t="n">
        <v>400</v>
      </c>
      <c r="AH240" s="37" t="inlineStr">
        <is>
          <t>Ham-Let + hoseandfittings (pressure); Parker Cat.4300 (material); ASTM B633 (finish); see StandardsData</t>
        </is>
      </c>
    </row>
    <row r="241" ht="15" customHeight="1" s="35">
      <c r="A241" s="37" t="inlineStr">
        <is>
          <t>2501-06-06</t>
        </is>
      </c>
      <c r="B241" s="37" t="inlineStr">
        <is>
          <t>2501-6-6</t>
        </is>
      </c>
      <c r="C241" s="37" t="inlineStr">
        <is>
          <t>2501</t>
        </is>
      </c>
      <c r="D241" s="37" t="n">
        <v>118</v>
      </c>
      <c r="E241" s="37" t="inlineStr">
        <is>
          <t>90 deg</t>
        </is>
      </c>
      <c r="F241" s="37" t="inlineStr">
        <is>
          <t>90 deg Male Elbow, 9/16-18 x 3/8-18</t>
        </is>
      </c>
      <c r="G241" s="37" t="inlineStr">
        <is>
          <t>3/8-18</t>
        </is>
      </c>
      <c r="H241" s="37" t="inlineStr">
        <is>
          <t>9/16-18</t>
        </is>
      </c>
      <c r="I241" s="37" t="inlineStr">
        <is>
          <t>3/8</t>
        </is>
      </c>
      <c r="J241" s="37" t="inlineStr">
        <is>
          <t>ASME B1.20.3</t>
        </is>
      </c>
      <c r="K241" s="37" t="inlineStr">
        <is>
          <t>SAE J514-1</t>
        </is>
      </c>
      <c r="L241" s="37" t="n">
        <v>1.15</v>
      </c>
      <c r="M241" s="37" t="n">
        <v>1.22</v>
      </c>
      <c r="N241" s="37" t="n">
        <v>0.8100000000000001</v>
      </c>
      <c r="O241" s="37" t="n">
        <v>0.3</v>
      </c>
      <c r="P241" s="37" t="n">
        <v>0.41</v>
      </c>
      <c r="Q241" s="37" t="n"/>
      <c r="R241" s="44" t="n"/>
      <c r="S241" s="45" t="n">
        <v>0.75</v>
      </c>
      <c r="T241" s="37" t="n">
        <v>90</v>
      </c>
      <c r="U241" s="37" t="inlineStr">
        <is>
          <t>ASSUMED</t>
        </is>
      </c>
      <c r="V241" s="37" t="inlineStr">
        <is>
          <t>Non-forged leg pattern; MS51504 covers the forged pattern (FG sibling matches MS). Air-Way single source for these legs.</t>
        </is>
      </c>
      <c r="W241" s="37" t="inlineStr">
        <is>
          <t>BUILD</t>
        </is>
      </c>
      <c r="X241" s="37" t="inlineStr">
        <is>
          <t>Dimensions verbatim from Air-Way, two reconciled passes. Hex/material/finish/pressure outstanding. | Single body hex 3/4 keyed to larger dash -6 (sources show hex follows larger end).</t>
        </is>
      </c>
      <c r="Z241" s="45" t="inlineStr">
        <is>
          <t>Carbon Steel</t>
        </is>
      </c>
      <c r="AA241" s="45" t="inlineStr">
        <is>
          <t>ASTM A108 12L14</t>
        </is>
      </c>
      <c r="AB241" s="45" t="inlineStr">
        <is>
          <t>Trivalent Cr3 Zinc</t>
        </is>
      </c>
      <c r="AC241" s="45" t="inlineStr">
        <is>
          <t>ASTM B633 Type V/VI</t>
        </is>
      </c>
      <c r="AD241" s="46" t="n">
        <v>5000</v>
      </c>
      <c r="AE241" s="46" t="inlineStr">
        <is>
          <t>generic SAE table @ dash -6 (governing end)</t>
        </is>
      </c>
      <c r="AF241" s="46" t="n">
        <v>-65</v>
      </c>
      <c r="AG241" s="46" t="n">
        <v>400</v>
      </c>
      <c r="AH241" s="37" t="inlineStr">
        <is>
          <t>Ham-Let + hoseandfittings (pressure); Parker Cat.4300 (material); ASTM B633 (finish); see StandardsData</t>
        </is>
      </c>
    </row>
    <row r="242" ht="15" customHeight="1" s="35">
      <c r="A242" s="37" t="inlineStr">
        <is>
          <t>2501-06-08-FG</t>
        </is>
      </c>
      <c r="B242" s="37" t="inlineStr">
        <is>
          <t>2501-6-8-FG</t>
        </is>
      </c>
      <c r="C242" s="37" t="inlineStr">
        <is>
          <t>2501</t>
        </is>
      </c>
      <c r="D242" s="37" t="n">
        <v>118</v>
      </c>
      <c r="E242" s="37" t="inlineStr">
        <is>
          <t>90 deg</t>
        </is>
      </c>
      <c r="F242" s="37" t="inlineStr">
        <is>
          <t>90 deg Male Elbow, 9/16-18 x 1/2-14</t>
        </is>
      </c>
      <c r="G242" s="37" t="inlineStr">
        <is>
          <t>1/2-14</t>
        </is>
      </c>
      <c r="H242" s="37" t="inlineStr">
        <is>
          <t>9/16-18</t>
        </is>
      </c>
      <c r="I242" s="37" t="inlineStr">
        <is>
          <t>3/8</t>
        </is>
      </c>
      <c r="J242" s="37" t="inlineStr">
        <is>
          <t>ASME B1.20.3</t>
        </is>
      </c>
      <c r="K242" s="37" t="inlineStr">
        <is>
          <t>SAE J514-1</t>
        </is>
      </c>
      <c r="L242" s="37" t="n">
        <v>1.22</v>
      </c>
      <c r="M242" s="37" t="n">
        <v>1.47</v>
      </c>
      <c r="N242" s="37" t="n">
        <v>0.88</v>
      </c>
      <c r="O242" s="37" t="n">
        <v>0.3</v>
      </c>
      <c r="P242" s="37" t="n">
        <v>0.53</v>
      </c>
      <c r="Q242" s="37" t="n"/>
      <c r="R242" s="44" t="n"/>
      <c r="S242" s="45" t="n">
        <v>0.875</v>
      </c>
      <c r="T242" s="37" t="n">
        <v>90</v>
      </c>
      <c r="U242" s="37" t="inlineStr">
        <is>
          <t>ASSUMED</t>
        </is>
      </c>
      <c r="V242" s="37" t="inlineStr">
        <is>
          <t>MS51504 cross-check 2026-09-04: B,M,N,D,D1 all AGREE (forged pattern).</t>
        </is>
      </c>
      <c r="W242" s="37" t="inlineStr">
        <is>
          <t>BUILD</t>
        </is>
      </c>
      <c r="X242" s="37" t="inlineStr">
        <is>
          <t>Dimensions verbatim from Air-Way, two reconciled passes. Hex/material/finish/pressure outstanding. | Single body hex 7/8 keyed to larger dash -8 (sources show hex follows larger end).</t>
        </is>
      </c>
      <c r="Z242" s="45" t="inlineStr">
        <is>
          <t>Carbon Steel</t>
        </is>
      </c>
      <c r="AA242" s="45" t="inlineStr">
        <is>
          <t>ASTM A108 12L14</t>
        </is>
      </c>
      <c r="AB242" s="45" t="inlineStr">
        <is>
          <t>Trivalent Cr3 Zinc</t>
        </is>
      </c>
      <c r="AC242" s="45" t="inlineStr">
        <is>
          <t>ASTM B633 Type V/VI</t>
        </is>
      </c>
      <c r="AD242" s="46" t="n">
        <v>4500</v>
      </c>
      <c r="AE242" s="46" t="inlineStr">
        <is>
          <t>generic SAE table @ dash -8 (governing end)</t>
        </is>
      </c>
      <c r="AF242" s="46" t="n">
        <v>-65</v>
      </c>
      <c r="AG242" s="46" t="n">
        <v>400</v>
      </c>
      <c r="AH242" s="37" t="inlineStr">
        <is>
          <t>Ham-Let + hoseandfittings (pressure); Parker Cat.4300 (material); ASTM B633 (finish); see StandardsData</t>
        </is>
      </c>
    </row>
    <row r="243" ht="15" customHeight="1" s="35">
      <c r="A243" s="37" t="inlineStr">
        <is>
          <t>2501-06-08</t>
        </is>
      </c>
      <c r="B243" s="37" t="inlineStr">
        <is>
          <t>2501-6-8</t>
        </is>
      </c>
      <c r="C243" s="37" t="inlineStr">
        <is>
          <t>2501</t>
        </is>
      </c>
      <c r="D243" s="37" t="n">
        <v>118</v>
      </c>
      <c r="E243" s="37" t="inlineStr">
        <is>
          <t>90 deg</t>
        </is>
      </c>
      <c r="F243" s="37" t="inlineStr">
        <is>
          <t>90 deg Male Elbow, 9/16-18 x 1/2-14</t>
        </is>
      </c>
      <c r="G243" s="37" t="inlineStr">
        <is>
          <t>1/2-14</t>
        </is>
      </c>
      <c r="H243" s="37" t="inlineStr">
        <is>
          <t>9/16-18</t>
        </is>
      </c>
      <c r="I243" s="37" t="inlineStr">
        <is>
          <t>3/8</t>
        </is>
      </c>
      <c r="J243" s="37" t="inlineStr">
        <is>
          <t>ASME B1.20.3</t>
        </is>
      </c>
      <c r="K243" s="37" t="inlineStr">
        <is>
          <t>SAE J514-1</t>
        </is>
      </c>
      <c r="L243" s="37" t="n">
        <v>1.22</v>
      </c>
      <c r="M243" s="37" t="n">
        <v>1.47</v>
      </c>
      <c r="N243" s="37" t="n">
        <v>0.9399999999999999</v>
      </c>
      <c r="O243" s="37" t="n">
        <v>0.3</v>
      </c>
      <c r="P243" s="37" t="n">
        <v>0.53</v>
      </c>
      <c r="Q243" s="37" t="n"/>
      <c r="R243" s="44" t="n"/>
      <c r="S243" s="45" t="n">
        <v>0.875</v>
      </c>
      <c r="T243" s="37" t="n">
        <v>90</v>
      </c>
      <c r="U243" s="37" t="inlineStr">
        <is>
          <t>ASSUMED</t>
        </is>
      </c>
      <c r="V243" s="37" t="inlineStr">
        <is>
          <t>Non-forged leg pattern; MS51504 covers the forged pattern (FG sibling matches MS). Air-Way single source for these legs.</t>
        </is>
      </c>
      <c r="W243" s="37" t="inlineStr">
        <is>
          <t>BUILD</t>
        </is>
      </c>
      <c r="X243" s="37" t="inlineStr">
        <is>
          <t>Dimensions verbatim from Air-Way, two reconciled passes. Hex/material/finish/pressure outstanding. | Single body hex 7/8 keyed to larger dash -8 (sources show hex follows larger end).</t>
        </is>
      </c>
      <c r="Z243" s="45" t="inlineStr">
        <is>
          <t>Carbon Steel</t>
        </is>
      </c>
      <c r="AA243" s="45" t="inlineStr">
        <is>
          <t>ASTM A108 12L14</t>
        </is>
      </c>
      <c r="AB243" s="45" t="inlineStr">
        <is>
          <t>Trivalent Cr3 Zinc</t>
        </is>
      </c>
      <c r="AC243" s="45" t="inlineStr">
        <is>
          <t>ASTM B633 Type V/VI</t>
        </is>
      </c>
      <c r="AD243" s="46" t="n">
        <v>4500</v>
      </c>
      <c r="AE243" s="46" t="inlineStr">
        <is>
          <t>generic SAE table @ dash -8 (governing end)</t>
        </is>
      </c>
      <c r="AF243" s="46" t="n">
        <v>-65</v>
      </c>
      <c r="AG243" s="46" t="n">
        <v>400</v>
      </c>
      <c r="AH243" s="37" t="inlineStr">
        <is>
          <t>Ham-Let + hoseandfittings (pressure); Parker Cat.4300 (material); ASTM B633 (finish); see StandardsData</t>
        </is>
      </c>
    </row>
    <row r="244" ht="15" customHeight="1" s="35">
      <c r="A244" s="37" t="inlineStr">
        <is>
          <t>2501-06-12</t>
        </is>
      </c>
      <c r="B244" s="37" t="inlineStr">
        <is>
          <t>2501-6-12</t>
        </is>
      </c>
      <c r="C244" s="37" t="inlineStr">
        <is>
          <t>2501</t>
        </is>
      </c>
      <c r="D244" s="37" t="n">
        <v>118</v>
      </c>
      <c r="E244" s="37" t="inlineStr">
        <is>
          <t>90 deg</t>
        </is>
      </c>
      <c r="F244" s="37" t="inlineStr">
        <is>
          <t>90 deg Male Elbow, 9/16-18 x 3/4-14</t>
        </is>
      </c>
      <c r="G244" s="37" t="inlineStr">
        <is>
          <t>3/4-14</t>
        </is>
      </c>
      <c r="H244" s="37" t="inlineStr">
        <is>
          <t>9/16-18</t>
        </is>
      </c>
      <c r="I244" s="37" t="inlineStr">
        <is>
          <t>3/8</t>
        </is>
      </c>
      <c r="J244" s="37" t="inlineStr">
        <is>
          <t>ASME B1.20.3</t>
        </is>
      </c>
      <c r="K244" s="37" t="inlineStr">
        <is>
          <t>SAE J514-1</t>
        </is>
      </c>
      <c r="L244" s="37" t="n">
        <v>1.31</v>
      </c>
      <c r="M244" s="37" t="n">
        <v>1.59</v>
      </c>
      <c r="N244" s="37" t="n">
        <v>1.13</v>
      </c>
      <c r="O244" s="37" t="n">
        <v>0.3</v>
      </c>
      <c r="P244" s="37" t="n">
        <v>0.72</v>
      </c>
      <c r="Q244" s="37" t="n"/>
      <c r="R244" s="44" t="n"/>
      <c r="S244" s="45" t="n">
        <v>1.0625</v>
      </c>
      <c r="T244" s="37" t="n">
        <v>90</v>
      </c>
      <c r="U244" s="37" t="inlineStr">
        <is>
          <t>ASSUMED</t>
        </is>
      </c>
      <c r="V244" s="37" t="inlineStr">
        <is>
          <t>MS51504 has no row for this size combo; Air-Way remains single source.</t>
        </is>
      </c>
      <c r="W244" s="37" t="inlineStr">
        <is>
          <t>BUILD</t>
        </is>
      </c>
      <c r="X244" s="37" t="inlineStr">
        <is>
          <t>Dimensions verbatim from Air-Way, two reconciled passes. Hex/material/finish/pressure outstanding. | Single body hex 1 1/16 keyed to larger dash -12 (sources show hex follows larger end).</t>
        </is>
      </c>
      <c r="Z244" s="45" t="inlineStr">
        <is>
          <t>Carbon Steel</t>
        </is>
      </c>
      <c r="AA244" s="45" t="inlineStr">
        <is>
          <t>ASTM A108 12L14</t>
        </is>
      </c>
      <c r="AB244" s="45" t="inlineStr">
        <is>
          <t>Trivalent Cr3 Zinc</t>
        </is>
      </c>
      <c r="AC244" s="45" t="inlineStr">
        <is>
          <t>ASTM B633 Type V/VI</t>
        </is>
      </c>
      <c r="AD244" s="46" t="n">
        <v>3500</v>
      </c>
      <c r="AE244" s="46" t="inlineStr">
        <is>
          <t>generic SAE table @ dash -12 (governing end)</t>
        </is>
      </c>
      <c r="AF244" s="46" t="n">
        <v>-65</v>
      </c>
      <c r="AG244" s="46" t="n">
        <v>400</v>
      </c>
      <c r="AH244" s="37" t="inlineStr">
        <is>
          <t>Ham-Let + hoseandfittings (pressure); Parker Cat.4300 (material); ASTM B633 (finish); see StandardsData</t>
        </is>
      </c>
    </row>
    <row r="245" ht="15" customHeight="1" s="35">
      <c r="A245" s="37" t="inlineStr">
        <is>
          <t>2501-08-04-FG</t>
        </is>
      </c>
      <c r="B245" s="37" t="inlineStr">
        <is>
          <t>2501-8-4-FG</t>
        </is>
      </c>
      <c r="C245" s="37" t="inlineStr">
        <is>
          <t>2501</t>
        </is>
      </c>
      <c r="D245" s="37" t="n">
        <v>118</v>
      </c>
      <c r="E245" s="37" t="inlineStr">
        <is>
          <t>90 deg</t>
        </is>
      </c>
      <c r="F245" s="37" t="inlineStr">
        <is>
          <t>90 deg Male Elbow, 3/4-16 x 1/4-18</t>
        </is>
      </c>
      <c r="G245" s="37" t="inlineStr">
        <is>
          <t>1/4-18</t>
        </is>
      </c>
      <c r="H245" s="37" t="inlineStr">
        <is>
          <t>3/4-16</t>
        </is>
      </c>
      <c r="I245" s="37" t="inlineStr">
        <is>
          <t>1/2</t>
        </is>
      </c>
      <c r="J245" s="37" t="inlineStr">
        <is>
          <t>ASME B1.20.3</t>
        </is>
      </c>
      <c r="K245" s="37" t="inlineStr">
        <is>
          <t>SAE J514-1</t>
        </is>
      </c>
      <c r="L245" s="37" t="n">
        <v>1.25</v>
      </c>
      <c r="M245" s="37" t="n">
        <v>1.22</v>
      </c>
      <c r="N245" s="37" t="n">
        <v>0.75</v>
      </c>
      <c r="O245" s="37" t="n">
        <v>0.39</v>
      </c>
      <c r="P245" s="37" t="n">
        <v>0.28</v>
      </c>
      <c r="Q245" s="37" t="n"/>
      <c r="R245" s="44" t="n"/>
      <c r="S245" s="45" t="n">
        <v>0.875</v>
      </c>
      <c r="T245" s="37" t="n">
        <v>90</v>
      </c>
      <c r="U245" s="37" t="inlineStr">
        <is>
          <t>ASSUMED</t>
        </is>
      </c>
      <c r="V245" s="37" t="inlineStr">
        <is>
          <t>MS51504 cross-check 2026-09-04: B,M,N,D,D1 all AGREE (forged pattern).</t>
        </is>
      </c>
      <c r="W245" s="37" t="inlineStr">
        <is>
          <t>BUILD</t>
        </is>
      </c>
      <c r="X245" s="37" t="inlineStr">
        <is>
          <t>Dimensions verbatim from Air-Way, two reconciled passes. Hex/material/finish/pressure outstanding. | Single body hex 7/8 keyed to larger dash -8 (sources show hex follows larger end).</t>
        </is>
      </c>
      <c r="Z245" s="45" t="inlineStr">
        <is>
          <t>Carbon Steel</t>
        </is>
      </c>
      <c r="AA245" s="45" t="inlineStr">
        <is>
          <t>ASTM A108 12L14</t>
        </is>
      </c>
      <c r="AB245" s="45" t="inlineStr">
        <is>
          <t>Trivalent Cr3 Zinc</t>
        </is>
      </c>
      <c r="AC245" s="45" t="inlineStr">
        <is>
          <t>ASTM B633 Type V/VI</t>
        </is>
      </c>
      <c r="AD245" s="46" t="n">
        <v>4500</v>
      </c>
      <c r="AE245" s="46" t="inlineStr">
        <is>
          <t>generic SAE table @ dash -8 (governing end)</t>
        </is>
      </c>
      <c r="AF245" s="46" t="n">
        <v>-65</v>
      </c>
      <c r="AG245" s="46" t="n">
        <v>400</v>
      </c>
      <c r="AH245" s="37" t="inlineStr">
        <is>
          <t>Ham-Let + hoseandfittings (pressure); Parker Cat.4300 (material); ASTM B633 (finish); see StandardsData</t>
        </is>
      </c>
    </row>
    <row r="246" ht="15" customHeight="1" s="35">
      <c r="A246" s="37" t="inlineStr">
        <is>
          <t>2501-08-04</t>
        </is>
      </c>
      <c r="B246" s="37" t="inlineStr">
        <is>
          <t>2501-8-4</t>
        </is>
      </c>
      <c r="C246" s="37" t="inlineStr">
        <is>
          <t>2501</t>
        </is>
      </c>
      <c r="D246" s="37" t="n">
        <v>118</v>
      </c>
      <c r="E246" s="37" t="inlineStr">
        <is>
          <t>90 deg</t>
        </is>
      </c>
      <c r="F246" s="37" t="inlineStr">
        <is>
          <t>90 deg Male Elbow, 3/4-16 x 1/4-18</t>
        </is>
      </c>
      <c r="G246" s="37" t="inlineStr">
        <is>
          <t>1/4-18</t>
        </is>
      </c>
      <c r="H246" s="37" t="inlineStr">
        <is>
          <t>3/4-16</t>
        </is>
      </c>
      <c r="I246" s="37" t="inlineStr">
        <is>
          <t>1/2</t>
        </is>
      </c>
      <c r="J246" s="37" t="inlineStr">
        <is>
          <t>ASME B1.20.3</t>
        </is>
      </c>
      <c r="K246" s="37" t="inlineStr">
        <is>
          <t>SAE J514-1</t>
        </is>
      </c>
      <c r="L246" s="37" t="n">
        <v>1.25</v>
      </c>
      <c r="M246" s="37" t="n">
        <v>1.19</v>
      </c>
      <c r="N246" s="37" t="n">
        <v>0.8100000000000001</v>
      </c>
      <c r="O246" s="37" t="n">
        <v>0.39</v>
      </c>
      <c r="P246" s="37" t="n">
        <v>0.28</v>
      </c>
      <c r="Q246" s="37" t="n"/>
      <c r="R246" s="44" t="n"/>
      <c r="S246" s="45" t="n">
        <v>0.875</v>
      </c>
      <c r="T246" s="37" t="n">
        <v>90</v>
      </c>
      <c r="U246" s="37" t="inlineStr">
        <is>
          <t>ASSUMED</t>
        </is>
      </c>
      <c r="V246" s="37" t="inlineStr">
        <is>
          <t>Non-forged leg pattern; MS51504 covers the forged pattern (FG sibling matches MS). Air-Way single source for these legs.</t>
        </is>
      </c>
      <c r="W246" s="37" t="inlineStr">
        <is>
          <t>BUILD</t>
        </is>
      </c>
      <c r="X246" s="37" t="inlineStr">
        <is>
          <t>Dimensions verbatim from Air-Way, two reconciled passes. Hex/material/finish/pressure outstanding. | Single body hex 7/8 keyed to larger dash -8 (sources show hex follows larger end).</t>
        </is>
      </c>
      <c r="Z246" s="45" t="inlineStr">
        <is>
          <t>Carbon Steel</t>
        </is>
      </c>
      <c r="AA246" s="45" t="inlineStr">
        <is>
          <t>ASTM A108 12L14</t>
        </is>
      </c>
      <c r="AB246" s="45" t="inlineStr">
        <is>
          <t>Trivalent Cr3 Zinc</t>
        </is>
      </c>
      <c r="AC246" s="45" t="inlineStr">
        <is>
          <t>ASTM B633 Type V/VI</t>
        </is>
      </c>
      <c r="AD246" s="46" t="n">
        <v>4500</v>
      </c>
      <c r="AE246" s="46" t="inlineStr">
        <is>
          <t>generic SAE table @ dash -8 (governing end)</t>
        </is>
      </c>
      <c r="AF246" s="46" t="n">
        <v>-65</v>
      </c>
      <c r="AG246" s="46" t="n">
        <v>400</v>
      </c>
      <c r="AH246" s="37" t="inlineStr">
        <is>
          <t>Ham-Let + hoseandfittings (pressure); Parker Cat.4300 (material); ASTM B633 (finish); see StandardsData</t>
        </is>
      </c>
    </row>
    <row r="247" ht="15" customHeight="1" s="35">
      <c r="A247" s="37" t="inlineStr">
        <is>
          <t>2501-08-06-FG</t>
        </is>
      </c>
      <c r="B247" s="37" t="inlineStr">
        <is>
          <t>2501-8-6-FG</t>
        </is>
      </c>
      <c r="C247" s="37" t="inlineStr">
        <is>
          <t>2501</t>
        </is>
      </c>
      <c r="D247" s="37" t="n">
        <v>118</v>
      </c>
      <c r="E247" s="37" t="inlineStr">
        <is>
          <t>90 deg</t>
        </is>
      </c>
      <c r="F247" s="37" t="inlineStr">
        <is>
          <t>90 deg Male Elbow, 3/4-16 x 3/8-18</t>
        </is>
      </c>
      <c r="G247" s="37" t="inlineStr">
        <is>
          <t>3/8-18</t>
        </is>
      </c>
      <c r="H247" s="37" t="inlineStr">
        <is>
          <t>3/4-16</t>
        </is>
      </c>
      <c r="I247" s="37" t="inlineStr">
        <is>
          <t>1/2</t>
        </is>
      </c>
      <c r="J247" s="37" t="inlineStr">
        <is>
          <t>ASME B1.20.3</t>
        </is>
      </c>
      <c r="K247" s="37" t="inlineStr">
        <is>
          <t>SAE J514-1</t>
        </is>
      </c>
      <c r="L247" s="37" t="n">
        <v>1.25</v>
      </c>
      <c r="M247" s="37" t="n">
        <v>1.22</v>
      </c>
      <c r="N247" s="37" t="n">
        <v>0.75</v>
      </c>
      <c r="O247" s="37" t="n">
        <v>0.39</v>
      </c>
      <c r="P247" s="37" t="n">
        <v>0.41</v>
      </c>
      <c r="Q247" s="37" t="n"/>
      <c r="R247" s="44" t="n"/>
      <c r="S247" s="45" t="n">
        <v>0.875</v>
      </c>
      <c r="T247" s="37" t="n">
        <v>90</v>
      </c>
      <c r="U247" s="37" t="inlineStr">
        <is>
          <t>ASSUMED</t>
        </is>
      </c>
      <c r="V247" s="37" t="inlineStr">
        <is>
          <t>MS51504 cross-check 2026-09-04: B,M,N,D,D1 all AGREE (forged pattern).</t>
        </is>
      </c>
      <c r="W247" s="37" t="inlineStr">
        <is>
          <t>BUILD</t>
        </is>
      </c>
      <c r="X247" s="37" t="inlineStr">
        <is>
          <t>Dimensions verbatim from Air-Way, two reconciled passes. Hex/material/finish/pressure outstanding. | Single body hex 7/8 keyed to larger dash -8 (sources show hex follows larger end).</t>
        </is>
      </c>
      <c r="Z247" s="45" t="inlineStr">
        <is>
          <t>Carbon Steel</t>
        </is>
      </c>
      <c r="AA247" s="45" t="inlineStr">
        <is>
          <t>ASTM A108 12L14</t>
        </is>
      </c>
      <c r="AB247" s="45" t="inlineStr">
        <is>
          <t>Trivalent Cr3 Zinc</t>
        </is>
      </c>
      <c r="AC247" s="45" t="inlineStr">
        <is>
          <t>ASTM B633 Type V/VI</t>
        </is>
      </c>
      <c r="AD247" s="46" t="n">
        <v>4500</v>
      </c>
      <c r="AE247" s="46" t="inlineStr">
        <is>
          <t>generic SAE table @ dash -8 (governing end)</t>
        </is>
      </c>
      <c r="AF247" s="46" t="n">
        <v>-65</v>
      </c>
      <c r="AG247" s="46" t="n">
        <v>400</v>
      </c>
      <c r="AH247" s="37" t="inlineStr">
        <is>
          <t>Ham-Let + hoseandfittings (pressure); Parker Cat.4300 (material); ASTM B633 (finish); see StandardsData</t>
        </is>
      </c>
    </row>
    <row r="248" ht="15" customHeight="1" s="35">
      <c r="A248" s="37" t="inlineStr">
        <is>
          <t>2501-08-06</t>
        </is>
      </c>
      <c r="B248" s="37" t="inlineStr">
        <is>
          <t>2501-8-6</t>
        </is>
      </c>
      <c r="C248" s="37" t="inlineStr">
        <is>
          <t>2501</t>
        </is>
      </c>
      <c r="D248" s="37" t="n">
        <v>118</v>
      </c>
      <c r="E248" s="37" t="inlineStr">
        <is>
          <t>90 deg</t>
        </is>
      </c>
      <c r="F248" s="37" t="inlineStr">
        <is>
          <t>90 deg Male Elbow, 3/4-16 x 3/8-18</t>
        </is>
      </c>
      <c r="G248" s="37" t="inlineStr">
        <is>
          <t>3/8-18</t>
        </is>
      </c>
      <c r="H248" s="37" t="inlineStr">
        <is>
          <t>3/4-16</t>
        </is>
      </c>
      <c r="I248" s="37" t="inlineStr">
        <is>
          <t>1/2</t>
        </is>
      </c>
      <c r="J248" s="37" t="inlineStr">
        <is>
          <t>ASME B1.20.3</t>
        </is>
      </c>
      <c r="K248" s="37" t="inlineStr">
        <is>
          <t>SAE J514-1</t>
        </is>
      </c>
      <c r="L248" s="37" t="n">
        <v>1.25</v>
      </c>
      <c r="M248" s="37" t="n">
        <v>1.22</v>
      </c>
      <c r="N248" s="37" t="n">
        <v>0.8100000000000001</v>
      </c>
      <c r="O248" s="37" t="n">
        <v>0.39</v>
      </c>
      <c r="P248" s="37" t="n">
        <v>0.41</v>
      </c>
      <c r="Q248" s="37" t="n"/>
      <c r="R248" s="44" t="n"/>
      <c r="S248" s="45" t="n">
        <v>0.875</v>
      </c>
      <c r="T248" s="37" t="n">
        <v>90</v>
      </c>
      <c r="U248" s="37" t="inlineStr">
        <is>
          <t>ASSUMED</t>
        </is>
      </c>
      <c r="V248" s="37" t="inlineStr">
        <is>
          <t>Non-forged leg pattern; MS51504 covers the forged pattern (FG sibling matches MS). Air-Way single source for these legs.</t>
        </is>
      </c>
      <c r="W248" s="37" t="inlineStr">
        <is>
          <t>BUILD</t>
        </is>
      </c>
      <c r="X248" s="37" t="inlineStr">
        <is>
          <t>Dimensions verbatim from Air-Way, two reconciled passes. Hex/material/finish/pressure outstanding. | Single body hex 7/8 keyed to larger dash -8 (sources show hex follows larger end).</t>
        </is>
      </c>
      <c r="Z248" s="45" t="inlineStr">
        <is>
          <t>Carbon Steel</t>
        </is>
      </c>
      <c r="AA248" s="45" t="inlineStr">
        <is>
          <t>ASTM A108 12L14</t>
        </is>
      </c>
      <c r="AB248" s="45" t="inlineStr">
        <is>
          <t>Trivalent Cr3 Zinc</t>
        </is>
      </c>
      <c r="AC248" s="45" t="inlineStr">
        <is>
          <t>ASTM B633 Type V/VI</t>
        </is>
      </c>
      <c r="AD248" s="46" t="n">
        <v>4500</v>
      </c>
      <c r="AE248" s="46" t="inlineStr">
        <is>
          <t>generic SAE table @ dash -8 (governing end)</t>
        </is>
      </c>
      <c r="AF248" s="46" t="n">
        <v>-65</v>
      </c>
      <c r="AG248" s="46" t="n">
        <v>400</v>
      </c>
      <c r="AH248" s="37" t="inlineStr">
        <is>
          <t>Ham-Let + hoseandfittings (pressure); Parker Cat.4300 (material); ASTM B633 (finish); see StandardsData</t>
        </is>
      </c>
    </row>
    <row r="249" ht="15" customHeight="1" s="35">
      <c r="A249" s="37" t="inlineStr">
        <is>
          <t>2501-08-08-FG</t>
        </is>
      </c>
      <c r="B249" s="37" t="inlineStr">
        <is>
          <t>2501-8-8-FG</t>
        </is>
      </c>
      <c r="C249" s="37" t="inlineStr">
        <is>
          <t>2501</t>
        </is>
      </c>
      <c r="D249" s="37" t="n">
        <v>118</v>
      </c>
      <c r="E249" s="37" t="inlineStr">
        <is>
          <t>90 deg</t>
        </is>
      </c>
      <c r="F249" s="37" t="inlineStr">
        <is>
          <t>90 deg Male Elbow, 3/4-16 x 1/2-14</t>
        </is>
      </c>
      <c r="G249" s="37" t="inlineStr">
        <is>
          <t>1/2-14</t>
        </is>
      </c>
      <c r="H249" s="37" t="inlineStr">
        <is>
          <t>3/4-16</t>
        </is>
      </c>
      <c r="I249" s="37" t="inlineStr">
        <is>
          <t>1/2</t>
        </is>
      </c>
      <c r="J249" s="37" t="inlineStr">
        <is>
          <t>ASME B1.20.3</t>
        </is>
      </c>
      <c r="K249" s="37" t="inlineStr">
        <is>
          <t>SAE J514-1</t>
        </is>
      </c>
      <c r="L249" s="37" t="n">
        <v>1.33</v>
      </c>
      <c r="M249" s="37" t="n">
        <v>1.47</v>
      </c>
      <c r="N249" s="37" t="n">
        <v>0.88</v>
      </c>
      <c r="O249" s="37" t="n">
        <v>0.39</v>
      </c>
      <c r="P249" s="37" t="n">
        <v>0.53</v>
      </c>
      <c r="Q249" s="37" t="n"/>
      <c r="R249" s="44" t="n"/>
      <c r="S249" s="45" t="n">
        <v>0.875</v>
      </c>
      <c r="T249" s="37" t="n">
        <v>90</v>
      </c>
      <c r="U249" s="37" t="inlineStr">
        <is>
          <t>ASSUMED</t>
        </is>
      </c>
      <c r="V249" s="37" t="inlineStr">
        <is>
          <t>MS51504 cross-check 2026-09-04: B,M,N,D,D1 all AGREE (forged pattern).</t>
        </is>
      </c>
      <c r="W249" s="37" t="inlineStr">
        <is>
          <t>BUILD</t>
        </is>
      </c>
      <c r="X249" s="37" t="inlineStr">
        <is>
          <t>Dimensions verbatim from Air-Way, two reconciled passes. Hex/material/finish/pressure outstanding. | Single body hex 7/8 keyed to larger dash -8 (sources show hex follows larger end).</t>
        </is>
      </c>
      <c r="Z249" s="45" t="inlineStr">
        <is>
          <t>Carbon Steel</t>
        </is>
      </c>
      <c r="AA249" s="45" t="inlineStr">
        <is>
          <t>ASTM A108 12L14</t>
        </is>
      </c>
      <c r="AB249" s="45" t="inlineStr">
        <is>
          <t>Trivalent Cr3 Zinc</t>
        </is>
      </c>
      <c r="AC249" s="45" t="inlineStr">
        <is>
          <t>ASTM B633 Type V/VI</t>
        </is>
      </c>
      <c r="AD249" s="46" t="n">
        <v>4500</v>
      </c>
      <c r="AE249" s="46" t="inlineStr">
        <is>
          <t>generic SAE table @ dash -8 (governing end)</t>
        </is>
      </c>
      <c r="AF249" s="46" t="n">
        <v>-65</v>
      </c>
      <c r="AG249" s="46" t="n">
        <v>400</v>
      </c>
      <c r="AH249" s="37" t="inlineStr">
        <is>
          <t>Ham-Let + hoseandfittings (pressure); Parker Cat.4300 (material); ASTM B633 (finish); see StandardsData</t>
        </is>
      </c>
    </row>
    <row r="250" ht="15" customHeight="1" s="35">
      <c r="A250" s="37" t="inlineStr">
        <is>
          <t>2501-08-08</t>
        </is>
      </c>
      <c r="B250" s="37" t="inlineStr">
        <is>
          <t>2501-8-8</t>
        </is>
      </c>
      <c r="C250" s="37" t="inlineStr">
        <is>
          <t>2501</t>
        </is>
      </c>
      <c r="D250" s="37" t="n">
        <v>118</v>
      </c>
      <c r="E250" s="37" t="inlineStr">
        <is>
          <t>90 deg</t>
        </is>
      </c>
      <c r="F250" s="37" t="inlineStr">
        <is>
          <t>90 deg Male Elbow, 3/4-16 x 1/2-14</t>
        </is>
      </c>
      <c r="G250" s="37" t="inlineStr">
        <is>
          <t>1/2-14</t>
        </is>
      </c>
      <c r="H250" s="37" t="inlineStr">
        <is>
          <t>3/4-16</t>
        </is>
      </c>
      <c r="I250" s="37" t="inlineStr">
        <is>
          <t>1/2</t>
        </is>
      </c>
      <c r="J250" s="37" t="inlineStr">
        <is>
          <t>ASME B1.20.3</t>
        </is>
      </c>
      <c r="K250" s="37" t="inlineStr">
        <is>
          <t>SAE J514-1</t>
        </is>
      </c>
      <c r="L250" s="37" t="n">
        <v>1.31</v>
      </c>
      <c r="M250" s="37" t="n">
        <v>1.47</v>
      </c>
      <c r="N250" s="37" t="n">
        <v>0.9399999999999999</v>
      </c>
      <c r="O250" s="37" t="n">
        <v>0.39</v>
      </c>
      <c r="P250" s="37" t="n">
        <v>0.53</v>
      </c>
      <c r="Q250" s="37" t="n"/>
      <c r="R250" s="44" t="n"/>
      <c r="S250" s="45" t="n">
        <v>0.875</v>
      </c>
      <c r="T250" s="37" t="n">
        <v>90</v>
      </c>
      <c r="U250" s="37" t="inlineStr">
        <is>
          <t>ASSUMED</t>
        </is>
      </c>
      <c r="V250" s="37" t="inlineStr">
        <is>
          <t>Non-forged leg pattern; MS51504 covers the forged pattern (FG sibling matches MS). Air-Way single source for these legs.</t>
        </is>
      </c>
      <c r="W250" s="37" t="inlineStr">
        <is>
          <t>BUILD</t>
        </is>
      </c>
      <c r="X250" s="37" t="inlineStr">
        <is>
          <t>Dimensions verbatim from Air-Way, two reconciled passes. Hex/material/finish/pressure outstanding. | Single body hex 7/8 keyed to larger dash -8 (sources show hex follows larger end).</t>
        </is>
      </c>
      <c r="Z250" s="45" t="inlineStr">
        <is>
          <t>Carbon Steel</t>
        </is>
      </c>
      <c r="AA250" s="45" t="inlineStr">
        <is>
          <t>ASTM A108 12L14</t>
        </is>
      </c>
      <c r="AB250" s="45" t="inlineStr">
        <is>
          <t>Trivalent Cr3 Zinc</t>
        </is>
      </c>
      <c r="AC250" s="45" t="inlineStr">
        <is>
          <t>ASTM B633 Type V/VI</t>
        </is>
      </c>
      <c r="AD250" s="46" t="n">
        <v>4500</v>
      </c>
      <c r="AE250" s="46" t="inlineStr">
        <is>
          <t>generic SAE table @ dash -8 (governing end)</t>
        </is>
      </c>
      <c r="AF250" s="46" t="n">
        <v>-65</v>
      </c>
      <c r="AG250" s="46" t="n">
        <v>400</v>
      </c>
      <c r="AH250" s="37" t="inlineStr">
        <is>
          <t>Ham-Let + hoseandfittings (pressure); Parker Cat.4300 (material); ASTM B633 (finish); see StandardsData</t>
        </is>
      </c>
    </row>
    <row r="251" ht="15" customHeight="1" s="35">
      <c r="A251" s="37" t="inlineStr">
        <is>
          <t>2501-08-12-FG</t>
        </is>
      </c>
      <c r="B251" s="37" t="inlineStr">
        <is>
          <t>2501-8-12-FG</t>
        </is>
      </c>
      <c r="C251" s="37" t="inlineStr">
        <is>
          <t>2501</t>
        </is>
      </c>
      <c r="D251" s="37" t="n">
        <v>118</v>
      </c>
      <c r="E251" s="37" t="inlineStr">
        <is>
          <t>90 deg</t>
        </is>
      </c>
      <c r="F251" s="37" t="inlineStr">
        <is>
          <t>90 deg Male Elbow, 3/4-16 x 3/4-14</t>
        </is>
      </c>
      <c r="G251" s="37" t="inlineStr">
        <is>
          <t>3/4-14</t>
        </is>
      </c>
      <c r="H251" s="37" t="inlineStr">
        <is>
          <t>3/4-16</t>
        </is>
      </c>
      <c r="I251" s="37" t="inlineStr">
        <is>
          <t>1/2</t>
        </is>
      </c>
      <c r="J251" s="37" t="inlineStr">
        <is>
          <t>ASME B1.20.3</t>
        </is>
      </c>
      <c r="K251" s="37" t="inlineStr">
        <is>
          <t>SAE J514-1</t>
        </is>
      </c>
      <c r="L251" s="37" t="n">
        <v>1.42</v>
      </c>
      <c r="M251" s="37" t="n">
        <v>1.59</v>
      </c>
      <c r="N251" s="37" t="n">
        <v>1.06</v>
      </c>
      <c r="O251" s="37" t="n">
        <v>0.39</v>
      </c>
      <c r="P251" s="37" t="n">
        <v>0.72</v>
      </c>
      <c r="Q251" s="37" t="n"/>
      <c r="R251" s="44" t="n"/>
      <c r="S251" s="45" t="n">
        <v>1.0625</v>
      </c>
      <c r="T251" s="37" t="n">
        <v>90</v>
      </c>
      <c r="U251" s="37" t="inlineStr">
        <is>
          <t>ASSUMED</t>
        </is>
      </c>
      <c r="V251" s="37" t="inlineStr">
        <is>
          <t>MS51504 cross-check 2026-09-04: B,M,N,D,D1 all AGREE (forged pattern).</t>
        </is>
      </c>
      <c r="W251" s="37" t="inlineStr">
        <is>
          <t>BUILD</t>
        </is>
      </c>
      <c r="X251" s="37" t="inlineStr">
        <is>
          <t>Dimensions verbatim from Air-Way, two reconciled passes. Hex/material/finish/pressure outstanding. | Single body hex 1 1/16 keyed to larger dash -12 (sources show hex follows larger end).</t>
        </is>
      </c>
      <c r="Z251" s="45" t="inlineStr">
        <is>
          <t>Carbon Steel</t>
        </is>
      </c>
      <c r="AA251" s="45" t="inlineStr">
        <is>
          <t>ASTM A108 12L14</t>
        </is>
      </c>
      <c r="AB251" s="45" t="inlineStr">
        <is>
          <t>Trivalent Cr3 Zinc</t>
        </is>
      </c>
      <c r="AC251" s="45" t="inlineStr">
        <is>
          <t>ASTM B633 Type V/VI</t>
        </is>
      </c>
      <c r="AD251" s="46" t="n">
        <v>3500</v>
      </c>
      <c r="AE251" s="46" t="inlineStr">
        <is>
          <t>generic SAE table @ dash -12 (governing end)</t>
        </is>
      </c>
      <c r="AF251" s="46" t="n">
        <v>-65</v>
      </c>
      <c r="AG251" s="46" t="n">
        <v>400</v>
      </c>
      <c r="AH251" s="37" t="inlineStr">
        <is>
          <t>Ham-Let + hoseandfittings (pressure); Parker Cat.4300 (material); ASTM B633 (finish); see StandardsData</t>
        </is>
      </c>
    </row>
    <row r="252" ht="15" customHeight="1" s="35">
      <c r="A252" s="37" t="inlineStr">
        <is>
          <t>2501-08-12</t>
        </is>
      </c>
      <c r="B252" s="37" t="inlineStr">
        <is>
          <t>2501-8-12</t>
        </is>
      </c>
      <c r="C252" s="37" t="inlineStr">
        <is>
          <t>2501</t>
        </is>
      </c>
      <c r="D252" s="37" t="n">
        <v>118</v>
      </c>
      <c r="E252" s="37" t="inlineStr">
        <is>
          <t>90 deg</t>
        </is>
      </c>
      <c r="F252" s="37" t="inlineStr">
        <is>
          <t>90 deg Male Elbow, 3/4-16 x 3/4-14</t>
        </is>
      </c>
      <c r="G252" s="37" t="inlineStr">
        <is>
          <t>3/4-14</t>
        </is>
      </c>
      <c r="H252" s="37" t="inlineStr">
        <is>
          <t>3/4-16</t>
        </is>
      </c>
      <c r="I252" s="37" t="inlineStr">
        <is>
          <t>1/2</t>
        </is>
      </c>
      <c r="J252" s="37" t="inlineStr">
        <is>
          <t>ASME B1.20.3</t>
        </is>
      </c>
      <c r="K252" s="37" t="inlineStr">
        <is>
          <t>SAE J514-1</t>
        </is>
      </c>
      <c r="L252" s="37" t="n">
        <v>1.4</v>
      </c>
      <c r="M252" s="37" t="n">
        <v>1.59</v>
      </c>
      <c r="N252" s="37" t="n">
        <v>1.13</v>
      </c>
      <c r="O252" s="37" t="n">
        <v>0.39</v>
      </c>
      <c r="P252" s="37" t="n">
        <v>0.72</v>
      </c>
      <c r="Q252" s="37" t="n"/>
      <c r="R252" s="44" t="n"/>
      <c r="S252" s="45" t="n">
        <v>1.0625</v>
      </c>
      <c r="T252" s="37" t="n">
        <v>90</v>
      </c>
      <c r="U252" s="37" t="inlineStr">
        <is>
          <t>ASSUMED</t>
        </is>
      </c>
      <c r="V252" s="37" t="inlineStr">
        <is>
          <t>Non-forged leg pattern; MS51504 covers the forged pattern (FG sibling matches MS). Air-Way single source for these legs.</t>
        </is>
      </c>
      <c r="W252" s="37" t="inlineStr">
        <is>
          <t>BUILD</t>
        </is>
      </c>
      <c r="X252" s="37" t="inlineStr">
        <is>
          <t>Dimensions verbatim from Air-Way, two reconciled passes. Hex/material/finish/pressure outstanding. | Single body hex 1 1/16 keyed to larger dash -12 (sources show hex follows larger end).</t>
        </is>
      </c>
      <c r="Z252" s="45" t="inlineStr">
        <is>
          <t>Carbon Steel</t>
        </is>
      </c>
      <c r="AA252" s="45" t="inlineStr">
        <is>
          <t>ASTM A108 12L14</t>
        </is>
      </c>
      <c r="AB252" s="45" t="inlineStr">
        <is>
          <t>Trivalent Cr3 Zinc</t>
        </is>
      </c>
      <c r="AC252" s="45" t="inlineStr">
        <is>
          <t>ASTM B633 Type V/VI</t>
        </is>
      </c>
      <c r="AD252" s="46" t="n">
        <v>3500</v>
      </c>
      <c r="AE252" s="46" t="inlineStr">
        <is>
          <t>generic SAE table @ dash -12 (governing end)</t>
        </is>
      </c>
      <c r="AF252" s="46" t="n">
        <v>-65</v>
      </c>
      <c r="AG252" s="46" t="n">
        <v>400</v>
      </c>
      <c r="AH252" s="37" t="inlineStr">
        <is>
          <t>Ham-Let + hoseandfittings (pressure); Parker Cat.4300 (material); ASTM B633 (finish); see StandardsData</t>
        </is>
      </c>
    </row>
    <row r="253" ht="15" customHeight="1" s="35">
      <c r="A253" s="37" t="inlineStr">
        <is>
          <t>2501-08-16</t>
        </is>
      </c>
      <c r="B253" s="37" t="inlineStr">
        <is>
          <t>2501-8-16</t>
        </is>
      </c>
      <c r="C253" s="37" t="inlineStr">
        <is>
          <t>2501</t>
        </is>
      </c>
      <c r="D253" s="37" t="n">
        <v>118</v>
      </c>
      <c r="E253" s="37" t="inlineStr">
        <is>
          <t>90 deg</t>
        </is>
      </c>
      <c r="F253" s="37" t="inlineStr">
        <is>
          <t>90 deg Male Elbow, 3/4-16 x 1-11 1/2</t>
        </is>
      </c>
      <c r="G253" s="37" t="inlineStr">
        <is>
          <t>1-11 1/2</t>
        </is>
      </c>
      <c r="H253" s="37" t="inlineStr">
        <is>
          <t>3/4-16</t>
        </is>
      </c>
      <c r="I253" s="37" t="inlineStr">
        <is>
          <t>1/2</t>
        </is>
      </c>
      <c r="J253" s="37" t="inlineStr">
        <is>
          <t>ASME B1.20.3</t>
        </is>
      </c>
      <c r="K253" s="37" t="inlineStr">
        <is>
          <t>SAE J514-1</t>
        </is>
      </c>
      <c r="L253" s="37" t="n">
        <v>1.53</v>
      </c>
      <c r="M253" s="37" t="n">
        <v>1.97</v>
      </c>
      <c r="N253" s="37" t="n">
        <v>1.38</v>
      </c>
      <c r="O253" s="37" t="n">
        <v>0.39</v>
      </c>
      <c r="P253" s="37" t="n">
        <v>0.9399999999999999</v>
      </c>
      <c r="Q253" s="37" t="n"/>
      <c r="R253" s="44" t="n"/>
      <c r="S253" s="45" t="n">
        <v>1.3125</v>
      </c>
      <c r="T253" s="37" t="n">
        <v>90</v>
      </c>
      <c r="U253" s="37" t="inlineStr">
        <is>
          <t>ASSUMED</t>
        </is>
      </c>
      <c r="V253" s="37" t="inlineStr">
        <is>
          <t>MS51504 has no row for this size combo; Air-Way remains single source.</t>
        </is>
      </c>
      <c r="W253" s="37" t="inlineStr">
        <is>
          <t>BUILD</t>
        </is>
      </c>
      <c r="X253" s="37" t="inlineStr">
        <is>
          <t>Dimensions verbatim from Air-Way, two reconciled passes. Hex/material/finish/pressure outstanding. | Single body hex 1 5/16 keyed to larger dash -16 (sources show hex follows larger end).</t>
        </is>
      </c>
      <c r="Z253" s="45" t="inlineStr">
        <is>
          <t>Carbon Steel</t>
        </is>
      </c>
      <c r="AA253" s="45" t="inlineStr">
        <is>
          <t>ASTM A108 12L14</t>
        </is>
      </c>
      <c r="AB253" s="45" t="inlineStr">
        <is>
          <t>Trivalent Cr3 Zinc</t>
        </is>
      </c>
      <c r="AC253" s="45" t="inlineStr">
        <is>
          <t>ASTM B633 Type V/VI</t>
        </is>
      </c>
      <c r="AD253" s="46" t="n">
        <v>3000</v>
      </c>
      <c r="AE253" s="46" t="inlineStr">
        <is>
          <t>generic SAE table @ dash -16 (governing end)</t>
        </is>
      </c>
      <c r="AF253" s="46" t="n">
        <v>-65</v>
      </c>
      <c r="AG253" s="46" t="n">
        <v>400</v>
      </c>
      <c r="AH253" s="37" t="inlineStr">
        <is>
          <t>Ham-Let + hoseandfittings (pressure); Parker Cat.4300 (material); ASTM B633 (finish); see StandardsData</t>
        </is>
      </c>
    </row>
    <row r="254" ht="15" customHeight="1" s="35">
      <c r="A254" s="37" t="inlineStr">
        <is>
          <t>2501-10-04</t>
        </is>
      </c>
      <c r="B254" s="37" t="inlineStr">
        <is>
          <t>2501-10-4</t>
        </is>
      </c>
      <c r="C254" s="37" t="inlineStr">
        <is>
          <t>2501</t>
        </is>
      </c>
      <c r="D254" s="37" t="n">
        <v>118</v>
      </c>
      <c r="E254" s="37" t="inlineStr">
        <is>
          <t>90 deg</t>
        </is>
      </c>
      <c r="F254" s="37" t="inlineStr">
        <is>
          <t>90 deg Male Elbow, 7/8-14 x 1/4-18</t>
        </is>
      </c>
      <c r="G254" s="37" t="inlineStr">
        <is>
          <t>1/4-18</t>
        </is>
      </c>
      <c r="H254" s="37" t="inlineStr">
        <is>
          <t>7/8-14</t>
        </is>
      </c>
      <c r="I254" s="37" t="inlineStr">
        <is>
          <t>5/8</t>
        </is>
      </c>
      <c r="J254" s="37" t="inlineStr">
        <is>
          <t>ASME B1.20.3</t>
        </is>
      </c>
      <c r="K254" s="37" t="inlineStr">
        <is>
          <t>SAE J514-1</t>
        </is>
      </c>
      <c r="L254" s="37" t="n">
        <v>1.45</v>
      </c>
      <c r="M254" s="37" t="n">
        <v>1.25</v>
      </c>
      <c r="N254" s="37" t="n">
        <v>0.9399999999999999</v>
      </c>
      <c r="O254" s="37" t="n">
        <v>0.48</v>
      </c>
      <c r="P254" s="37" t="n">
        <v>0.28</v>
      </c>
      <c r="Q254" s="37" t="n"/>
      <c r="R254" s="44" t="n"/>
      <c r="S254" s="47" t="n"/>
      <c r="T254" s="37" t="n">
        <v>90</v>
      </c>
      <c r="U254" s="37" t="inlineStr">
        <is>
          <t>MISSING</t>
        </is>
      </c>
      <c r="V254" s="37" t="inlineStr">
        <is>
          <t>MS51504 has no row for this size combo; Air-Way remains single source.</t>
        </is>
      </c>
      <c r="W254" s="37" t="inlineStr">
        <is>
          <t>BUILD</t>
        </is>
      </c>
      <c r="X254" s="37" t="inlineStr">
        <is>
          <t>Dimensions verbatim from Air-Way, two reconciled passes. Hex/material/finish/pressure outstanding.</t>
        </is>
      </c>
      <c r="Z254" s="45" t="inlineStr">
        <is>
          <t>Carbon Steel</t>
        </is>
      </c>
      <c r="AA254" s="45" t="inlineStr">
        <is>
          <t>ASTM A108 12L14</t>
        </is>
      </c>
      <c r="AB254" s="45" t="inlineStr">
        <is>
          <t>Trivalent Cr3 Zinc</t>
        </is>
      </c>
      <c r="AC254" s="45" t="inlineStr">
        <is>
          <t>ASTM B633 Type V/VI</t>
        </is>
      </c>
      <c r="AD254" s="46" t="n">
        <v>3500</v>
      </c>
      <c r="AE254" s="46" t="inlineStr">
        <is>
          <t>generic SAE table @ dash -10 (governing end)</t>
        </is>
      </c>
      <c r="AF254" s="46" t="n">
        <v>-65</v>
      </c>
      <c r="AG254" s="46" t="n">
        <v>400</v>
      </c>
      <c r="AH254" s="37" t="inlineStr">
        <is>
          <t>Ham-Let + hoseandfittings (pressure); Parker Cat.4300 (material); ASTM B633 (finish); see StandardsData</t>
        </is>
      </c>
    </row>
    <row r="255" ht="15" customHeight="1" s="35">
      <c r="A255" s="37" t="inlineStr">
        <is>
          <t>2501-10-06-FG</t>
        </is>
      </c>
      <c r="B255" s="37" t="inlineStr">
        <is>
          <t>2501-10-6-FG</t>
        </is>
      </c>
      <c r="C255" s="37" t="inlineStr">
        <is>
          <t>2501</t>
        </is>
      </c>
      <c r="D255" s="37" t="n">
        <v>118</v>
      </c>
      <c r="E255" s="37" t="inlineStr">
        <is>
          <t>90 deg</t>
        </is>
      </c>
      <c r="F255" s="37" t="inlineStr">
        <is>
          <t>90 deg Male Elbow, 7/8-14 x 3/8-18</t>
        </is>
      </c>
      <c r="G255" s="37" t="inlineStr">
        <is>
          <t>3/8-18</t>
        </is>
      </c>
      <c r="H255" s="37" t="inlineStr">
        <is>
          <t>7/8-14</t>
        </is>
      </c>
      <c r="I255" s="37" t="inlineStr">
        <is>
          <t>5/8</t>
        </is>
      </c>
      <c r="J255" s="37" t="inlineStr">
        <is>
          <t>ASME B1.20.3</t>
        </is>
      </c>
      <c r="K255" s="37" t="inlineStr">
        <is>
          <t>SAE J514-1</t>
        </is>
      </c>
      <c r="L255" s="37" t="n">
        <v>1.45</v>
      </c>
      <c r="M255" s="37" t="n">
        <v>1.28</v>
      </c>
      <c r="N255" s="37" t="n">
        <v>0.88</v>
      </c>
      <c r="O255" s="37" t="n">
        <v>0.48</v>
      </c>
      <c r="P255" s="37" t="n">
        <v>0.41</v>
      </c>
      <c r="Q255" s="37" t="n"/>
      <c r="R255" s="44" t="n"/>
      <c r="S255" s="47" t="n"/>
      <c r="T255" s="37" t="n">
        <v>90</v>
      </c>
      <c r="U255" s="37" t="inlineStr">
        <is>
          <t>MISSING</t>
        </is>
      </c>
      <c r="V255" s="37" t="inlineStr">
        <is>
          <t>MS51504 cross-check 2026-09-04: B,M,N,D,D1 all AGREE (forged pattern).</t>
        </is>
      </c>
      <c r="W255" s="37" t="inlineStr">
        <is>
          <t>BUILD</t>
        </is>
      </c>
      <c r="X255" s="37" t="inlineStr">
        <is>
          <t>Dimensions verbatim from Air-Way, two reconciled passes. Hex/material/finish/pressure outstanding.</t>
        </is>
      </c>
      <c r="Z255" s="45" t="inlineStr">
        <is>
          <t>Carbon Steel</t>
        </is>
      </c>
      <c r="AA255" s="45" t="inlineStr">
        <is>
          <t>ASTM A108 12L14</t>
        </is>
      </c>
      <c r="AB255" s="45" t="inlineStr">
        <is>
          <t>Trivalent Cr3 Zinc</t>
        </is>
      </c>
      <c r="AC255" s="45" t="inlineStr">
        <is>
          <t>ASTM B633 Type V/VI</t>
        </is>
      </c>
      <c r="AD255" s="46" t="n">
        <v>3500</v>
      </c>
      <c r="AE255" s="46" t="inlineStr">
        <is>
          <t>generic SAE table @ dash -10 (governing end)</t>
        </is>
      </c>
      <c r="AF255" s="46" t="n">
        <v>-65</v>
      </c>
      <c r="AG255" s="46" t="n">
        <v>400</v>
      </c>
      <c r="AH255" s="37" t="inlineStr">
        <is>
          <t>Ham-Let + hoseandfittings (pressure); Parker Cat.4300 (material); ASTM B633 (finish); see StandardsData</t>
        </is>
      </c>
    </row>
    <row r="256" ht="15" customHeight="1" s="35">
      <c r="A256" s="37" t="inlineStr">
        <is>
          <t>2501-10-06</t>
        </is>
      </c>
      <c r="B256" s="37" t="inlineStr">
        <is>
          <t>2501-10-6</t>
        </is>
      </c>
      <c r="C256" s="37" t="inlineStr">
        <is>
          <t>2501</t>
        </is>
      </c>
      <c r="D256" s="37" t="n">
        <v>118</v>
      </c>
      <c r="E256" s="37" t="inlineStr">
        <is>
          <t>90 deg</t>
        </is>
      </c>
      <c r="F256" s="37" t="inlineStr">
        <is>
          <t>90 deg Male Elbow, 7/8-14 x 3/8-18</t>
        </is>
      </c>
      <c r="G256" s="37" t="inlineStr">
        <is>
          <t>3/8-18</t>
        </is>
      </c>
      <c r="H256" s="37" t="inlineStr">
        <is>
          <t>7/8-14</t>
        </is>
      </c>
      <c r="I256" s="37" t="inlineStr">
        <is>
          <t>5/8</t>
        </is>
      </c>
      <c r="J256" s="37" t="inlineStr">
        <is>
          <t>ASME B1.20.3</t>
        </is>
      </c>
      <c r="K256" s="37" t="inlineStr">
        <is>
          <t>SAE J514-1</t>
        </is>
      </c>
      <c r="L256" s="37" t="n">
        <v>1.45</v>
      </c>
      <c r="M256" s="37" t="n">
        <v>1.28</v>
      </c>
      <c r="N256" s="37" t="n">
        <v>0.9399999999999999</v>
      </c>
      <c r="O256" s="37" t="n">
        <v>0.48</v>
      </c>
      <c r="P256" s="37" t="n">
        <v>0.41</v>
      </c>
      <c r="Q256" s="37" t="n"/>
      <c r="R256" s="44" t="n"/>
      <c r="S256" s="47" t="n"/>
      <c r="T256" s="37" t="n">
        <v>90</v>
      </c>
      <c r="U256" s="37" t="inlineStr">
        <is>
          <t>MISSING</t>
        </is>
      </c>
      <c r="V256" s="37" t="inlineStr">
        <is>
          <t>Non-forged leg pattern; MS51504 covers the forged pattern (FG sibling matches MS). Air-Way single source for these legs.</t>
        </is>
      </c>
      <c r="W256" s="37" t="inlineStr">
        <is>
          <t>BUILD</t>
        </is>
      </c>
      <c r="X256" s="37" t="inlineStr">
        <is>
          <t>Dimensions verbatim from Air-Way, two reconciled passes. Hex/material/finish/pressure outstanding.</t>
        </is>
      </c>
      <c r="Z256" s="45" t="inlineStr">
        <is>
          <t>Carbon Steel</t>
        </is>
      </c>
      <c r="AA256" s="45" t="inlineStr">
        <is>
          <t>ASTM A108 12L14</t>
        </is>
      </c>
      <c r="AB256" s="45" t="inlineStr">
        <is>
          <t>Trivalent Cr3 Zinc</t>
        </is>
      </c>
      <c r="AC256" s="45" t="inlineStr">
        <is>
          <t>ASTM B633 Type V/VI</t>
        </is>
      </c>
      <c r="AD256" s="46" t="n">
        <v>3500</v>
      </c>
      <c r="AE256" s="46" t="inlineStr">
        <is>
          <t>generic SAE table @ dash -10 (governing end)</t>
        </is>
      </c>
      <c r="AF256" s="46" t="n">
        <v>-65</v>
      </c>
      <c r="AG256" s="46" t="n">
        <v>400</v>
      </c>
      <c r="AH256" s="37" t="inlineStr">
        <is>
          <t>Ham-Let + hoseandfittings (pressure); Parker Cat.4300 (material); ASTM B633 (finish); see StandardsData</t>
        </is>
      </c>
    </row>
    <row r="257" ht="15" customHeight="1" s="35">
      <c r="A257" s="37" t="inlineStr">
        <is>
          <t>2501-10-08-FG</t>
        </is>
      </c>
      <c r="B257" s="37" t="inlineStr">
        <is>
          <t>2501-10-8-FG</t>
        </is>
      </c>
      <c r="C257" s="37" t="inlineStr">
        <is>
          <t>2501</t>
        </is>
      </c>
      <c r="D257" s="37" t="n">
        <v>118</v>
      </c>
      <c r="E257" s="37" t="inlineStr">
        <is>
          <t>90 deg</t>
        </is>
      </c>
      <c r="F257" s="37" t="inlineStr">
        <is>
          <t>90 deg Male Elbow, 7/8-14 x 1/2-14</t>
        </is>
      </c>
      <c r="G257" s="37" t="inlineStr">
        <is>
          <t>1/2-14</t>
        </is>
      </c>
      <c r="H257" s="37" t="inlineStr">
        <is>
          <t>7/8-14</t>
        </is>
      </c>
      <c r="I257" s="37" t="inlineStr">
        <is>
          <t>5/8</t>
        </is>
      </c>
      <c r="J257" s="37" t="inlineStr">
        <is>
          <t>ASME B1.20.3</t>
        </is>
      </c>
      <c r="K257" s="37" t="inlineStr">
        <is>
          <t>SAE J514-1</t>
        </is>
      </c>
      <c r="L257" s="37" t="n">
        <v>1.45</v>
      </c>
      <c r="M257" s="37" t="n">
        <v>1.47</v>
      </c>
      <c r="N257" s="37" t="n">
        <v>0.88</v>
      </c>
      <c r="O257" s="37" t="n">
        <v>0.48</v>
      </c>
      <c r="P257" s="37" t="n">
        <v>0.53</v>
      </c>
      <c r="Q257" s="37" t="n"/>
      <c r="R257" s="44" t="n"/>
      <c r="S257" s="47" t="n"/>
      <c r="T257" s="37" t="n">
        <v>90</v>
      </c>
      <c r="U257" s="37" t="inlineStr">
        <is>
          <t>MISSING</t>
        </is>
      </c>
      <c r="V257" s="37" t="inlineStr">
        <is>
          <t>MS51504 cross-check 2026-09-04: B,M,N,D,D1 all AGREE (forged pattern).</t>
        </is>
      </c>
      <c r="W257" s="37" t="inlineStr">
        <is>
          <t>BUILD</t>
        </is>
      </c>
      <c r="X257" s="37" t="inlineStr">
        <is>
          <t>Dimensions verbatim from Air-Way, two reconciled passes. Hex/material/finish/pressure outstanding.</t>
        </is>
      </c>
      <c r="Z257" s="45" t="inlineStr">
        <is>
          <t>Carbon Steel</t>
        </is>
      </c>
      <c r="AA257" s="45" t="inlineStr">
        <is>
          <t>ASTM A108 12L14</t>
        </is>
      </c>
      <c r="AB257" s="45" t="inlineStr">
        <is>
          <t>Trivalent Cr3 Zinc</t>
        </is>
      </c>
      <c r="AC257" s="45" t="inlineStr">
        <is>
          <t>ASTM B633 Type V/VI</t>
        </is>
      </c>
      <c r="AD257" s="46" t="n">
        <v>3500</v>
      </c>
      <c r="AE257" s="46" t="inlineStr">
        <is>
          <t>generic SAE table @ dash -10 (governing end)</t>
        </is>
      </c>
      <c r="AF257" s="46" t="n">
        <v>-65</v>
      </c>
      <c r="AG257" s="46" t="n">
        <v>400</v>
      </c>
      <c r="AH257" s="37" t="inlineStr">
        <is>
          <t>Ham-Let + hoseandfittings (pressure); Parker Cat.4300 (material); ASTM B633 (finish); see StandardsData</t>
        </is>
      </c>
    </row>
    <row r="258" ht="15" customHeight="1" s="35">
      <c r="A258" s="37" t="inlineStr">
        <is>
          <t>2501-10-08</t>
        </is>
      </c>
      <c r="B258" s="37" t="inlineStr">
        <is>
          <t>2501-10-8</t>
        </is>
      </c>
      <c r="C258" s="37" t="inlineStr">
        <is>
          <t>2501</t>
        </is>
      </c>
      <c r="D258" s="37" t="n">
        <v>118</v>
      </c>
      <c r="E258" s="37" t="inlineStr">
        <is>
          <t>90 deg</t>
        </is>
      </c>
      <c r="F258" s="37" t="inlineStr">
        <is>
          <t>90 deg Male Elbow, 7/8-14 x 1/2-14</t>
        </is>
      </c>
      <c r="G258" s="37" t="inlineStr">
        <is>
          <t>1/2-14</t>
        </is>
      </c>
      <c r="H258" s="37" t="inlineStr">
        <is>
          <t>7/8-14</t>
        </is>
      </c>
      <c r="I258" s="37" t="inlineStr">
        <is>
          <t>5/8</t>
        </is>
      </c>
      <c r="J258" s="37" t="inlineStr">
        <is>
          <t>ASME B1.20.3</t>
        </is>
      </c>
      <c r="K258" s="37" t="inlineStr">
        <is>
          <t>SAE J514-1</t>
        </is>
      </c>
      <c r="L258" s="37" t="n">
        <v>1.45</v>
      </c>
      <c r="M258" s="37" t="n">
        <v>1.47</v>
      </c>
      <c r="N258" s="37" t="n">
        <v>0.9399999999999999</v>
      </c>
      <c r="O258" s="37" t="n">
        <v>0.48</v>
      </c>
      <c r="P258" s="37" t="n">
        <v>0.53</v>
      </c>
      <c r="Q258" s="37" t="n"/>
      <c r="R258" s="44" t="n"/>
      <c r="S258" s="47" t="n"/>
      <c r="T258" s="37" t="n">
        <v>90</v>
      </c>
      <c r="U258" s="37" t="inlineStr">
        <is>
          <t>MISSING</t>
        </is>
      </c>
      <c r="V258" s="37" t="inlineStr">
        <is>
          <t>Non-forged leg pattern; MS51504 covers the forged pattern (FG sibling matches MS). Air-Way single source for these legs.</t>
        </is>
      </c>
      <c r="W258" s="37" t="inlineStr">
        <is>
          <t>BUILD</t>
        </is>
      </c>
      <c r="X258" s="37" t="inlineStr">
        <is>
          <t>Dimensions verbatim from Air-Way, two reconciled passes. Hex/material/finish/pressure outstanding.</t>
        </is>
      </c>
      <c r="Z258" s="45" t="inlineStr">
        <is>
          <t>Carbon Steel</t>
        </is>
      </c>
      <c r="AA258" s="45" t="inlineStr">
        <is>
          <t>ASTM A108 12L14</t>
        </is>
      </c>
      <c r="AB258" s="45" t="inlineStr">
        <is>
          <t>Trivalent Cr3 Zinc</t>
        </is>
      </c>
      <c r="AC258" s="45" t="inlineStr">
        <is>
          <t>ASTM B633 Type V/VI</t>
        </is>
      </c>
      <c r="AD258" s="46" t="n">
        <v>3500</v>
      </c>
      <c r="AE258" s="46" t="inlineStr">
        <is>
          <t>generic SAE table @ dash -10 (governing end)</t>
        </is>
      </c>
      <c r="AF258" s="46" t="n">
        <v>-65</v>
      </c>
      <c r="AG258" s="46" t="n">
        <v>400</v>
      </c>
      <c r="AH258" s="37" t="inlineStr">
        <is>
          <t>Ham-Let + hoseandfittings (pressure); Parker Cat.4300 (material); ASTM B633 (finish); see StandardsData</t>
        </is>
      </c>
    </row>
    <row r="259" ht="15" customHeight="1" s="35">
      <c r="A259" s="37" t="inlineStr">
        <is>
          <t>2501-10-12-FG</t>
        </is>
      </c>
      <c r="B259" s="37" t="inlineStr">
        <is>
          <t>2501-10-12-FG</t>
        </is>
      </c>
      <c r="C259" s="37" t="inlineStr">
        <is>
          <t>2501</t>
        </is>
      </c>
      <c r="D259" s="37" t="n">
        <v>118</v>
      </c>
      <c r="E259" s="37" t="inlineStr">
        <is>
          <t>90 deg</t>
        </is>
      </c>
      <c r="F259" s="37" t="inlineStr">
        <is>
          <t>90 deg Male Elbow, 7/8-14 x 3/4-14</t>
        </is>
      </c>
      <c r="G259" s="37" t="inlineStr">
        <is>
          <t>3/4-14</t>
        </is>
      </c>
      <c r="H259" s="37" t="inlineStr">
        <is>
          <t>7/8-14</t>
        </is>
      </c>
      <c r="I259" s="37" t="inlineStr">
        <is>
          <t>5/8</t>
        </is>
      </c>
      <c r="J259" s="37" t="inlineStr">
        <is>
          <t>ASME B1.20.3</t>
        </is>
      </c>
      <c r="K259" s="37" t="inlineStr">
        <is>
          <t>SAE J514-1</t>
        </is>
      </c>
      <c r="L259" s="37" t="n">
        <v>1.54</v>
      </c>
      <c r="M259" s="37" t="n">
        <v>1.59</v>
      </c>
      <c r="N259" s="37" t="n">
        <v>1.06</v>
      </c>
      <c r="O259" s="37" t="n">
        <v>0.48</v>
      </c>
      <c r="P259" s="37" t="n">
        <v>0.72</v>
      </c>
      <c r="Q259" s="37" t="n"/>
      <c r="R259" s="44" t="n"/>
      <c r="S259" s="45" t="n">
        <v>1.0625</v>
      </c>
      <c r="T259" s="37" t="n">
        <v>90</v>
      </c>
      <c r="U259" s="37" t="inlineStr">
        <is>
          <t>ASSUMED</t>
        </is>
      </c>
      <c r="V259" s="37" t="inlineStr">
        <is>
          <t>MS51504 has no row for this size combo; Air-Way remains single source.</t>
        </is>
      </c>
      <c r="W259" s="37" t="inlineStr">
        <is>
          <t>BUILD</t>
        </is>
      </c>
      <c r="X259" s="37" t="inlineStr">
        <is>
          <t>Dimensions verbatim from Air-Way, two reconciled passes. Hex/material/finish/pressure outstanding. | Single body hex 1 1/16 keyed to larger dash -12 (sources show hex follows larger end).</t>
        </is>
      </c>
      <c r="Z259" s="45" t="inlineStr">
        <is>
          <t>Carbon Steel</t>
        </is>
      </c>
      <c r="AA259" s="45" t="inlineStr">
        <is>
          <t>ASTM A108 12L14</t>
        </is>
      </c>
      <c r="AB259" s="45" t="inlineStr">
        <is>
          <t>Trivalent Cr3 Zinc</t>
        </is>
      </c>
      <c r="AC259" s="45" t="inlineStr">
        <is>
          <t>ASTM B633 Type V/VI</t>
        </is>
      </c>
      <c r="AD259" s="46" t="n">
        <v>3500</v>
      </c>
      <c r="AE259" s="46" t="inlineStr">
        <is>
          <t>generic SAE table @ dash -12 (governing end)</t>
        </is>
      </c>
      <c r="AF259" s="46" t="n">
        <v>-65</v>
      </c>
      <c r="AG259" s="46" t="n">
        <v>400</v>
      </c>
      <c r="AH259" s="37" t="inlineStr">
        <is>
          <t>Ham-Let + hoseandfittings (pressure); Parker Cat.4300 (material); ASTM B633 (finish); see StandardsData</t>
        </is>
      </c>
    </row>
    <row r="260" ht="15" customHeight="1" s="35">
      <c r="A260" s="37" t="inlineStr">
        <is>
          <t>2501-10-12</t>
        </is>
      </c>
      <c r="B260" s="37" t="inlineStr">
        <is>
          <t>2501-10-12</t>
        </is>
      </c>
      <c r="C260" s="37" t="inlineStr">
        <is>
          <t>2501</t>
        </is>
      </c>
      <c r="D260" s="37" t="n">
        <v>118</v>
      </c>
      <c r="E260" s="37" t="inlineStr">
        <is>
          <t>90 deg</t>
        </is>
      </c>
      <c r="F260" s="37" t="inlineStr">
        <is>
          <t>90 deg Male Elbow, 7/8-14 x 3/4-14</t>
        </is>
      </c>
      <c r="G260" s="37" t="inlineStr">
        <is>
          <t>3/4-14</t>
        </is>
      </c>
      <c r="H260" s="37" t="inlineStr">
        <is>
          <t>7/8-14</t>
        </is>
      </c>
      <c r="I260" s="37" t="inlineStr">
        <is>
          <t>5/8</t>
        </is>
      </c>
      <c r="J260" s="37" t="inlineStr">
        <is>
          <t>ASME B1.20.3</t>
        </is>
      </c>
      <c r="K260" s="37" t="inlineStr">
        <is>
          <t>SAE J514-1</t>
        </is>
      </c>
      <c r="L260" s="37" t="n">
        <v>1.55</v>
      </c>
      <c r="M260" s="37" t="n">
        <v>1.59</v>
      </c>
      <c r="N260" s="37" t="n">
        <v>1.13</v>
      </c>
      <c r="O260" s="37" t="n">
        <v>0.48</v>
      </c>
      <c r="P260" s="37" t="n">
        <v>0.72</v>
      </c>
      <c r="Q260" s="37" t="n"/>
      <c r="R260" s="44" t="n"/>
      <c r="S260" s="45" t="n">
        <v>1.0625</v>
      </c>
      <c r="T260" s="37" t="n">
        <v>90</v>
      </c>
      <c r="U260" s="37" t="inlineStr">
        <is>
          <t>ASSUMED</t>
        </is>
      </c>
      <c r="V260" s="37" t="inlineStr">
        <is>
          <t>MS51504 has no row for this size combo; Air-Way remains single source.</t>
        </is>
      </c>
      <c r="W260" s="37" t="inlineStr">
        <is>
          <t>BUILD</t>
        </is>
      </c>
      <c r="X260" s="37" t="inlineStr">
        <is>
          <t>Dimensions verbatim from Air-Way, two reconciled passes. Hex/material/finish/pressure outstanding. | Single body hex 1 1/16 keyed to larger dash -12 (sources show hex follows larger end).</t>
        </is>
      </c>
      <c r="Z260" s="45" t="inlineStr">
        <is>
          <t>Carbon Steel</t>
        </is>
      </c>
      <c r="AA260" s="45" t="inlineStr">
        <is>
          <t>ASTM A108 12L14</t>
        </is>
      </c>
      <c r="AB260" s="45" t="inlineStr">
        <is>
          <t>Trivalent Cr3 Zinc</t>
        </is>
      </c>
      <c r="AC260" s="45" t="inlineStr">
        <is>
          <t>ASTM B633 Type V/VI</t>
        </is>
      </c>
      <c r="AD260" s="46" t="n">
        <v>3500</v>
      </c>
      <c r="AE260" s="46" t="inlineStr">
        <is>
          <t>generic SAE table @ dash -12 (governing end)</t>
        </is>
      </c>
      <c r="AF260" s="46" t="n">
        <v>-65</v>
      </c>
      <c r="AG260" s="46" t="n">
        <v>400</v>
      </c>
      <c r="AH260" s="37" t="inlineStr">
        <is>
          <t>Ham-Let + hoseandfittings (pressure); Parker Cat.4300 (material); ASTM B633 (finish); see StandardsData</t>
        </is>
      </c>
    </row>
    <row r="261" ht="15" customHeight="1" s="35">
      <c r="A261" s="37" t="inlineStr">
        <is>
          <t>2501-10-16-FG</t>
        </is>
      </c>
      <c r="B261" s="37" t="inlineStr">
        <is>
          <t>2501-10-16-FG</t>
        </is>
      </c>
      <c r="C261" s="37" t="inlineStr">
        <is>
          <t>2501</t>
        </is>
      </c>
      <c r="D261" s="37" t="n">
        <v>118</v>
      </c>
      <c r="E261" s="37" t="inlineStr">
        <is>
          <t>90 deg</t>
        </is>
      </c>
      <c r="F261" s="37" t="inlineStr">
        <is>
          <t>90 deg Male Elbow, 7/8-14 x 1-11 1/2</t>
        </is>
      </c>
      <c r="G261" s="37" t="inlineStr">
        <is>
          <t>1-11 1/2</t>
        </is>
      </c>
      <c r="H261" s="37" t="inlineStr">
        <is>
          <t>7/8-14</t>
        </is>
      </c>
      <c r="I261" s="37" t="inlineStr">
        <is>
          <t>5/8</t>
        </is>
      </c>
      <c r="J261" s="37" t="inlineStr">
        <is>
          <t>ASME B1.20.3</t>
        </is>
      </c>
      <c r="K261" s="37" t="inlineStr">
        <is>
          <t>SAE J514-1</t>
        </is>
      </c>
      <c r="L261" s="37" t="n">
        <v>1.64</v>
      </c>
      <c r="M261" s="37" t="n">
        <v>1.97</v>
      </c>
      <c r="N261" s="37" t="n">
        <v>1.31</v>
      </c>
      <c r="O261" s="37" t="n">
        <v>0.48</v>
      </c>
      <c r="P261" s="37" t="n">
        <v>0.9399999999999999</v>
      </c>
      <c r="Q261" s="37" t="n"/>
      <c r="R261" s="44" t="n"/>
      <c r="S261" s="45" t="n">
        <v>1.3125</v>
      </c>
      <c r="T261" s="37" t="n">
        <v>90</v>
      </c>
      <c r="U261" s="37" t="inlineStr">
        <is>
          <t>ASSUMED</t>
        </is>
      </c>
      <c r="V261" s="37" t="inlineStr">
        <is>
          <t>MS51504 has no row for this size combo; Air-Way remains single source.</t>
        </is>
      </c>
      <c r="W261" s="37" t="inlineStr">
        <is>
          <t>BUILD</t>
        </is>
      </c>
      <c r="X261" s="37" t="inlineStr">
        <is>
          <t>Dimensions verbatim from Air-Way, two reconciled passes. Hex/material/finish/pressure outstanding. | Single body hex 1 5/16 keyed to larger dash -16 (sources show hex follows larger end).</t>
        </is>
      </c>
      <c r="Z261" s="45" t="inlineStr">
        <is>
          <t>Carbon Steel</t>
        </is>
      </c>
      <c r="AA261" s="45" t="inlineStr">
        <is>
          <t>ASTM A108 12L14</t>
        </is>
      </c>
      <c r="AB261" s="45" t="inlineStr">
        <is>
          <t>Trivalent Cr3 Zinc</t>
        </is>
      </c>
      <c r="AC261" s="45" t="inlineStr">
        <is>
          <t>ASTM B633 Type V/VI</t>
        </is>
      </c>
      <c r="AD261" s="46" t="n">
        <v>3000</v>
      </c>
      <c r="AE261" s="46" t="inlineStr">
        <is>
          <t>generic SAE table @ dash -16 (governing end)</t>
        </is>
      </c>
      <c r="AF261" s="46" t="n">
        <v>-65</v>
      </c>
      <c r="AG261" s="46" t="n">
        <v>400</v>
      </c>
      <c r="AH261" s="37" t="inlineStr">
        <is>
          <t>Ham-Let + hoseandfittings (pressure); Parker Cat.4300 (material); ASTM B633 (finish); see StandardsData</t>
        </is>
      </c>
    </row>
    <row r="262" ht="15" customHeight="1" s="35">
      <c r="A262" s="37" t="inlineStr">
        <is>
          <t>2501-12-06</t>
        </is>
      </c>
      <c r="B262" s="37" t="inlineStr">
        <is>
          <t>2501-12-6</t>
        </is>
      </c>
      <c r="C262" s="37" t="inlineStr">
        <is>
          <t>2501</t>
        </is>
      </c>
      <c r="D262" s="37" t="n">
        <v>118</v>
      </c>
      <c r="E262" s="37" t="inlineStr">
        <is>
          <t>90 deg</t>
        </is>
      </c>
      <c r="F262" s="37" t="inlineStr">
        <is>
          <t>90 deg Male Elbow, 1 1/16-12 x 3/8-18</t>
        </is>
      </c>
      <c r="G262" s="37" t="inlineStr">
        <is>
          <t>3/8-18</t>
        </is>
      </c>
      <c r="H262" s="37" t="inlineStr">
        <is>
          <t>1 1/16-12</t>
        </is>
      </c>
      <c r="I262" s="37" t="inlineStr">
        <is>
          <t>3/4</t>
        </is>
      </c>
      <c r="J262" s="37" t="inlineStr">
        <is>
          <t>ASME B1.20.3</t>
        </is>
      </c>
      <c r="K262" s="37" t="inlineStr">
        <is>
          <t>SAE J514-1</t>
        </is>
      </c>
      <c r="L262" s="37" t="n">
        <v>1.66</v>
      </c>
      <c r="M262" s="37" t="n">
        <v>1.38</v>
      </c>
      <c r="N262" s="37" t="n">
        <v>1.13</v>
      </c>
      <c r="O262" s="37" t="n">
        <v>0.61</v>
      </c>
      <c r="P262" s="37" t="n">
        <v>0.41</v>
      </c>
      <c r="Q262" s="37" t="n"/>
      <c r="R262" s="44" t="n"/>
      <c r="S262" s="45" t="n">
        <v>1.0625</v>
      </c>
      <c r="T262" s="37" t="n">
        <v>90</v>
      </c>
      <c r="U262" s="37" t="inlineStr">
        <is>
          <t>ASSUMED</t>
        </is>
      </c>
      <c r="V262" s="37" t="inlineStr">
        <is>
          <t>MS51504 has no row for this size combo; Air-Way remains single source.</t>
        </is>
      </c>
      <c r="W262" s="37" t="inlineStr">
        <is>
          <t>BUILD</t>
        </is>
      </c>
      <c r="X262" s="37" t="inlineStr">
        <is>
          <t>Dimensions verbatim from Air-Way, two reconciled passes. Hex/material/finish/pressure outstanding. | Single body hex 1 1/16 keyed to larger dash -12 (sources show hex follows larger end).</t>
        </is>
      </c>
      <c r="Z262" s="45" t="inlineStr">
        <is>
          <t>Carbon Steel</t>
        </is>
      </c>
      <c r="AA262" s="45" t="inlineStr">
        <is>
          <t>ASTM A108 12L14</t>
        </is>
      </c>
      <c r="AB262" s="45" t="inlineStr">
        <is>
          <t>Trivalent Cr3 Zinc</t>
        </is>
      </c>
      <c r="AC262" s="45" t="inlineStr">
        <is>
          <t>ASTM B633 Type V/VI</t>
        </is>
      </c>
      <c r="AD262" s="46" t="n">
        <v>3500</v>
      </c>
      <c r="AE262" s="46" t="inlineStr">
        <is>
          <t>generic SAE table @ dash -12 (governing end)</t>
        </is>
      </c>
      <c r="AF262" s="46" t="n">
        <v>-65</v>
      </c>
      <c r="AG262" s="46" t="n">
        <v>400</v>
      </c>
      <c r="AH262" s="37" t="inlineStr">
        <is>
          <t>Ham-Let + hoseandfittings (pressure); Parker Cat.4300 (material); ASTM B633 (finish); see StandardsData</t>
        </is>
      </c>
    </row>
    <row r="263" ht="15" customHeight="1" s="35">
      <c r="A263" s="37" t="inlineStr">
        <is>
          <t>2501-12-08-FG</t>
        </is>
      </c>
      <c r="B263" s="37" t="inlineStr">
        <is>
          <t>2501-12-8-FG</t>
        </is>
      </c>
      <c r="C263" s="37" t="inlineStr">
        <is>
          <t>2501</t>
        </is>
      </c>
      <c r="D263" s="37" t="n">
        <v>118</v>
      </c>
      <c r="E263" s="37" t="inlineStr">
        <is>
          <t>90 deg</t>
        </is>
      </c>
      <c r="F263" s="37" t="inlineStr">
        <is>
          <t>90 deg Male Elbow, 1 1/16-12 x 1/2-14</t>
        </is>
      </c>
      <c r="G263" s="37" t="inlineStr">
        <is>
          <t>1/2-14</t>
        </is>
      </c>
      <c r="H263" s="37" t="inlineStr">
        <is>
          <t>1 1/16-12</t>
        </is>
      </c>
      <c r="I263" s="37" t="inlineStr">
        <is>
          <t>3/4</t>
        </is>
      </c>
      <c r="J263" s="37" t="inlineStr">
        <is>
          <t>ASME B1.20.3</t>
        </is>
      </c>
      <c r="K263" s="37" t="inlineStr">
        <is>
          <t>SAE J514-1</t>
        </is>
      </c>
      <c r="L263" s="37" t="n">
        <v>1.66</v>
      </c>
      <c r="M263" s="37" t="n">
        <v>1.59</v>
      </c>
      <c r="N263" s="37" t="n">
        <v>1.06</v>
      </c>
      <c r="O263" s="37" t="n">
        <v>0.61</v>
      </c>
      <c r="P263" s="37" t="n">
        <v>0.53</v>
      </c>
      <c r="Q263" s="37" t="n"/>
      <c r="R263" s="44" t="n"/>
      <c r="S263" s="45" t="n">
        <v>1.0625</v>
      </c>
      <c r="T263" s="37" t="n">
        <v>90</v>
      </c>
      <c r="U263" s="37" t="inlineStr">
        <is>
          <t>ASSUMED</t>
        </is>
      </c>
      <c r="V263" s="37" t="inlineStr">
        <is>
          <t>MS51504 cross-check 2026-09-04: B,M,N,D,D1 all AGREE (forged pattern).</t>
        </is>
      </c>
      <c r="W263" s="37" t="inlineStr">
        <is>
          <t>BUILD</t>
        </is>
      </c>
      <c r="X263" s="37" t="inlineStr">
        <is>
          <t>Dimensions verbatim from Air-Way, two reconciled passes. Hex/material/finish/pressure outstanding. | Single body hex 1 1/16 keyed to larger dash -12 (sources show hex follows larger end).</t>
        </is>
      </c>
      <c r="Z263" s="45" t="inlineStr">
        <is>
          <t>Carbon Steel</t>
        </is>
      </c>
      <c r="AA263" s="45" t="inlineStr">
        <is>
          <t>ASTM A108 12L14</t>
        </is>
      </c>
      <c r="AB263" s="45" t="inlineStr">
        <is>
          <t>Trivalent Cr3 Zinc</t>
        </is>
      </c>
      <c r="AC263" s="45" t="inlineStr">
        <is>
          <t>ASTM B633 Type V/VI</t>
        </is>
      </c>
      <c r="AD263" s="46" t="n">
        <v>3500</v>
      </c>
      <c r="AE263" s="46" t="inlineStr">
        <is>
          <t>generic SAE table @ dash -12 (governing end)</t>
        </is>
      </c>
      <c r="AF263" s="46" t="n">
        <v>-65</v>
      </c>
      <c r="AG263" s="46" t="n">
        <v>400</v>
      </c>
      <c r="AH263" s="37" t="inlineStr">
        <is>
          <t>Ham-Let + hoseandfittings (pressure); Parker Cat.4300 (material); ASTM B633 (finish); see StandardsData</t>
        </is>
      </c>
    </row>
    <row r="264" ht="15" customHeight="1" s="35">
      <c r="A264" s="37" t="inlineStr">
        <is>
          <t>2501-12-08</t>
        </is>
      </c>
      <c r="B264" s="37" t="inlineStr">
        <is>
          <t>2501-12-8</t>
        </is>
      </c>
      <c r="C264" s="37" t="inlineStr">
        <is>
          <t>2501</t>
        </is>
      </c>
      <c r="D264" s="37" t="n">
        <v>118</v>
      </c>
      <c r="E264" s="37" t="inlineStr">
        <is>
          <t>90 deg</t>
        </is>
      </c>
      <c r="F264" s="37" t="inlineStr">
        <is>
          <t>90 deg Male Elbow, 1 1/16-12 x 1/2-14</t>
        </is>
      </c>
      <c r="G264" s="37" t="inlineStr">
        <is>
          <t>1/2-14</t>
        </is>
      </c>
      <c r="H264" s="37" t="inlineStr">
        <is>
          <t>1 1/16-12</t>
        </is>
      </c>
      <c r="I264" s="37" t="inlineStr">
        <is>
          <t>3/4</t>
        </is>
      </c>
      <c r="J264" s="37" t="inlineStr">
        <is>
          <t>ASME B1.20.3</t>
        </is>
      </c>
      <c r="K264" s="37" t="inlineStr">
        <is>
          <t>SAE J514-1</t>
        </is>
      </c>
      <c r="L264" s="37" t="n">
        <v>1.66</v>
      </c>
      <c r="M264" s="37" t="n">
        <v>1.56</v>
      </c>
      <c r="N264" s="37" t="n">
        <v>1.13</v>
      </c>
      <c r="O264" s="37" t="n">
        <v>0.61</v>
      </c>
      <c r="P264" s="37" t="n">
        <v>0.53</v>
      </c>
      <c r="Q264" s="37" t="n"/>
      <c r="R264" s="44" t="n"/>
      <c r="S264" s="45" t="n">
        <v>1.0625</v>
      </c>
      <c r="T264" s="37" t="n">
        <v>90</v>
      </c>
      <c r="U264" s="37" t="inlineStr">
        <is>
          <t>ASSUMED</t>
        </is>
      </c>
      <c r="V264" s="37" t="inlineStr">
        <is>
          <t>Non-forged leg pattern; MS51504 covers the forged pattern (FG sibling matches MS). Air-Way single source for these legs.</t>
        </is>
      </c>
      <c r="W264" s="37" t="inlineStr">
        <is>
          <t>BUILD</t>
        </is>
      </c>
      <c r="X264" s="37" t="inlineStr">
        <is>
          <t>Dimensions verbatim from Air-Way, two reconciled passes. Hex/material/finish/pressure outstanding. | Single body hex 1 1/16 keyed to larger dash -12 (sources show hex follows larger end).</t>
        </is>
      </c>
      <c r="Z264" s="45" t="inlineStr">
        <is>
          <t>Carbon Steel</t>
        </is>
      </c>
      <c r="AA264" s="45" t="inlineStr">
        <is>
          <t>ASTM A108 12L14</t>
        </is>
      </c>
      <c r="AB264" s="45" t="inlineStr">
        <is>
          <t>Trivalent Cr3 Zinc</t>
        </is>
      </c>
      <c r="AC264" s="45" t="inlineStr">
        <is>
          <t>ASTM B633 Type V/VI</t>
        </is>
      </c>
      <c r="AD264" s="46" t="n">
        <v>3500</v>
      </c>
      <c r="AE264" s="46" t="inlineStr">
        <is>
          <t>generic SAE table @ dash -12 (governing end)</t>
        </is>
      </c>
      <c r="AF264" s="46" t="n">
        <v>-65</v>
      </c>
      <c r="AG264" s="46" t="n">
        <v>400</v>
      </c>
      <c r="AH264" s="37" t="inlineStr">
        <is>
          <t>Ham-Let + hoseandfittings (pressure); Parker Cat.4300 (material); ASTM B633 (finish); see StandardsData</t>
        </is>
      </c>
    </row>
    <row r="265" ht="15" customHeight="1" s="35">
      <c r="A265" s="37" t="inlineStr">
        <is>
          <t>2501-12-12-FG</t>
        </is>
      </c>
      <c r="B265" s="37" t="inlineStr">
        <is>
          <t>2501-12-12-FG</t>
        </is>
      </c>
      <c r="C265" s="37" t="inlineStr">
        <is>
          <t>2501</t>
        </is>
      </c>
      <c r="D265" s="37" t="n">
        <v>118</v>
      </c>
      <c r="E265" s="37" t="inlineStr">
        <is>
          <t>90 deg</t>
        </is>
      </c>
      <c r="F265" s="37" t="inlineStr">
        <is>
          <t>90 deg Male Elbow, 1 1/16-12 x 3/4-14</t>
        </is>
      </c>
      <c r="G265" s="37" t="inlineStr">
        <is>
          <t>3/4-14</t>
        </is>
      </c>
      <c r="H265" s="37" t="inlineStr">
        <is>
          <t>1 1/16-12</t>
        </is>
      </c>
      <c r="I265" s="37" t="inlineStr">
        <is>
          <t>3/4</t>
        </is>
      </c>
      <c r="J265" s="37" t="inlineStr">
        <is>
          <t>ASME B1.20.3</t>
        </is>
      </c>
      <c r="K265" s="37" t="inlineStr">
        <is>
          <t>SAE J514-1</t>
        </is>
      </c>
      <c r="L265" s="37" t="n">
        <v>1.66</v>
      </c>
      <c r="M265" s="37" t="n">
        <v>1.59</v>
      </c>
      <c r="N265" s="37" t="n">
        <v>1.06</v>
      </c>
      <c r="O265" s="37" t="n">
        <v>0.61</v>
      </c>
      <c r="P265" s="37" t="n">
        <v>0.72</v>
      </c>
      <c r="Q265" s="37" t="n"/>
      <c r="R265" s="44" t="n"/>
      <c r="S265" s="45" t="n">
        <v>1.0625</v>
      </c>
      <c r="T265" s="37" t="n">
        <v>90</v>
      </c>
      <c r="U265" s="37" t="inlineStr">
        <is>
          <t>ASSUMED</t>
        </is>
      </c>
      <c r="V265" s="37" t="inlineStr">
        <is>
          <t>MS51504 cross-check 2026-09-04: B,M,N,D,D1 all AGREE (forged pattern).</t>
        </is>
      </c>
      <c r="W265" s="37" t="inlineStr">
        <is>
          <t>BUILD</t>
        </is>
      </c>
      <c r="X265" s="37" t="inlineStr">
        <is>
          <t>Dimensions verbatim from Air-Way, two reconciled passes. Hex/material/finish/pressure outstanding. | Single body hex 1 1/16 keyed to larger dash -12 (sources show hex follows larger end).</t>
        </is>
      </c>
      <c r="Z265" s="45" t="inlineStr">
        <is>
          <t>Carbon Steel</t>
        </is>
      </c>
      <c r="AA265" s="45" t="inlineStr">
        <is>
          <t>ASTM A108 12L14</t>
        </is>
      </c>
      <c r="AB265" s="45" t="inlineStr">
        <is>
          <t>Trivalent Cr3 Zinc</t>
        </is>
      </c>
      <c r="AC265" s="45" t="inlineStr">
        <is>
          <t>ASTM B633 Type V/VI</t>
        </is>
      </c>
      <c r="AD265" s="46" t="n">
        <v>3500</v>
      </c>
      <c r="AE265" s="46" t="inlineStr">
        <is>
          <t>generic SAE table @ dash -12 (governing end)</t>
        </is>
      </c>
      <c r="AF265" s="46" t="n">
        <v>-65</v>
      </c>
      <c r="AG265" s="46" t="n">
        <v>400</v>
      </c>
      <c r="AH265" s="37" t="inlineStr">
        <is>
          <t>Ham-Let + hoseandfittings (pressure); Parker Cat.4300 (material); ASTM B633 (finish); see StandardsData</t>
        </is>
      </c>
    </row>
    <row r="266" ht="15" customHeight="1" s="35">
      <c r="A266" s="37" t="inlineStr">
        <is>
          <t>2501-12-12</t>
        </is>
      </c>
      <c r="B266" s="37" t="inlineStr">
        <is>
          <t>2501-12-12</t>
        </is>
      </c>
      <c r="C266" s="37" t="inlineStr">
        <is>
          <t>2501</t>
        </is>
      </c>
      <c r="D266" s="37" t="n">
        <v>118</v>
      </c>
      <c r="E266" s="37" t="inlineStr">
        <is>
          <t>90 deg</t>
        </is>
      </c>
      <c r="F266" s="37" t="inlineStr">
        <is>
          <t>90 deg Male Elbow, 1 1/16-12 x 3/4-14</t>
        </is>
      </c>
      <c r="G266" s="37" t="inlineStr">
        <is>
          <t>3/4-14</t>
        </is>
      </c>
      <c r="H266" s="37" t="inlineStr">
        <is>
          <t>1 1/16-12</t>
        </is>
      </c>
      <c r="I266" s="37" t="inlineStr">
        <is>
          <t>3/4</t>
        </is>
      </c>
      <c r="J266" s="37" t="inlineStr">
        <is>
          <t>ASME B1.20.3</t>
        </is>
      </c>
      <c r="K266" s="37" t="inlineStr">
        <is>
          <t>SAE J514-1</t>
        </is>
      </c>
      <c r="L266" s="37" t="n">
        <v>1.66</v>
      </c>
      <c r="M266" s="37" t="n">
        <v>1.59</v>
      </c>
      <c r="N266" s="37" t="n">
        <v>1.13</v>
      </c>
      <c r="O266" s="37" t="n">
        <v>0.61</v>
      </c>
      <c r="P266" s="37" t="n">
        <v>0.72</v>
      </c>
      <c r="Q266" s="37" t="n"/>
      <c r="R266" s="44" t="n"/>
      <c r="S266" s="45" t="n">
        <v>1.0625</v>
      </c>
      <c r="T266" s="37" t="n">
        <v>90</v>
      </c>
      <c r="U266" s="37" t="inlineStr">
        <is>
          <t>ASSUMED</t>
        </is>
      </c>
      <c r="V266" s="37" t="inlineStr">
        <is>
          <t>Non-forged leg pattern; MS51504 covers the forged pattern (FG sibling matches MS). Air-Way single source for these legs.</t>
        </is>
      </c>
      <c r="W266" s="37" t="inlineStr">
        <is>
          <t>BUILD</t>
        </is>
      </c>
      <c r="X266" s="37" t="inlineStr">
        <is>
          <t>Dimensions verbatim from Air-Way, two reconciled passes. Hex/material/finish/pressure outstanding. | Single body hex 1 1/16 keyed to larger dash -12 (sources show hex follows larger end).</t>
        </is>
      </c>
      <c r="Z266" s="45" t="inlineStr">
        <is>
          <t>Carbon Steel</t>
        </is>
      </c>
      <c r="AA266" s="45" t="inlineStr">
        <is>
          <t>ASTM A108 12L14</t>
        </is>
      </c>
      <c r="AB266" s="45" t="inlineStr">
        <is>
          <t>Trivalent Cr3 Zinc</t>
        </is>
      </c>
      <c r="AC266" s="45" t="inlineStr">
        <is>
          <t>ASTM B633 Type V/VI</t>
        </is>
      </c>
      <c r="AD266" s="46" t="n">
        <v>3500</v>
      </c>
      <c r="AE266" s="46" t="inlineStr">
        <is>
          <t>generic SAE table @ dash -12 (governing end)</t>
        </is>
      </c>
      <c r="AF266" s="46" t="n">
        <v>-65</v>
      </c>
      <c r="AG266" s="46" t="n">
        <v>400</v>
      </c>
      <c r="AH266" s="37" t="inlineStr">
        <is>
          <t>Ham-Let + hoseandfittings (pressure); Parker Cat.4300 (material); ASTM B633 (finish); see StandardsData</t>
        </is>
      </c>
    </row>
    <row r="267" ht="15" customHeight="1" s="35">
      <c r="A267" s="37" t="inlineStr">
        <is>
          <t>2501-12-16</t>
        </is>
      </c>
      <c r="B267" s="37" t="inlineStr">
        <is>
          <t>2501-12-16</t>
        </is>
      </c>
      <c r="C267" s="37" t="inlineStr">
        <is>
          <t>2501</t>
        </is>
      </c>
      <c r="D267" s="37" t="n">
        <v>118</v>
      </c>
      <c r="E267" s="37" t="inlineStr">
        <is>
          <t>90 deg</t>
        </is>
      </c>
      <c r="F267" s="37" t="inlineStr">
        <is>
          <t>90 deg Male Elbow, 1 1/16-12 x 1-11 1/2</t>
        </is>
      </c>
      <c r="G267" s="37" t="inlineStr">
        <is>
          <t>1-11 1/2</t>
        </is>
      </c>
      <c r="H267" s="37" t="inlineStr">
        <is>
          <t>1 1/16-12</t>
        </is>
      </c>
      <c r="I267" s="37" t="inlineStr">
        <is>
          <t>3/4</t>
        </is>
      </c>
      <c r="J267" s="37" t="inlineStr">
        <is>
          <t>ASME B1.20.3</t>
        </is>
      </c>
      <c r="K267" s="37" t="inlineStr">
        <is>
          <t>SAE J514-1</t>
        </is>
      </c>
      <c r="L267" s="37" t="n">
        <v>1.78</v>
      </c>
      <c r="M267" s="37" t="n">
        <v>1.97</v>
      </c>
      <c r="N267" s="37" t="n">
        <v>1.38</v>
      </c>
      <c r="O267" s="37" t="n">
        <v>0.61</v>
      </c>
      <c r="P267" s="37" t="n">
        <v>0.9399999999999999</v>
      </c>
      <c r="Q267" s="37" t="n"/>
      <c r="R267" s="44" t="n"/>
      <c r="S267" s="45" t="n">
        <v>1.3125</v>
      </c>
      <c r="T267" s="37" t="n">
        <v>90</v>
      </c>
      <c r="U267" s="37" t="inlineStr">
        <is>
          <t>ASSUMED</t>
        </is>
      </c>
      <c r="V267" s="37" t="inlineStr">
        <is>
          <t>MS51504 has no row for this size combo; Air-Way remains single source.</t>
        </is>
      </c>
      <c r="W267" s="37" t="inlineStr">
        <is>
          <t>BUILD</t>
        </is>
      </c>
      <c r="X267" s="37" t="inlineStr">
        <is>
          <t>Dimensions verbatim from Air-Way, two reconciled passes. Hex/material/finish/pressure outstanding. | Single body hex 1 5/16 keyed to larger dash -16 (sources show hex follows larger end).</t>
        </is>
      </c>
      <c r="Z267" s="45" t="inlineStr">
        <is>
          <t>Carbon Steel</t>
        </is>
      </c>
      <c r="AA267" s="45" t="inlineStr">
        <is>
          <t>ASTM A108 12L14</t>
        </is>
      </c>
      <c r="AB267" s="45" t="inlineStr">
        <is>
          <t>Trivalent Cr3 Zinc</t>
        </is>
      </c>
      <c r="AC267" s="45" t="inlineStr">
        <is>
          <t>ASTM B633 Type V/VI</t>
        </is>
      </c>
      <c r="AD267" s="46" t="n">
        <v>3000</v>
      </c>
      <c r="AE267" s="46" t="inlineStr">
        <is>
          <t>generic SAE table @ dash -16 (governing end)</t>
        </is>
      </c>
      <c r="AF267" s="46" t="n">
        <v>-65</v>
      </c>
      <c r="AG267" s="46" t="n">
        <v>400</v>
      </c>
      <c r="AH267" s="37" t="inlineStr">
        <is>
          <t>Ham-Let + hoseandfittings (pressure); Parker Cat.4300 (material); ASTM B633 (finish); see StandardsData</t>
        </is>
      </c>
    </row>
    <row r="268" ht="15" customHeight="1" s="35">
      <c r="A268" s="37" t="inlineStr">
        <is>
          <t>2501-12-20</t>
        </is>
      </c>
      <c r="B268" s="37" t="inlineStr">
        <is>
          <t>2501-12-20</t>
        </is>
      </c>
      <c r="C268" s="37" t="inlineStr">
        <is>
          <t>2501</t>
        </is>
      </c>
      <c r="D268" s="37" t="n">
        <v>118</v>
      </c>
      <c r="E268" s="37" t="inlineStr">
        <is>
          <t>90 deg</t>
        </is>
      </c>
      <c r="F268" s="37" t="inlineStr">
        <is>
          <t>90 deg Male Elbow, 1 1/16-12 x 1 1/4-11 1/2</t>
        </is>
      </c>
      <c r="G268" s="37" t="inlineStr">
        <is>
          <t>1 1/4-11 1/2</t>
        </is>
      </c>
      <c r="H268" s="37" t="inlineStr">
        <is>
          <t>1 1/16-12</t>
        </is>
      </c>
      <c r="I268" s="37" t="inlineStr">
        <is>
          <t>3/4</t>
        </is>
      </c>
      <c r="J268" s="37" t="inlineStr">
        <is>
          <t>ASME B1.20.3</t>
        </is>
      </c>
      <c r="K268" s="37" t="inlineStr">
        <is>
          <t>SAE J514-1</t>
        </is>
      </c>
      <c r="L268" s="37" t="n">
        <v>1.97</v>
      </c>
      <c r="M268" s="37" t="n">
        <v>2.38</v>
      </c>
      <c r="N268" s="37" t="n">
        <v>1.75</v>
      </c>
      <c r="O268" s="37" t="n">
        <v>0.61</v>
      </c>
      <c r="P268" s="37" t="n">
        <v>1.25</v>
      </c>
      <c r="Q268" s="37" t="n"/>
      <c r="R268" s="44" t="n"/>
      <c r="S268" s="45" t="n">
        <v>1.625</v>
      </c>
      <c r="T268" s="37" t="n">
        <v>90</v>
      </c>
      <c r="U268" s="37" t="inlineStr">
        <is>
          <t>ASSUMED</t>
        </is>
      </c>
      <c r="V268" s="37" t="inlineStr">
        <is>
          <t>MS51504 has no row for this size combo; Air-Way remains single source.</t>
        </is>
      </c>
      <c r="W268" s="37" t="inlineStr">
        <is>
          <t>BUILD</t>
        </is>
      </c>
      <c r="X268" s="37" t="inlineStr">
        <is>
          <t>Dimensions verbatim from Air-Way, two reconciled passes. Hex/material/finish/pressure outstanding. | Single body hex 1 5/8 keyed to larger dash -20 (sources show hex follows larger end).</t>
        </is>
      </c>
      <c r="Z268" s="45" t="inlineStr">
        <is>
          <t>Carbon Steel</t>
        </is>
      </c>
      <c r="AA268" s="45" t="inlineStr">
        <is>
          <t>ASTM A108 12L14</t>
        </is>
      </c>
      <c r="AB268" s="45" t="inlineStr">
        <is>
          <t>Trivalent Cr3 Zinc</t>
        </is>
      </c>
      <c r="AC268" s="45" t="inlineStr">
        <is>
          <t>ASTM B633 Type V/VI</t>
        </is>
      </c>
      <c r="AD268" s="46" t="n">
        <v>2500</v>
      </c>
      <c r="AE268" s="46" t="inlineStr">
        <is>
          <t>generic SAE table @ dash -20 (governing end)</t>
        </is>
      </c>
      <c r="AF268" s="46" t="n">
        <v>-65</v>
      </c>
      <c r="AG268" s="46" t="n">
        <v>400</v>
      </c>
      <c r="AH268" s="37" t="inlineStr">
        <is>
          <t>Ham-Let + hoseandfittings (pressure); Parker Cat.4300 (material); ASTM B633 (finish); see StandardsData</t>
        </is>
      </c>
    </row>
    <row r="269" ht="15" customHeight="1" s="35">
      <c r="A269" s="37" t="inlineStr">
        <is>
          <t>2501-12-16-FG</t>
        </is>
      </c>
      <c r="B269" s="37" t="inlineStr">
        <is>
          <t>2501-12-16-FG</t>
        </is>
      </c>
      <c r="C269" s="37" t="inlineStr">
        <is>
          <t>2501</t>
        </is>
      </c>
      <c r="D269" s="37" t="n">
        <v>118</v>
      </c>
      <c r="E269" s="37" t="inlineStr">
        <is>
          <t>90 deg</t>
        </is>
      </c>
      <c r="F269" s="37" t="inlineStr">
        <is>
          <t>90 deg Male Elbow, 1 1/16-12 x 1-11 1/2</t>
        </is>
      </c>
      <c r="G269" s="37" t="inlineStr">
        <is>
          <t>1-11 1/2</t>
        </is>
      </c>
      <c r="H269" s="37" t="inlineStr">
        <is>
          <t>1 1/16-12</t>
        </is>
      </c>
      <c r="I269" s="37" t="inlineStr">
        <is>
          <t>3/4</t>
        </is>
      </c>
      <c r="J269" s="37" t="inlineStr">
        <is>
          <t>ASME B1.20.3</t>
        </is>
      </c>
      <c r="K269" s="37" t="inlineStr">
        <is>
          <t>SAE J514-1</t>
        </is>
      </c>
      <c r="L269" s="37" t="n">
        <v>1.76</v>
      </c>
      <c r="M269" s="37" t="n">
        <v>1.97</v>
      </c>
      <c r="N269" s="37" t="n">
        <v>1.31</v>
      </c>
      <c r="O269" s="37" t="n">
        <v>0.61</v>
      </c>
      <c r="P269" s="37" t="n">
        <v>0.9399999999999999</v>
      </c>
      <c r="Q269" s="37" t="n"/>
      <c r="R269" s="44" t="n"/>
      <c r="S269" s="45" t="n">
        <v>1.3125</v>
      </c>
      <c r="T269" s="37" t="n">
        <v>90</v>
      </c>
      <c r="U269" s="37" t="inlineStr">
        <is>
          <t>ASSUMED</t>
        </is>
      </c>
      <c r="V269" s="37" t="inlineStr">
        <is>
          <t>MS51504 has no row for this size combo; Air-Way remains single source.</t>
        </is>
      </c>
      <c r="W269" s="37" t="inlineStr">
        <is>
          <t>BUILD</t>
        </is>
      </c>
      <c r="X269" s="37" t="inlineStr">
        <is>
          <t>Dimensions verbatim from Air-Way, two reconciled passes. Hex/material/finish/pressure outstanding. | Single body hex 1 5/16 keyed to larger dash -16 (sources show hex follows larger end).</t>
        </is>
      </c>
      <c r="Z269" s="45" t="inlineStr">
        <is>
          <t>Carbon Steel</t>
        </is>
      </c>
      <c r="AA269" s="45" t="inlineStr">
        <is>
          <t>ASTM A108 12L14</t>
        </is>
      </c>
      <c r="AB269" s="45" t="inlineStr">
        <is>
          <t>Trivalent Cr3 Zinc</t>
        </is>
      </c>
      <c r="AC269" s="45" t="inlineStr">
        <is>
          <t>ASTM B633 Type V/VI</t>
        </is>
      </c>
      <c r="AD269" s="46" t="n">
        <v>3000</v>
      </c>
      <c r="AE269" s="46" t="inlineStr">
        <is>
          <t>generic SAE table @ dash -16 (governing end)</t>
        </is>
      </c>
      <c r="AF269" s="46" t="n">
        <v>-65</v>
      </c>
      <c r="AG269" s="46" t="n">
        <v>400</v>
      </c>
      <c r="AH269" s="37" t="inlineStr">
        <is>
          <t>Ham-Let + hoseandfittings (pressure); Parker Cat.4300 (material); ASTM B633 (finish); see StandardsData</t>
        </is>
      </c>
    </row>
    <row r="270" ht="15" customHeight="1" s="35">
      <c r="A270" s="37" t="inlineStr">
        <is>
          <t>2501-14-12-FG</t>
        </is>
      </c>
      <c r="B270" s="37" t="inlineStr">
        <is>
          <t>2501-14-12-FG</t>
        </is>
      </c>
      <c r="C270" s="37" t="inlineStr">
        <is>
          <t>2501</t>
        </is>
      </c>
      <c r="D270" s="37" t="n">
        <v>118</v>
      </c>
      <c r="E270" s="37" t="inlineStr">
        <is>
          <t>90 deg</t>
        </is>
      </c>
      <c r="F270" s="37" t="inlineStr">
        <is>
          <t>90 deg Male Elbow, 1 3/16-12 x 3/4-14</t>
        </is>
      </c>
      <c r="G270" s="37" t="inlineStr">
        <is>
          <t>3/4-14</t>
        </is>
      </c>
      <c r="H270" s="37" t="inlineStr">
        <is>
          <t>1 3/16-12</t>
        </is>
      </c>
      <c r="I270" s="37" t="inlineStr">
        <is>
          <t>7/8</t>
        </is>
      </c>
      <c r="J270" s="37" t="inlineStr">
        <is>
          <t>ASME B1.20.3</t>
        </is>
      </c>
      <c r="K270" s="37" t="inlineStr">
        <is>
          <t>SAE J514-1</t>
        </is>
      </c>
      <c r="L270" s="37" t="n">
        <v>1.8</v>
      </c>
      <c r="M270" s="37" t="n">
        <v>1.69</v>
      </c>
      <c r="N270" s="37" t="n">
        <v>1.31</v>
      </c>
      <c r="O270" s="37" t="n">
        <v>0.72</v>
      </c>
      <c r="P270" s="37" t="n">
        <v>0.72</v>
      </c>
      <c r="Q270" s="37" t="n"/>
      <c r="R270" s="44" t="n"/>
      <c r="S270" s="47" t="n"/>
      <c r="T270" s="37" t="n">
        <v>90</v>
      </c>
      <c r="U270" s="37" t="inlineStr">
        <is>
          <t>VERIFIED</t>
        </is>
      </c>
      <c r="V270" s="37" t="inlineStr">
        <is>
          <t>RESOLVED 2-1: M=1.80 (Air-Way+Brennan drawing agree; MS51504 1.73 outvoted). 2026-09-05 Brennan product-drawing tiebreak</t>
        </is>
      </c>
      <c r="W270" s="37" t="inlineStr">
        <is>
          <t>BUILD</t>
        </is>
      </c>
      <c r="X270" s="37" t="inlineStr">
        <is>
          <t>Dimensions verbatim from Air-Way, two reconciled passes. Hex/material/finish/pressure outstanding. | MS51504 DIVERGES on M -&gt; M: AW=1.8 vs MS=1.73. Blocked pending decision.</t>
        </is>
      </c>
      <c r="Z270" s="45" t="inlineStr">
        <is>
          <t>Carbon Steel</t>
        </is>
      </c>
      <c r="AA270" s="45" t="inlineStr">
        <is>
          <t>ASTM A108 12L14</t>
        </is>
      </c>
      <c r="AB270" s="45" t="inlineStr">
        <is>
          <t>Trivalent Cr3 Zinc</t>
        </is>
      </c>
      <c r="AC270" s="45" t="inlineStr">
        <is>
          <t>ASTM B633 Type V/VI</t>
        </is>
      </c>
      <c r="AD270" s="46" t="n">
        <v>3000</v>
      </c>
      <c r="AE270" s="46" t="inlineStr">
        <is>
          <t>generic SAE table @ dash -14 (governing end)</t>
        </is>
      </c>
      <c r="AF270" s="46" t="n">
        <v>-65</v>
      </c>
      <c r="AG270" s="46" t="n">
        <v>400</v>
      </c>
      <c r="AH270" s="37" t="inlineStr">
        <is>
          <t>Ham-Let + hoseandfittings (pressure); Parker Cat.4300 (material); ASTM B633 (finish); see StandardsData</t>
        </is>
      </c>
    </row>
    <row r="271" ht="15" customHeight="1" s="35">
      <c r="A271" s="37" t="inlineStr">
        <is>
          <t>2501-14-12</t>
        </is>
      </c>
      <c r="B271" s="37" t="inlineStr">
        <is>
          <t>2501-14-12</t>
        </is>
      </c>
      <c r="C271" s="37" t="inlineStr">
        <is>
          <t>2501</t>
        </is>
      </c>
      <c r="D271" s="37" t="n">
        <v>118</v>
      </c>
      <c r="E271" s="37" t="inlineStr">
        <is>
          <t>90 deg</t>
        </is>
      </c>
      <c r="F271" s="37" t="inlineStr">
        <is>
          <t>90 deg Male Elbow, 1 3/16-12 x 3/4-14</t>
        </is>
      </c>
      <c r="G271" s="37" t="inlineStr">
        <is>
          <t>3/4-14</t>
        </is>
      </c>
      <c r="H271" s="37" t="inlineStr">
        <is>
          <t>1 3/16-12</t>
        </is>
      </c>
      <c r="I271" s="37" t="inlineStr">
        <is>
          <t>7/8</t>
        </is>
      </c>
      <c r="J271" s="37" t="inlineStr">
        <is>
          <t>ASME B1.20.3</t>
        </is>
      </c>
      <c r="K271" s="37" t="inlineStr">
        <is>
          <t>SAE J514-1</t>
        </is>
      </c>
      <c r="L271" s="37" t="n">
        <v>1.8</v>
      </c>
      <c r="M271" s="37" t="n">
        <v>1.66</v>
      </c>
      <c r="N271" s="37" t="n">
        <v>1.25</v>
      </c>
      <c r="O271" s="37" t="n">
        <v>0.72</v>
      </c>
      <c r="P271" s="37" t="n">
        <v>0.72</v>
      </c>
      <c r="Q271" s="37" t="n"/>
      <c r="R271" s="44" t="n"/>
      <c r="S271" s="47" t="n"/>
      <c r="T271" s="37" t="n">
        <v>90</v>
      </c>
      <c r="U271" s="37" t="inlineStr">
        <is>
          <t>MISSING</t>
        </is>
      </c>
      <c r="V271" s="37" t="inlineStr">
        <is>
          <t>Non-forged leg pattern; MS51504 covers the forged pattern (FG sibling matches MS). Air-Way single source for these legs.</t>
        </is>
      </c>
      <c r="W271" s="37" t="inlineStr">
        <is>
          <t>BUILD</t>
        </is>
      </c>
      <c r="X271" s="37" t="inlineStr">
        <is>
          <t>Dimensions verbatim from Air-Way, two reconciled passes. Hex/material/finish/pressure outstanding.</t>
        </is>
      </c>
      <c r="Z271" s="45" t="inlineStr">
        <is>
          <t>Carbon Steel</t>
        </is>
      </c>
      <c r="AA271" s="45" t="inlineStr">
        <is>
          <t>ASTM A108 12L14</t>
        </is>
      </c>
      <c r="AB271" s="45" t="inlineStr">
        <is>
          <t>Trivalent Cr3 Zinc</t>
        </is>
      </c>
      <c r="AC271" s="45" t="inlineStr">
        <is>
          <t>ASTM B633 Type V/VI</t>
        </is>
      </c>
      <c r="AD271" s="46" t="n">
        <v>3000</v>
      </c>
      <c r="AE271" s="46" t="inlineStr">
        <is>
          <t>generic SAE table @ dash -14 (governing end)</t>
        </is>
      </c>
      <c r="AF271" s="46" t="n">
        <v>-65</v>
      </c>
      <c r="AG271" s="46" t="n">
        <v>400</v>
      </c>
      <c r="AH271" s="37" t="inlineStr">
        <is>
          <t>Ham-Let + hoseandfittings (pressure); Parker Cat.4300 (material); ASTM B633 (finish); see StandardsData</t>
        </is>
      </c>
    </row>
    <row r="272" ht="15" customHeight="1" s="35">
      <c r="A272" s="37" t="inlineStr">
        <is>
          <t>2501-16-08</t>
        </is>
      </c>
      <c r="B272" s="37" t="inlineStr">
        <is>
          <t>2501-16-8</t>
        </is>
      </c>
      <c r="C272" s="37" t="inlineStr">
        <is>
          <t>2501</t>
        </is>
      </c>
      <c r="D272" s="37" t="n">
        <v>118</v>
      </c>
      <c r="E272" s="37" t="inlineStr">
        <is>
          <t>90 deg</t>
        </is>
      </c>
      <c r="F272" s="37" t="inlineStr">
        <is>
          <t>90 deg Male Elbow, 1 5/16-12 x 1/2-14</t>
        </is>
      </c>
      <c r="G272" s="37" t="inlineStr">
        <is>
          <t>1/2-14</t>
        </is>
      </c>
      <c r="H272" s="37" t="inlineStr">
        <is>
          <t>1 5/16-12</t>
        </is>
      </c>
      <c r="I272" s="37" t="inlineStr">
        <is>
          <t>1</t>
        </is>
      </c>
      <c r="J272" s="37" t="inlineStr">
        <is>
          <t>ASME B1.20.3</t>
        </is>
      </c>
      <c r="K272" s="37" t="inlineStr">
        <is>
          <t>SAE J514-1</t>
        </is>
      </c>
      <c r="L272" s="37" t="n">
        <v>1.81</v>
      </c>
      <c r="M272" s="37" t="n">
        <v>1.69</v>
      </c>
      <c r="N272" s="37" t="n">
        <v>1.38</v>
      </c>
      <c r="O272" s="37" t="n">
        <v>0.84</v>
      </c>
      <c r="P272" s="37" t="n">
        <v>0.53</v>
      </c>
      <c r="Q272" s="37" t="n"/>
      <c r="R272" s="44" t="n"/>
      <c r="S272" s="45" t="n">
        <v>1.3125</v>
      </c>
      <c r="T272" s="37" t="n">
        <v>90</v>
      </c>
      <c r="U272" s="37" t="inlineStr">
        <is>
          <t>ASSUMED</t>
        </is>
      </c>
      <c r="V272" s="37" t="inlineStr">
        <is>
          <t>MS51504 has no row for this size combo; Air-Way remains single source.</t>
        </is>
      </c>
      <c r="W272" s="37" t="inlineStr">
        <is>
          <t>BUILD</t>
        </is>
      </c>
      <c r="X272" s="37" t="inlineStr">
        <is>
          <t>Dimensions verbatim from Air-Way, two reconciled passes. Hex/material/finish/pressure outstanding. | Single body hex 1 5/16 keyed to larger dash -16 (sources show hex follows larger end).</t>
        </is>
      </c>
      <c r="Z272" s="45" t="inlineStr">
        <is>
          <t>Carbon Steel</t>
        </is>
      </c>
      <c r="AA272" s="45" t="inlineStr">
        <is>
          <t>ASTM A108 12L14</t>
        </is>
      </c>
      <c r="AB272" s="45" t="inlineStr">
        <is>
          <t>Trivalent Cr3 Zinc</t>
        </is>
      </c>
      <c r="AC272" s="45" t="inlineStr">
        <is>
          <t>ASTM B633 Type V/VI</t>
        </is>
      </c>
      <c r="AD272" s="46" t="n">
        <v>3000</v>
      </c>
      <c r="AE272" s="46" t="inlineStr">
        <is>
          <t>generic SAE table @ dash -16 (governing end)</t>
        </is>
      </c>
      <c r="AF272" s="46" t="n">
        <v>-65</v>
      </c>
      <c r="AG272" s="46" t="n">
        <v>400</v>
      </c>
      <c r="AH272" s="37" t="inlineStr">
        <is>
          <t>Ham-Let + hoseandfittings (pressure); Parker Cat.4300 (material); ASTM B633 (finish); see StandardsData</t>
        </is>
      </c>
    </row>
    <row r="273" ht="15" customHeight="1" s="35">
      <c r="A273" s="37" t="inlineStr">
        <is>
          <t>2501-16-12-FG</t>
        </is>
      </c>
      <c r="B273" s="37" t="inlineStr">
        <is>
          <t>2501-16-12-FG</t>
        </is>
      </c>
      <c r="C273" s="37" t="inlineStr">
        <is>
          <t>2501</t>
        </is>
      </c>
      <c r="D273" s="37" t="n">
        <v>118</v>
      </c>
      <c r="E273" s="37" t="inlineStr">
        <is>
          <t>90 deg</t>
        </is>
      </c>
      <c r="F273" s="37" t="inlineStr">
        <is>
          <t>90 deg Male Elbow, 1 5/16-12 x 3/4-14</t>
        </is>
      </c>
      <c r="G273" s="37" t="inlineStr">
        <is>
          <t>3/4-14</t>
        </is>
      </c>
      <c r="H273" s="37" t="inlineStr">
        <is>
          <t>1 5/16-12</t>
        </is>
      </c>
      <c r="I273" s="37" t="inlineStr">
        <is>
          <t>1</t>
        </is>
      </c>
      <c r="J273" s="37" t="inlineStr">
        <is>
          <t>ASME B1.20.3</t>
        </is>
      </c>
      <c r="K273" s="37" t="inlineStr">
        <is>
          <t>SAE J514-1</t>
        </is>
      </c>
      <c r="L273" s="37" t="n">
        <v>1.81</v>
      </c>
      <c r="M273" s="37" t="n">
        <v>1.78</v>
      </c>
      <c r="N273" s="37" t="n">
        <v>1.31</v>
      </c>
      <c r="O273" s="37" t="n">
        <v>0.84</v>
      </c>
      <c r="P273" s="37" t="n">
        <v>0.72</v>
      </c>
      <c r="Q273" s="37" t="n"/>
      <c r="R273" s="44" t="n"/>
      <c r="S273" s="45" t="n">
        <v>1.3125</v>
      </c>
      <c r="T273" s="37" t="n">
        <v>90</v>
      </c>
      <c r="U273" s="37" t="inlineStr">
        <is>
          <t>ASSUMED</t>
        </is>
      </c>
      <c r="V273" s="37" t="inlineStr">
        <is>
          <t>MS51504 cross-check 2026-09-04: B,M,N,D,D1 all AGREE (forged pattern).</t>
        </is>
      </c>
      <c r="W273" s="37" t="inlineStr">
        <is>
          <t>BUILD</t>
        </is>
      </c>
      <c r="X273" s="37" t="inlineStr">
        <is>
          <t>Dimensions verbatim from Air-Way, two reconciled passes. Hex/material/finish/pressure outstanding. | Single body hex 1 5/16 keyed to larger dash -16 (sources show hex follows larger end).</t>
        </is>
      </c>
      <c r="Z273" s="45" t="inlineStr">
        <is>
          <t>Carbon Steel</t>
        </is>
      </c>
      <c r="AA273" s="45" t="inlineStr">
        <is>
          <t>ASTM A108 12L14</t>
        </is>
      </c>
      <c r="AB273" s="45" t="inlineStr">
        <is>
          <t>Trivalent Cr3 Zinc</t>
        </is>
      </c>
      <c r="AC273" s="45" t="inlineStr">
        <is>
          <t>ASTM B633 Type V/VI</t>
        </is>
      </c>
      <c r="AD273" s="46" t="n">
        <v>3000</v>
      </c>
      <c r="AE273" s="46" t="inlineStr">
        <is>
          <t>generic SAE table @ dash -16 (governing end)</t>
        </is>
      </c>
      <c r="AF273" s="46" t="n">
        <v>-65</v>
      </c>
      <c r="AG273" s="46" t="n">
        <v>400</v>
      </c>
      <c r="AH273" s="37" t="inlineStr">
        <is>
          <t>Ham-Let + hoseandfittings (pressure); Parker Cat.4300 (material); ASTM B633 (finish); see StandardsData</t>
        </is>
      </c>
    </row>
    <row r="274" ht="15" customHeight="1" s="35">
      <c r="A274" s="37" t="inlineStr">
        <is>
          <t>2501-16-12</t>
        </is>
      </c>
      <c r="B274" s="37" t="inlineStr">
        <is>
          <t>2501-16-12</t>
        </is>
      </c>
      <c r="C274" s="37" t="inlineStr">
        <is>
          <t>2501</t>
        </is>
      </c>
      <c r="D274" s="37" t="n">
        <v>118</v>
      </c>
      <c r="E274" s="37" t="inlineStr">
        <is>
          <t>90 deg</t>
        </is>
      </c>
      <c r="F274" s="37" t="inlineStr">
        <is>
          <t>90 deg Male Elbow, 1 5/16-12 x 3/4-14</t>
        </is>
      </c>
      <c r="G274" s="37" t="inlineStr">
        <is>
          <t>3/4-14</t>
        </is>
      </c>
      <c r="H274" s="37" t="inlineStr">
        <is>
          <t>1 5/16-12</t>
        </is>
      </c>
      <c r="I274" s="37" t="inlineStr">
        <is>
          <t>1</t>
        </is>
      </c>
      <c r="J274" s="37" t="inlineStr">
        <is>
          <t>ASME B1.20.3</t>
        </is>
      </c>
      <c r="K274" s="37" t="inlineStr">
        <is>
          <t>SAE J514-1</t>
        </is>
      </c>
      <c r="L274" s="37" t="n">
        <v>1.81</v>
      </c>
      <c r="M274" s="37" t="n">
        <v>1.72</v>
      </c>
      <c r="N274" s="37" t="n">
        <v>1.38</v>
      </c>
      <c r="O274" s="37" t="n">
        <v>0.84</v>
      </c>
      <c r="P274" s="37" t="n">
        <v>0.72</v>
      </c>
      <c r="Q274" s="37" t="n"/>
      <c r="R274" s="44" t="n"/>
      <c r="S274" s="45" t="n">
        <v>1.3125</v>
      </c>
      <c r="T274" s="37" t="n">
        <v>90</v>
      </c>
      <c r="U274" s="37" t="inlineStr">
        <is>
          <t>ASSUMED</t>
        </is>
      </c>
      <c r="V274" s="37" t="inlineStr">
        <is>
          <t>Non-forged leg pattern; MS51504 covers the forged pattern (FG sibling matches MS). Air-Way single source for these legs.</t>
        </is>
      </c>
      <c r="W274" s="37" t="inlineStr">
        <is>
          <t>BUILD</t>
        </is>
      </c>
      <c r="X274" s="37" t="inlineStr">
        <is>
          <t>Dimensions verbatim from Air-Way, two reconciled passes. Hex/material/finish/pressure outstanding. | Single body hex 1 5/16 keyed to larger dash -16 (sources show hex follows larger end).</t>
        </is>
      </c>
      <c r="Z274" s="45" t="inlineStr">
        <is>
          <t>Carbon Steel</t>
        </is>
      </c>
      <c r="AA274" s="45" t="inlineStr">
        <is>
          <t>ASTM A108 12L14</t>
        </is>
      </c>
      <c r="AB274" s="45" t="inlineStr">
        <is>
          <t>Trivalent Cr3 Zinc</t>
        </is>
      </c>
      <c r="AC274" s="45" t="inlineStr">
        <is>
          <t>ASTM B633 Type V/VI</t>
        </is>
      </c>
      <c r="AD274" s="46" t="n">
        <v>3000</v>
      </c>
      <c r="AE274" s="46" t="inlineStr">
        <is>
          <t>generic SAE table @ dash -16 (governing end)</t>
        </is>
      </c>
      <c r="AF274" s="46" t="n">
        <v>-65</v>
      </c>
      <c r="AG274" s="46" t="n">
        <v>400</v>
      </c>
      <c r="AH274" s="37" t="inlineStr">
        <is>
          <t>Ham-Let + hoseandfittings (pressure); Parker Cat.4300 (material); ASTM B633 (finish); see StandardsData</t>
        </is>
      </c>
    </row>
    <row r="275" ht="15" customHeight="1" s="35">
      <c r="A275" s="37" t="inlineStr">
        <is>
          <t>2501-16-16-FG</t>
        </is>
      </c>
      <c r="B275" s="37" t="inlineStr">
        <is>
          <t>2501-16-16-FG</t>
        </is>
      </c>
      <c r="C275" s="37" t="inlineStr">
        <is>
          <t>2501</t>
        </is>
      </c>
      <c r="D275" s="37" t="n">
        <v>118</v>
      </c>
      <c r="E275" s="37" t="inlineStr">
        <is>
          <t>90 deg</t>
        </is>
      </c>
      <c r="F275" s="37" t="inlineStr">
        <is>
          <t>90 deg Male Elbow, 1 5/16-12 x 1-11 1/2</t>
        </is>
      </c>
      <c r="G275" s="37" t="inlineStr">
        <is>
          <t>1-11 1/2</t>
        </is>
      </c>
      <c r="H275" s="37" t="inlineStr">
        <is>
          <t>1 5/16-12</t>
        </is>
      </c>
      <c r="I275" s="37" t="inlineStr">
        <is>
          <t>1</t>
        </is>
      </c>
      <c r="J275" s="37" t="inlineStr">
        <is>
          <t>ASME B1.20.3</t>
        </is>
      </c>
      <c r="K275" s="37" t="inlineStr">
        <is>
          <t>SAE J514-1</t>
        </is>
      </c>
      <c r="L275" s="37" t="n">
        <v>1.81</v>
      </c>
      <c r="M275" s="37" t="n">
        <v>1.97</v>
      </c>
      <c r="N275" s="37" t="n">
        <v>1.31</v>
      </c>
      <c r="O275" s="37" t="n">
        <v>0.84</v>
      </c>
      <c r="P275" s="37" t="n">
        <v>0.9399999999999999</v>
      </c>
      <c r="Q275" s="37" t="n"/>
      <c r="R275" s="44" t="n"/>
      <c r="S275" s="45" t="n">
        <v>1.3125</v>
      </c>
      <c r="T275" s="37" t="n">
        <v>90</v>
      </c>
      <c r="U275" s="37" t="inlineStr">
        <is>
          <t>ASSUMED</t>
        </is>
      </c>
      <c r="V275" s="37" t="inlineStr">
        <is>
          <t>MS51504 cross-check 2026-09-04: B,M,N,D,D1 all AGREE (forged pattern).</t>
        </is>
      </c>
      <c r="W275" s="37" t="inlineStr">
        <is>
          <t>BUILD</t>
        </is>
      </c>
      <c r="X275" s="37" t="inlineStr">
        <is>
          <t>Dimensions verbatim from Air-Way, two reconciled passes. Hex/material/finish/pressure outstanding. | Single body hex 1 5/16 keyed to larger dash -16 (sources show hex follows larger end).</t>
        </is>
      </c>
      <c r="Z275" s="45" t="inlineStr">
        <is>
          <t>Carbon Steel</t>
        </is>
      </c>
      <c r="AA275" s="45" t="inlineStr">
        <is>
          <t>ASTM A108 12L14</t>
        </is>
      </c>
      <c r="AB275" s="45" t="inlineStr">
        <is>
          <t>Trivalent Cr3 Zinc</t>
        </is>
      </c>
      <c r="AC275" s="45" t="inlineStr">
        <is>
          <t>ASTM B633 Type V/VI</t>
        </is>
      </c>
      <c r="AD275" s="46" t="n">
        <v>3000</v>
      </c>
      <c r="AE275" s="46" t="inlineStr">
        <is>
          <t>generic SAE table @ dash -16 (governing end)</t>
        </is>
      </c>
      <c r="AF275" s="46" t="n">
        <v>-65</v>
      </c>
      <c r="AG275" s="46" t="n">
        <v>400</v>
      </c>
      <c r="AH275" s="37" t="inlineStr">
        <is>
          <t>Ham-Let + hoseandfittings (pressure); Parker Cat.4300 (material); ASTM B633 (finish); see StandardsData</t>
        </is>
      </c>
    </row>
    <row r="276" ht="15" customHeight="1" s="35">
      <c r="A276" s="37" t="inlineStr">
        <is>
          <t>2501-16-16</t>
        </is>
      </c>
      <c r="B276" s="37" t="inlineStr">
        <is>
          <t>2501-16-16</t>
        </is>
      </c>
      <c r="C276" s="37" t="inlineStr">
        <is>
          <t>2501</t>
        </is>
      </c>
      <c r="D276" s="37" t="n">
        <v>118</v>
      </c>
      <c r="E276" s="37" t="inlineStr">
        <is>
          <t>90 deg</t>
        </is>
      </c>
      <c r="F276" s="37" t="inlineStr">
        <is>
          <t>90 deg Male Elbow, 1 5/16-12 x 1-11 1/2</t>
        </is>
      </c>
      <c r="G276" s="37" t="inlineStr">
        <is>
          <t>1-11 1/2</t>
        </is>
      </c>
      <c r="H276" s="37" t="inlineStr">
        <is>
          <t>1 5/16-12</t>
        </is>
      </c>
      <c r="I276" s="37" t="inlineStr">
        <is>
          <t>1</t>
        </is>
      </c>
      <c r="J276" s="37" t="inlineStr">
        <is>
          <t>ASME B1.20.3</t>
        </is>
      </c>
      <c r="K276" s="37" t="inlineStr">
        <is>
          <t>SAE J514-1</t>
        </is>
      </c>
      <c r="L276" s="37" t="n">
        <v>1.81</v>
      </c>
      <c r="M276" s="37" t="n">
        <v>1.97</v>
      </c>
      <c r="N276" s="37" t="n">
        <v>1.38</v>
      </c>
      <c r="O276" s="37" t="n">
        <v>0.84</v>
      </c>
      <c r="P276" s="37" t="n">
        <v>0.9399999999999999</v>
      </c>
      <c r="Q276" s="37" t="n"/>
      <c r="R276" s="44" t="n"/>
      <c r="S276" s="45" t="n">
        <v>1.3125</v>
      </c>
      <c r="T276" s="37" t="n">
        <v>90</v>
      </c>
      <c r="U276" s="37" t="inlineStr">
        <is>
          <t>ASSUMED</t>
        </is>
      </c>
      <c r="V276" s="37" t="inlineStr">
        <is>
          <t>Non-forged leg pattern; MS51504 covers the forged pattern (FG sibling matches MS). Air-Way single source for these legs.</t>
        </is>
      </c>
      <c r="W276" s="37" t="inlineStr">
        <is>
          <t>BUILD</t>
        </is>
      </c>
      <c r="X276" s="37" t="inlineStr">
        <is>
          <t>Dimensions verbatim from Air-Way, two reconciled passes. Hex/material/finish/pressure outstanding. | Single body hex 1 5/16 keyed to larger dash -16 (sources show hex follows larger end).</t>
        </is>
      </c>
      <c r="Z276" s="45" t="inlineStr">
        <is>
          <t>Carbon Steel</t>
        </is>
      </c>
      <c r="AA276" s="45" t="inlineStr">
        <is>
          <t>ASTM A108 12L14</t>
        </is>
      </c>
      <c r="AB276" s="45" t="inlineStr">
        <is>
          <t>Trivalent Cr3 Zinc</t>
        </is>
      </c>
      <c r="AC276" s="45" t="inlineStr">
        <is>
          <t>ASTM B633 Type V/VI</t>
        </is>
      </c>
      <c r="AD276" s="46" t="n">
        <v>3000</v>
      </c>
      <c r="AE276" s="46" t="inlineStr">
        <is>
          <t>generic SAE table @ dash -16 (governing end)</t>
        </is>
      </c>
      <c r="AF276" s="46" t="n">
        <v>-65</v>
      </c>
      <c r="AG276" s="46" t="n">
        <v>400</v>
      </c>
      <c r="AH276" s="37" t="inlineStr">
        <is>
          <t>Ham-Let + hoseandfittings (pressure); Parker Cat.4300 (material); ASTM B633 (finish); see StandardsData</t>
        </is>
      </c>
    </row>
    <row r="277" ht="15" customHeight="1" s="35">
      <c r="A277" s="37" t="inlineStr">
        <is>
          <t>2501-16-20-FG</t>
        </is>
      </c>
      <c r="B277" s="37" t="inlineStr">
        <is>
          <t>2501-16-20-FG</t>
        </is>
      </c>
      <c r="C277" s="37" t="inlineStr">
        <is>
          <t>2501</t>
        </is>
      </c>
      <c r="D277" s="37" t="n">
        <v>118</v>
      </c>
      <c r="E277" s="37" t="inlineStr">
        <is>
          <t>90 deg</t>
        </is>
      </c>
      <c r="F277" s="37" t="inlineStr">
        <is>
          <t>90 deg Male Elbow, 1 5/16-12 x 1 1/4-11 1/2</t>
        </is>
      </c>
      <c r="G277" s="37" t="inlineStr">
        <is>
          <t>1 1/4-11 1/2</t>
        </is>
      </c>
      <c r="H277" s="37" t="inlineStr">
        <is>
          <t>1 5/16-12</t>
        </is>
      </c>
      <c r="I277" s="37" t="inlineStr">
        <is>
          <t>1</t>
        </is>
      </c>
      <c r="J277" s="37" t="inlineStr">
        <is>
          <t>ASME B1.20.3</t>
        </is>
      </c>
      <c r="K277" s="37" t="inlineStr">
        <is>
          <t>SAE J514-1</t>
        </is>
      </c>
      <c r="L277" s="37" t="n">
        <v>2.01</v>
      </c>
      <c r="M277" s="37" t="n">
        <v>2.38</v>
      </c>
      <c r="N277" s="37" t="n">
        <v>1.63</v>
      </c>
      <c r="O277" s="37" t="n">
        <v>0.84</v>
      </c>
      <c r="P277" s="37" t="n">
        <v>1.25</v>
      </c>
      <c r="Q277" s="37" t="n"/>
      <c r="R277" s="44" t="n"/>
      <c r="S277" s="45" t="n">
        <v>1.625</v>
      </c>
      <c r="T277" s="37" t="n">
        <v>90</v>
      </c>
      <c r="U277" s="37" t="inlineStr">
        <is>
          <t>ASSUMED</t>
        </is>
      </c>
      <c r="V277" s="37" t="inlineStr">
        <is>
          <t>MS51504 has no row for this size combo; Air-Way remains single source.</t>
        </is>
      </c>
      <c r="W277" s="37" t="inlineStr">
        <is>
          <t>BUILD</t>
        </is>
      </c>
      <c r="X277" s="37" t="inlineStr">
        <is>
          <t>Dimensions verbatim from Air-Way, two reconciled passes. Hex/material/finish/pressure outstanding. | Single body hex 1 5/8 keyed to larger dash -20 (sources show hex follows larger end).</t>
        </is>
      </c>
      <c r="Z277" s="45" t="inlineStr">
        <is>
          <t>Carbon Steel</t>
        </is>
      </c>
      <c r="AA277" s="45" t="inlineStr">
        <is>
          <t>ASTM A108 12L14</t>
        </is>
      </c>
      <c r="AB277" s="45" t="inlineStr">
        <is>
          <t>Trivalent Cr3 Zinc</t>
        </is>
      </c>
      <c r="AC277" s="45" t="inlineStr">
        <is>
          <t>ASTM B633 Type V/VI</t>
        </is>
      </c>
      <c r="AD277" s="46" t="n">
        <v>2500</v>
      </c>
      <c r="AE277" s="46" t="inlineStr">
        <is>
          <t>generic SAE table @ dash -20 (governing end)</t>
        </is>
      </c>
      <c r="AF277" s="46" t="n">
        <v>-65</v>
      </c>
      <c r="AG277" s="46" t="n">
        <v>400</v>
      </c>
      <c r="AH277" s="37" t="inlineStr">
        <is>
          <t>Ham-Let + hoseandfittings (pressure); Parker Cat.4300 (material); ASTM B633 (finish); see StandardsData</t>
        </is>
      </c>
    </row>
    <row r="278" ht="15" customHeight="1" s="35">
      <c r="A278" s="37" t="inlineStr">
        <is>
          <t>2501-16-20</t>
        </is>
      </c>
      <c r="B278" s="37" t="inlineStr">
        <is>
          <t>2501-16-20</t>
        </is>
      </c>
      <c r="C278" s="37" t="inlineStr">
        <is>
          <t>2501</t>
        </is>
      </c>
      <c r="D278" s="37" t="n">
        <v>118</v>
      </c>
      <c r="E278" s="37" t="inlineStr">
        <is>
          <t>90 deg</t>
        </is>
      </c>
      <c r="F278" s="37" t="inlineStr">
        <is>
          <t>90 deg Male Elbow, 1 5/16-12 x 1 1/4-11 1/2</t>
        </is>
      </c>
      <c r="G278" s="37" t="inlineStr">
        <is>
          <t>1 1/4-11 1/2</t>
        </is>
      </c>
      <c r="H278" s="37" t="inlineStr">
        <is>
          <t>1 5/16-12</t>
        </is>
      </c>
      <c r="I278" s="37" t="inlineStr">
        <is>
          <t>1</t>
        </is>
      </c>
      <c r="J278" s="37" t="inlineStr">
        <is>
          <t>ASME B1.20.3</t>
        </is>
      </c>
      <c r="K278" s="37" t="inlineStr">
        <is>
          <t>SAE J514-1</t>
        </is>
      </c>
      <c r="L278" s="37" t="n">
        <v>2</v>
      </c>
      <c r="M278" s="37" t="n">
        <v>2.38</v>
      </c>
      <c r="N278" s="37" t="n">
        <v>1.75</v>
      </c>
      <c r="O278" s="37" t="n">
        <v>0.84</v>
      </c>
      <c r="P278" s="37" t="n">
        <v>1.25</v>
      </c>
      <c r="Q278" s="37" t="n"/>
      <c r="R278" s="44" t="n"/>
      <c r="S278" s="45" t="n">
        <v>1.625</v>
      </c>
      <c r="T278" s="37" t="n">
        <v>90</v>
      </c>
      <c r="U278" s="37" t="inlineStr">
        <is>
          <t>ASSUMED</t>
        </is>
      </c>
      <c r="V278" s="37" t="inlineStr">
        <is>
          <t>MS51504 has no row for this size combo; Air-Way remains single source.</t>
        </is>
      </c>
      <c r="W278" s="37" t="inlineStr">
        <is>
          <t>BUILD</t>
        </is>
      </c>
      <c r="X278" s="37" t="inlineStr">
        <is>
          <t>Dimensions verbatim from Air-Way, two reconciled passes. Hex/material/finish/pressure outstanding. | Single body hex 1 5/8 keyed to larger dash -20 (sources show hex follows larger end).</t>
        </is>
      </c>
      <c r="Z278" s="45" t="inlineStr">
        <is>
          <t>Carbon Steel</t>
        </is>
      </c>
      <c r="AA278" s="45" t="inlineStr">
        <is>
          <t>ASTM A108 12L14</t>
        </is>
      </c>
      <c r="AB278" s="45" t="inlineStr">
        <is>
          <t>Trivalent Cr3 Zinc</t>
        </is>
      </c>
      <c r="AC278" s="45" t="inlineStr">
        <is>
          <t>ASTM B633 Type V/VI</t>
        </is>
      </c>
      <c r="AD278" s="46" t="n">
        <v>2500</v>
      </c>
      <c r="AE278" s="46" t="inlineStr">
        <is>
          <t>generic SAE table @ dash -20 (governing end)</t>
        </is>
      </c>
      <c r="AF278" s="46" t="n">
        <v>-65</v>
      </c>
      <c r="AG278" s="46" t="n">
        <v>400</v>
      </c>
      <c r="AH278" s="37" t="inlineStr">
        <is>
          <t>Ham-Let + hoseandfittings (pressure); Parker Cat.4300 (material); ASTM B633 (finish); see StandardsData</t>
        </is>
      </c>
    </row>
    <row r="279" ht="15" customHeight="1" s="35">
      <c r="A279" s="37" t="inlineStr">
        <is>
          <t>2501-16-24</t>
        </is>
      </c>
      <c r="B279" s="37" t="inlineStr">
        <is>
          <t>2501-16-24</t>
        </is>
      </c>
      <c r="C279" s="37" t="inlineStr">
        <is>
          <t>2501</t>
        </is>
      </c>
      <c r="D279" s="37" t="n">
        <v>118</v>
      </c>
      <c r="E279" s="37" t="inlineStr">
        <is>
          <t>90 deg</t>
        </is>
      </c>
      <c r="F279" s="37" t="inlineStr">
        <is>
          <t>90 deg Male Elbow, 1 5/16-12 x 1 1/2-11 1/2</t>
        </is>
      </c>
      <c r="G279" s="37" t="inlineStr">
        <is>
          <t>1 1/2-11 1/2</t>
        </is>
      </c>
      <c r="H279" s="37" t="inlineStr">
        <is>
          <t>1 5/16-12</t>
        </is>
      </c>
      <c r="I279" s="37" t="inlineStr">
        <is>
          <t>1</t>
        </is>
      </c>
      <c r="J279" s="37" t="inlineStr">
        <is>
          <t>ASME B1.20.3</t>
        </is>
      </c>
      <c r="K279" s="37" t="inlineStr">
        <is>
          <t>SAE J514-1</t>
        </is>
      </c>
      <c r="L279" s="37" t="n">
        <v>2.13</v>
      </c>
      <c r="M279" s="37" t="n">
        <v>2.64</v>
      </c>
      <c r="N279" s="37" t="n">
        <v>2</v>
      </c>
      <c r="O279" s="37" t="n">
        <v>0.84</v>
      </c>
      <c r="P279" s="37" t="n">
        <v>1.5</v>
      </c>
      <c r="Q279" s="37" t="n"/>
      <c r="R279" s="44" t="n"/>
      <c r="S279" s="45" t="n">
        <v>1.875</v>
      </c>
      <c r="T279" s="37" t="n">
        <v>90</v>
      </c>
      <c r="U279" s="37" t="inlineStr">
        <is>
          <t>ASSUMED</t>
        </is>
      </c>
      <c r="V279" s="37" t="inlineStr">
        <is>
          <t>MS51504 has no row for this size combo; Air-Way remains single source.</t>
        </is>
      </c>
      <c r="W279" s="37" t="inlineStr">
        <is>
          <t>BUILD</t>
        </is>
      </c>
      <c r="X279" s="37" t="inlineStr">
        <is>
          <t>Dimensions verbatim from Air-Way, two reconciled passes. Hex/material/finish/pressure outstanding. | Single body hex 1 7/8 keyed to larger dash -24 (sources show hex follows larger end).</t>
        </is>
      </c>
      <c r="Z279" s="45" t="inlineStr">
        <is>
          <t>Carbon Steel</t>
        </is>
      </c>
      <c r="AA279" s="45" t="inlineStr">
        <is>
          <t>ASTM A108 12L14</t>
        </is>
      </c>
      <c r="AB279" s="45" t="inlineStr">
        <is>
          <t>Trivalent Cr3 Zinc</t>
        </is>
      </c>
      <c r="AC279" s="45" t="inlineStr">
        <is>
          <t>ASTM B633 Type V/VI</t>
        </is>
      </c>
      <c r="AD279" s="46" t="n">
        <v>2000</v>
      </c>
      <c r="AE279" s="46" t="inlineStr">
        <is>
          <t>generic SAE table @ dash -24 (governing end)</t>
        </is>
      </c>
      <c r="AF279" s="46" t="n">
        <v>-65</v>
      </c>
      <c r="AG279" s="46" t="n">
        <v>400</v>
      </c>
      <c r="AH279" s="37" t="inlineStr">
        <is>
          <t>Ham-Let + hoseandfittings (pressure); Parker Cat.4300 (material); ASTM B633 (finish); see StandardsData</t>
        </is>
      </c>
    </row>
    <row r="280" ht="15" customHeight="1" s="35">
      <c r="A280" s="37" t="inlineStr">
        <is>
          <t>2501-20-12</t>
        </is>
      </c>
      <c r="B280" s="37" t="inlineStr">
        <is>
          <t>2501-20-12</t>
        </is>
      </c>
      <c r="C280" s="37" t="inlineStr">
        <is>
          <t>2501</t>
        </is>
      </c>
      <c r="D280" s="37" t="n">
        <v>118</v>
      </c>
      <c r="E280" s="37" t="inlineStr">
        <is>
          <t>90 deg</t>
        </is>
      </c>
      <c r="F280" s="37" t="inlineStr">
        <is>
          <t>90 deg Male Elbow, 1 5/8-12 x 3/4-14</t>
        </is>
      </c>
      <c r="G280" s="37" t="inlineStr">
        <is>
          <t>3/4-14</t>
        </is>
      </c>
      <c r="H280" s="37" t="inlineStr">
        <is>
          <t>1 5/8-12</t>
        </is>
      </c>
      <c r="I280" s="37" t="inlineStr">
        <is>
          <t>1 1/4</t>
        </is>
      </c>
      <c r="J280" s="37" t="inlineStr">
        <is>
          <t>ASME B1.20.3</t>
        </is>
      </c>
      <c r="K280" s="37" t="inlineStr">
        <is>
          <t>SAE J514-1</t>
        </is>
      </c>
      <c r="L280" s="37" t="n">
        <v>2.06</v>
      </c>
      <c r="M280" s="37" t="n">
        <v>1.91</v>
      </c>
      <c r="N280" s="37" t="n">
        <v>1.75</v>
      </c>
      <c r="O280" s="37" t="n">
        <v>1.08</v>
      </c>
      <c r="P280" s="37" t="n">
        <v>0.72</v>
      </c>
      <c r="Q280" s="37" t="n"/>
      <c r="R280" s="44" t="n"/>
      <c r="S280" s="45" t="n">
        <v>1.625</v>
      </c>
      <c r="T280" s="37" t="n">
        <v>90</v>
      </c>
      <c r="U280" s="37" t="inlineStr">
        <is>
          <t>ASSUMED</t>
        </is>
      </c>
      <c r="V280" s="37" t="inlineStr">
        <is>
          <t>MS51504 has no row for this size combo; Air-Way remains single source.</t>
        </is>
      </c>
      <c r="W280" s="37" t="inlineStr">
        <is>
          <t>BUILD</t>
        </is>
      </c>
      <c r="X280" s="37" t="inlineStr">
        <is>
          <t>Dimensions verbatim from Air-Way, two reconciled passes. Hex/material/finish/pressure outstanding. | Single body hex 1 5/8 keyed to larger dash -20 (sources show hex follows larger end).</t>
        </is>
      </c>
      <c r="Z280" s="45" t="inlineStr">
        <is>
          <t>Carbon Steel</t>
        </is>
      </c>
      <c r="AA280" s="45" t="inlineStr">
        <is>
          <t>ASTM A108 12L14</t>
        </is>
      </c>
      <c r="AB280" s="45" t="inlineStr">
        <is>
          <t>Trivalent Cr3 Zinc</t>
        </is>
      </c>
      <c r="AC280" s="45" t="inlineStr">
        <is>
          <t>ASTM B633 Type V/VI</t>
        </is>
      </c>
      <c r="AD280" s="46" t="n">
        <v>2500</v>
      </c>
      <c r="AE280" s="46" t="inlineStr">
        <is>
          <t>generic SAE table @ dash -20 (governing end)</t>
        </is>
      </c>
      <c r="AF280" s="46" t="n">
        <v>-65</v>
      </c>
      <c r="AG280" s="46" t="n">
        <v>400</v>
      </c>
      <c r="AH280" s="37" t="inlineStr">
        <is>
          <t>Ham-Let + hoseandfittings (pressure); Parker Cat.4300 (material); ASTM B633 (finish); see StandardsData</t>
        </is>
      </c>
    </row>
    <row r="281" ht="15" customHeight="1" s="35">
      <c r="A281" s="37" t="inlineStr">
        <is>
          <t>2501-20-16-FG</t>
        </is>
      </c>
      <c r="B281" s="37" t="inlineStr">
        <is>
          <t>2501-20-16-FG</t>
        </is>
      </c>
      <c r="C281" s="37" t="inlineStr">
        <is>
          <t>2501</t>
        </is>
      </c>
      <c r="D281" s="37" t="n">
        <v>118</v>
      </c>
      <c r="E281" s="37" t="inlineStr">
        <is>
          <t>90 deg</t>
        </is>
      </c>
      <c r="F281" s="37" t="inlineStr">
        <is>
          <t>90 deg Male Elbow, 1 5/8-12 x 1-11 1/2</t>
        </is>
      </c>
      <c r="G281" s="37" t="inlineStr">
        <is>
          <t>1-11 1/2</t>
        </is>
      </c>
      <c r="H281" s="37" t="inlineStr">
        <is>
          <t>1 5/8-12</t>
        </is>
      </c>
      <c r="I281" s="37" t="inlineStr">
        <is>
          <t>1 1/4</t>
        </is>
      </c>
      <c r="J281" s="37" t="inlineStr">
        <is>
          <t>ASME B1.20.3</t>
        </is>
      </c>
      <c r="K281" s="37" t="inlineStr">
        <is>
          <t>SAE J514-1</t>
        </is>
      </c>
      <c r="L281" s="37" t="n">
        <v>2.06</v>
      </c>
      <c r="M281" s="37" t="n">
        <v>2.35</v>
      </c>
      <c r="N281" s="37" t="n">
        <v>1.63</v>
      </c>
      <c r="O281" s="37" t="n">
        <v>1.08</v>
      </c>
      <c r="P281" s="37" t="n">
        <v>0.9399999999999999</v>
      </c>
      <c r="Q281" s="37" t="n"/>
      <c r="R281" s="44" t="n"/>
      <c r="S281" s="45" t="n">
        <v>1.625</v>
      </c>
      <c r="T281" s="37" t="n">
        <v>90</v>
      </c>
      <c r="U281" s="37" t="inlineStr">
        <is>
          <t>ASSUMED</t>
        </is>
      </c>
      <c r="V281" s="37" t="inlineStr">
        <is>
          <t>MS51504 has no row for this size combo; Air-Way remains single source.</t>
        </is>
      </c>
      <c r="W281" s="37" t="inlineStr">
        <is>
          <t>BUILD</t>
        </is>
      </c>
      <c r="X281" s="37" t="inlineStr">
        <is>
          <t>Dimensions verbatim from Air-Way, two reconciled passes. Hex/material/finish/pressure outstanding. | Single body hex 1 5/8 keyed to larger dash -20 (sources show hex follows larger end).</t>
        </is>
      </c>
      <c r="Z281" s="45" t="inlineStr">
        <is>
          <t>Carbon Steel</t>
        </is>
      </c>
      <c r="AA281" s="45" t="inlineStr">
        <is>
          <t>ASTM A108 12L14</t>
        </is>
      </c>
      <c r="AB281" s="45" t="inlineStr">
        <is>
          <t>Trivalent Cr3 Zinc</t>
        </is>
      </c>
      <c r="AC281" s="45" t="inlineStr">
        <is>
          <t>ASTM B633 Type V/VI</t>
        </is>
      </c>
      <c r="AD281" s="46" t="n">
        <v>2500</v>
      </c>
      <c r="AE281" s="46" t="inlineStr">
        <is>
          <t>generic SAE table @ dash -20 (governing end)</t>
        </is>
      </c>
      <c r="AF281" s="46" t="n">
        <v>-65</v>
      </c>
      <c r="AG281" s="46" t="n">
        <v>400</v>
      </c>
      <c r="AH281" s="37" t="inlineStr">
        <is>
          <t>Ham-Let + hoseandfittings (pressure); Parker Cat.4300 (material); ASTM B633 (finish); see StandardsData</t>
        </is>
      </c>
    </row>
    <row r="282" ht="15" customHeight="1" s="35">
      <c r="A282" s="37" t="inlineStr">
        <is>
          <t>2501-20-16</t>
        </is>
      </c>
      <c r="B282" s="37" t="inlineStr">
        <is>
          <t>2501-20-16</t>
        </is>
      </c>
      <c r="C282" s="37" t="inlineStr">
        <is>
          <t>2501</t>
        </is>
      </c>
      <c r="D282" s="37" t="n">
        <v>118</v>
      </c>
      <c r="E282" s="37" t="inlineStr">
        <is>
          <t>90 deg</t>
        </is>
      </c>
      <c r="F282" s="37" t="inlineStr">
        <is>
          <t>90 deg Male Elbow, 1 5/8-12 x 1-11 1/2</t>
        </is>
      </c>
      <c r="G282" s="37" t="inlineStr">
        <is>
          <t>1-11 1/2</t>
        </is>
      </c>
      <c r="H282" s="37" t="inlineStr">
        <is>
          <t>1 5/8-12</t>
        </is>
      </c>
      <c r="I282" s="37" t="inlineStr">
        <is>
          <t>1 1/4</t>
        </is>
      </c>
      <c r="J282" s="37" t="inlineStr">
        <is>
          <t>ASME B1.20.3</t>
        </is>
      </c>
      <c r="K282" s="37" t="inlineStr">
        <is>
          <t>SAE J514-1</t>
        </is>
      </c>
      <c r="L282" s="37" t="n">
        <v>2.06</v>
      </c>
      <c r="M282" s="37" t="n">
        <v>2.16</v>
      </c>
      <c r="N282" s="37" t="n">
        <v>1.75</v>
      </c>
      <c r="O282" s="37" t="n">
        <v>1.08</v>
      </c>
      <c r="P282" s="37" t="n">
        <v>0.9399999999999999</v>
      </c>
      <c r="Q282" s="37" t="n"/>
      <c r="R282" s="44" t="n"/>
      <c r="S282" s="45" t="n">
        <v>1.625</v>
      </c>
      <c r="T282" s="37" t="n">
        <v>90</v>
      </c>
      <c r="U282" s="37" t="inlineStr">
        <is>
          <t>ASSUMED</t>
        </is>
      </c>
      <c r="V282" s="37" t="inlineStr">
        <is>
          <t>MS51504 has no row for this size combo; Air-Way remains single source.</t>
        </is>
      </c>
      <c r="W282" s="37" t="inlineStr">
        <is>
          <t>BUILD</t>
        </is>
      </c>
      <c r="X282" s="37" t="inlineStr">
        <is>
          <t>Dimensions verbatim from Air-Way, two reconciled passes. Hex/material/finish/pressure outstanding. | Single body hex 1 5/8 keyed to larger dash -20 (sources show hex follows larger end).</t>
        </is>
      </c>
      <c r="Z282" s="45" t="inlineStr">
        <is>
          <t>Carbon Steel</t>
        </is>
      </c>
      <c r="AA282" s="45" t="inlineStr">
        <is>
          <t>ASTM A108 12L14</t>
        </is>
      </c>
      <c r="AB282" s="45" t="inlineStr">
        <is>
          <t>Trivalent Cr3 Zinc</t>
        </is>
      </c>
      <c r="AC282" s="45" t="inlineStr">
        <is>
          <t>ASTM B633 Type V/VI</t>
        </is>
      </c>
      <c r="AD282" s="46" t="n">
        <v>2500</v>
      </c>
      <c r="AE282" s="46" t="inlineStr">
        <is>
          <t>generic SAE table @ dash -20 (governing end)</t>
        </is>
      </c>
      <c r="AF282" s="46" t="n">
        <v>-65</v>
      </c>
      <c r="AG282" s="46" t="n">
        <v>400</v>
      </c>
      <c r="AH282" s="37" t="inlineStr">
        <is>
          <t>Ham-Let + hoseandfittings (pressure); Parker Cat.4300 (material); ASTM B633 (finish); see StandardsData</t>
        </is>
      </c>
    </row>
    <row r="283" ht="15" customHeight="1" s="35">
      <c r="A283" s="37" t="inlineStr">
        <is>
          <t>2501-20-20-FG</t>
        </is>
      </c>
      <c r="B283" s="37" t="inlineStr">
        <is>
          <t>2501-20-20-FG</t>
        </is>
      </c>
      <c r="C283" s="37" t="inlineStr">
        <is>
          <t>2501</t>
        </is>
      </c>
      <c r="D283" s="37" t="n">
        <v>118</v>
      </c>
      <c r="E283" s="37" t="inlineStr">
        <is>
          <t>90 deg</t>
        </is>
      </c>
      <c r="F283" s="37" t="inlineStr">
        <is>
          <t>90 deg Male Elbow, 1 5/8-12 x 1 1/4-11 1/2</t>
        </is>
      </c>
      <c r="G283" s="37" t="inlineStr">
        <is>
          <t>1 1/4-11 1/2</t>
        </is>
      </c>
      <c r="H283" s="37" t="inlineStr">
        <is>
          <t>1 5/8-12</t>
        </is>
      </c>
      <c r="I283" s="37" t="inlineStr">
        <is>
          <t>1 1/4</t>
        </is>
      </c>
      <c r="J283" s="37" t="inlineStr">
        <is>
          <t>ASME B1.20.3</t>
        </is>
      </c>
      <c r="K283" s="37" t="inlineStr">
        <is>
          <t>SAE J514-1</t>
        </is>
      </c>
      <c r="L283" s="37" t="n">
        <v>2.06</v>
      </c>
      <c r="M283" s="37" t="n">
        <v>2.38</v>
      </c>
      <c r="N283" s="37" t="n">
        <v>1.63</v>
      </c>
      <c r="O283" s="37" t="n">
        <v>1.08</v>
      </c>
      <c r="P283" s="37" t="n">
        <v>1.25</v>
      </c>
      <c r="Q283" s="37" t="n"/>
      <c r="R283" s="44" t="n"/>
      <c r="S283" s="45" t="n">
        <v>1.625</v>
      </c>
      <c r="T283" s="37" t="n">
        <v>90</v>
      </c>
      <c r="U283" s="37" t="inlineStr">
        <is>
          <t>ASSUMED</t>
        </is>
      </c>
      <c r="V283" s="37" t="inlineStr">
        <is>
          <t>MS51504 cross-check 2026-09-04: B,M,N,D,D1 all AGREE (forged pattern).</t>
        </is>
      </c>
      <c r="W283" s="37" t="inlineStr">
        <is>
          <t>BUILD</t>
        </is>
      </c>
      <c r="X283" s="37" t="inlineStr">
        <is>
          <t>Dimensions verbatim from Air-Way, two reconciled passes. Hex/material/finish/pressure outstanding. | Single body hex 1 5/8 keyed to larger dash -20 (sources show hex follows larger end).</t>
        </is>
      </c>
      <c r="Z283" s="45" t="inlineStr">
        <is>
          <t>Carbon Steel</t>
        </is>
      </c>
      <c r="AA283" s="45" t="inlineStr">
        <is>
          <t>ASTM A108 12L14</t>
        </is>
      </c>
      <c r="AB283" s="45" t="inlineStr">
        <is>
          <t>Trivalent Cr3 Zinc</t>
        </is>
      </c>
      <c r="AC283" s="45" t="inlineStr">
        <is>
          <t>ASTM B633 Type V/VI</t>
        </is>
      </c>
      <c r="AD283" s="46" t="n">
        <v>2500</v>
      </c>
      <c r="AE283" s="46" t="inlineStr">
        <is>
          <t>generic SAE table @ dash -20 (governing end)</t>
        </is>
      </c>
      <c r="AF283" s="46" t="n">
        <v>-65</v>
      </c>
      <c r="AG283" s="46" t="n">
        <v>400</v>
      </c>
      <c r="AH283" s="37" t="inlineStr">
        <is>
          <t>Ham-Let + hoseandfittings (pressure); Parker Cat.4300 (material); ASTM B633 (finish); see StandardsData</t>
        </is>
      </c>
    </row>
    <row r="284" ht="15" customHeight="1" s="35">
      <c r="A284" s="37" t="inlineStr">
        <is>
          <t>2501-20-20</t>
        </is>
      </c>
      <c r="B284" s="37" t="inlineStr">
        <is>
          <t>2501-20-20</t>
        </is>
      </c>
      <c r="C284" s="37" t="inlineStr">
        <is>
          <t>2501</t>
        </is>
      </c>
      <c r="D284" s="37" t="n">
        <v>118</v>
      </c>
      <c r="E284" s="37" t="inlineStr">
        <is>
          <t>90 deg</t>
        </is>
      </c>
      <c r="F284" s="37" t="inlineStr">
        <is>
          <t>90 deg Male Elbow, 1 5/8-12 x 1 1/4-11 1/2</t>
        </is>
      </c>
      <c r="G284" s="37" t="inlineStr">
        <is>
          <t>1 1/4-11 1/2</t>
        </is>
      </c>
      <c r="H284" s="37" t="inlineStr">
        <is>
          <t>1 5/8-12</t>
        </is>
      </c>
      <c r="I284" s="37" t="inlineStr">
        <is>
          <t>1 1/4</t>
        </is>
      </c>
      <c r="J284" s="37" t="inlineStr">
        <is>
          <t>ASME B1.20.3</t>
        </is>
      </c>
      <c r="K284" s="37" t="inlineStr">
        <is>
          <t>SAE J514-1</t>
        </is>
      </c>
      <c r="L284" s="37" t="n">
        <v>2.06</v>
      </c>
      <c r="M284" s="37" t="n">
        <v>2.38</v>
      </c>
      <c r="N284" s="37" t="n">
        <v>1.75</v>
      </c>
      <c r="O284" s="37" t="n">
        <v>1.08</v>
      </c>
      <c r="P284" s="37" t="n">
        <v>1.25</v>
      </c>
      <c r="Q284" s="37" t="n"/>
      <c r="R284" s="44" t="n"/>
      <c r="S284" s="45" t="n">
        <v>1.625</v>
      </c>
      <c r="T284" s="37" t="n">
        <v>90</v>
      </c>
      <c r="U284" s="37" t="inlineStr">
        <is>
          <t>ASSUMED</t>
        </is>
      </c>
      <c r="V284" s="37" t="inlineStr">
        <is>
          <t>Non-forged leg pattern; MS51504 covers the forged pattern (FG sibling matches MS). Air-Way single source for these legs.</t>
        </is>
      </c>
      <c r="W284" s="37" t="inlineStr">
        <is>
          <t>BUILD</t>
        </is>
      </c>
      <c r="X284" s="37" t="inlineStr">
        <is>
          <t>Dimensions verbatim from Air-Way, two reconciled passes. Hex/material/finish/pressure outstanding. | Single body hex 1 5/8 keyed to larger dash -20 (sources show hex follows larger end).</t>
        </is>
      </c>
      <c r="Z284" s="45" t="inlineStr">
        <is>
          <t>Carbon Steel</t>
        </is>
      </c>
      <c r="AA284" s="45" t="inlineStr">
        <is>
          <t>ASTM A108 12L14</t>
        </is>
      </c>
      <c r="AB284" s="45" t="inlineStr">
        <is>
          <t>Trivalent Cr3 Zinc</t>
        </is>
      </c>
      <c r="AC284" s="45" t="inlineStr">
        <is>
          <t>ASTM B633 Type V/VI</t>
        </is>
      </c>
      <c r="AD284" s="46" t="n">
        <v>2500</v>
      </c>
      <c r="AE284" s="46" t="inlineStr">
        <is>
          <t>generic SAE table @ dash -20 (governing end)</t>
        </is>
      </c>
      <c r="AF284" s="46" t="n">
        <v>-65</v>
      </c>
      <c r="AG284" s="46" t="n">
        <v>400</v>
      </c>
      <c r="AH284" s="37" t="inlineStr">
        <is>
          <t>Ham-Let + hoseandfittings (pressure); Parker Cat.4300 (material); ASTM B633 (finish); see StandardsData</t>
        </is>
      </c>
    </row>
    <row r="285" ht="15" customHeight="1" s="35">
      <c r="A285" s="37" t="inlineStr">
        <is>
          <t>2501-20-24-FG</t>
        </is>
      </c>
      <c r="B285" s="37" t="inlineStr">
        <is>
          <t>2501-20-24-FG</t>
        </is>
      </c>
      <c r="C285" s="37" t="inlineStr">
        <is>
          <t>2501</t>
        </is>
      </c>
      <c r="D285" s="37" t="n">
        <v>118</v>
      </c>
      <c r="E285" s="37" t="inlineStr">
        <is>
          <t>90 deg</t>
        </is>
      </c>
      <c r="F285" s="37" t="inlineStr">
        <is>
          <t>90 deg Male Elbow, 1 5/8-12 x 1 1/2-11 1/2</t>
        </is>
      </c>
      <c r="G285" s="37" t="inlineStr">
        <is>
          <t>1 1/2-11 1/2</t>
        </is>
      </c>
      <c r="H285" s="37" t="inlineStr">
        <is>
          <t>1 5/8-12</t>
        </is>
      </c>
      <c r="I285" s="37" t="inlineStr">
        <is>
          <t>1 1/4</t>
        </is>
      </c>
      <c r="J285" s="37" t="inlineStr">
        <is>
          <t>ASME B1.20.3</t>
        </is>
      </c>
      <c r="K285" s="37" t="inlineStr">
        <is>
          <t>SAE J514-1</t>
        </is>
      </c>
      <c r="L285" s="37" t="n">
        <v>2.3</v>
      </c>
      <c r="M285" s="37" t="n">
        <v>2.64</v>
      </c>
      <c r="N285" s="37" t="n">
        <v>1.88</v>
      </c>
      <c r="O285" s="37" t="n">
        <v>1.08</v>
      </c>
      <c r="P285" s="37" t="n">
        <v>1.5</v>
      </c>
      <c r="Q285" s="37" t="n"/>
      <c r="R285" s="44" t="n"/>
      <c r="S285" s="45" t="n">
        <v>1.875</v>
      </c>
      <c r="T285" s="37" t="n">
        <v>90</v>
      </c>
      <c r="U285" s="37" t="inlineStr">
        <is>
          <t>ASSUMED</t>
        </is>
      </c>
      <c r="V285" s="37" t="inlineStr">
        <is>
          <t>MS51504 has no row for this size combo; Air-Way remains single source.</t>
        </is>
      </c>
      <c r="W285" s="37" t="inlineStr">
        <is>
          <t>BUILD</t>
        </is>
      </c>
      <c r="X285" s="37" t="inlineStr">
        <is>
          <t>Dimensions verbatim from Air-Way, two reconciled passes. Hex/material/finish/pressure outstanding. | Single body hex 1 7/8 keyed to larger dash -24 (sources show hex follows larger end).</t>
        </is>
      </c>
      <c r="Z285" s="45" t="inlineStr">
        <is>
          <t>Carbon Steel</t>
        </is>
      </c>
      <c r="AA285" s="45" t="inlineStr">
        <is>
          <t>ASTM A108 12L14</t>
        </is>
      </c>
      <c r="AB285" s="45" t="inlineStr">
        <is>
          <t>Trivalent Cr3 Zinc</t>
        </is>
      </c>
      <c r="AC285" s="45" t="inlineStr">
        <is>
          <t>ASTM B633 Type V/VI</t>
        </is>
      </c>
      <c r="AD285" s="46" t="n">
        <v>2000</v>
      </c>
      <c r="AE285" s="46" t="inlineStr">
        <is>
          <t>generic SAE table @ dash -24 (governing end)</t>
        </is>
      </c>
      <c r="AF285" s="46" t="n">
        <v>-65</v>
      </c>
      <c r="AG285" s="46" t="n">
        <v>400</v>
      </c>
      <c r="AH285" s="37" t="inlineStr">
        <is>
          <t>Ham-Let + hoseandfittings (pressure); Parker Cat.4300 (material); ASTM B633 (finish); see StandardsData</t>
        </is>
      </c>
    </row>
    <row r="286" ht="15" customHeight="1" s="35">
      <c r="A286" s="37" t="inlineStr">
        <is>
          <t>2501-20-24</t>
        </is>
      </c>
      <c r="B286" s="37" t="inlineStr">
        <is>
          <t>2501-20-24</t>
        </is>
      </c>
      <c r="C286" s="37" t="inlineStr">
        <is>
          <t>2501</t>
        </is>
      </c>
      <c r="D286" s="37" t="n">
        <v>118</v>
      </c>
      <c r="E286" s="37" t="inlineStr">
        <is>
          <t>90 deg</t>
        </is>
      </c>
      <c r="F286" s="37" t="inlineStr">
        <is>
          <t>90 deg Male Elbow, 1 5/8-12 x 1 1/2-11 1/2</t>
        </is>
      </c>
      <c r="G286" s="37" t="inlineStr">
        <is>
          <t>1 1/2-11 1/2</t>
        </is>
      </c>
      <c r="H286" s="37" t="inlineStr">
        <is>
          <t>1 5/8-12</t>
        </is>
      </c>
      <c r="I286" s="37" t="inlineStr">
        <is>
          <t>1 1/4</t>
        </is>
      </c>
      <c r="J286" s="37" t="inlineStr">
        <is>
          <t>ASME B1.20.3</t>
        </is>
      </c>
      <c r="K286" s="37" t="inlineStr">
        <is>
          <t>SAE J514-1</t>
        </is>
      </c>
      <c r="L286" s="37" t="n">
        <v>2.19</v>
      </c>
      <c r="M286" s="37" t="n">
        <v>2.64</v>
      </c>
      <c r="N286" s="37" t="n">
        <v>2</v>
      </c>
      <c r="O286" s="37" t="n">
        <v>1.08</v>
      </c>
      <c r="P286" s="37" t="n">
        <v>1.5</v>
      </c>
      <c r="Q286" s="37" t="n"/>
      <c r="R286" s="44" t="n"/>
      <c r="S286" s="45" t="n">
        <v>1.875</v>
      </c>
      <c r="T286" s="37" t="n">
        <v>90</v>
      </c>
      <c r="U286" s="37" t="inlineStr">
        <is>
          <t>ASSUMED</t>
        </is>
      </c>
      <c r="V286" s="37" t="inlineStr">
        <is>
          <t>MS51504 has no row for this size combo; Air-Way remains single source.</t>
        </is>
      </c>
      <c r="W286" s="37" t="inlineStr">
        <is>
          <t>BUILD</t>
        </is>
      </c>
      <c r="X286" s="37" t="inlineStr">
        <is>
          <t>Dimensions verbatim from Air-Way, two reconciled passes. Hex/material/finish/pressure outstanding. | Single body hex 1 7/8 keyed to larger dash -24 (sources show hex follows larger end).</t>
        </is>
      </c>
      <c r="Z286" s="45" t="inlineStr">
        <is>
          <t>Carbon Steel</t>
        </is>
      </c>
      <c r="AA286" s="45" t="inlineStr">
        <is>
          <t>ASTM A108 12L14</t>
        </is>
      </c>
      <c r="AB286" s="45" t="inlineStr">
        <is>
          <t>Trivalent Cr3 Zinc</t>
        </is>
      </c>
      <c r="AC286" s="45" t="inlineStr">
        <is>
          <t>ASTM B633 Type V/VI</t>
        </is>
      </c>
      <c r="AD286" s="46" t="n">
        <v>2000</v>
      </c>
      <c r="AE286" s="46" t="inlineStr">
        <is>
          <t>generic SAE table @ dash -24 (governing end)</t>
        </is>
      </c>
      <c r="AF286" s="46" t="n">
        <v>-65</v>
      </c>
      <c r="AG286" s="46" t="n">
        <v>400</v>
      </c>
      <c r="AH286" s="37" t="inlineStr">
        <is>
          <t>Ham-Let + hoseandfittings (pressure); Parker Cat.4300 (material); ASTM B633 (finish); see StandardsData</t>
        </is>
      </c>
    </row>
    <row r="287" ht="15" customHeight="1" s="35">
      <c r="A287" s="37" t="inlineStr">
        <is>
          <t>2501-24-16</t>
        </is>
      </c>
      <c r="B287" s="37" t="inlineStr">
        <is>
          <t>2501-24-16</t>
        </is>
      </c>
      <c r="C287" s="37" t="inlineStr">
        <is>
          <t>2501</t>
        </is>
      </c>
      <c r="D287" s="37" t="n">
        <v>118</v>
      </c>
      <c r="E287" s="37" t="inlineStr">
        <is>
          <t>90 deg</t>
        </is>
      </c>
      <c r="F287" s="37" t="inlineStr">
        <is>
          <t>90 deg Male Elbow, 1 7/8-12 x 1-11 1/2</t>
        </is>
      </c>
      <c r="G287" s="37" t="inlineStr">
        <is>
          <t>1-11 1/2</t>
        </is>
      </c>
      <c r="H287" s="37" t="inlineStr">
        <is>
          <t>1 7/8-12</t>
        </is>
      </c>
      <c r="I287" s="37" t="inlineStr">
        <is>
          <t>1 1/2</t>
        </is>
      </c>
      <c r="J287" s="37" t="inlineStr">
        <is>
          <t>ASME B1.20.3</t>
        </is>
      </c>
      <c r="K287" s="37" t="inlineStr">
        <is>
          <t>SAE J514-1</t>
        </is>
      </c>
      <c r="L287" s="37" t="n">
        <v>2.33</v>
      </c>
      <c r="M287" s="37" t="n">
        <v>2.28</v>
      </c>
      <c r="N287" s="37" t="n">
        <v>2</v>
      </c>
      <c r="O287" s="37" t="n">
        <v>1.31</v>
      </c>
      <c r="P287" s="37" t="n">
        <v>0.9399999999999999</v>
      </c>
      <c r="Q287" s="37" t="n"/>
      <c r="R287" s="44" t="n"/>
      <c r="S287" s="45" t="n">
        <v>1.875</v>
      </c>
      <c r="T287" s="37" t="n">
        <v>90</v>
      </c>
      <c r="U287" s="37" t="inlineStr">
        <is>
          <t>ASSUMED</t>
        </is>
      </c>
      <c r="V287" s="37" t="inlineStr">
        <is>
          <t>MS51504 has no row for this size combo; Air-Way remains single source.</t>
        </is>
      </c>
      <c r="W287" s="37" t="inlineStr">
        <is>
          <t>BUILD</t>
        </is>
      </c>
      <c r="X287" s="37" t="inlineStr">
        <is>
          <t>Dimensions verbatim from Air-Way, two reconciled passes. Hex/material/finish/pressure outstanding. | Single body hex 1 7/8 keyed to larger dash -24 (sources show hex follows larger end).</t>
        </is>
      </c>
      <c r="Z287" s="45" t="inlineStr">
        <is>
          <t>Carbon Steel</t>
        </is>
      </c>
      <c r="AA287" s="45" t="inlineStr">
        <is>
          <t>ASTM A108 12L14</t>
        </is>
      </c>
      <c r="AB287" s="45" t="inlineStr">
        <is>
          <t>Trivalent Cr3 Zinc</t>
        </is>
      </c>
      <c r="AC287" s="45" t="inlineStr">
        <is>
          <t>ASTM B633 Type V/VI</t>
        </is>
      </c>
      <c r="AD287" s="46" t="n">
        <v>2000</v>
      </c>
      <c r="AE287" s="46" t="inlineStr">
        <is>
          <t>generic SAE table @ dash -24 (governing end)</t>
        </is>
      </c>
      <c r="AF287" s="46" t="n">
        <v>-65</v>
      </c>
      <c r="AG287" s="46" t="n">
        <v>400</v>
      </c>
      <c r="AH287" s="37" t="inlineStr">
        <is>
          <t>Ham-Let + hoseandfittings (pressure); Parker Cat.4300 (material); ASTM B633 (finish); see StandardsData</t>
        </is>
      </c>
    </row>
    <row r="288" ht="15" customHeight="1" s="35">
      <c r="A288" s="37" t="inlineStr">
        <is>
          <t>2501-24-20-FG</t>
        </is>
      </c>
      <c r="B288" s="37" t="inlineStr">
        <is>
          <t>2501-24-20-FG</t>
        </is>
      </c>
      <c r="C288" s="37" t="inlineStr">
        <is>
          <t>2501</t>
        </is>
      </c>
      <c r="D288" s="37" t="n">
        <v>118</v>
      </c>
      <c r="E288" s="37" t="inlineStr">
        <is>
          <t>90 deg</t>
        </is>
      </c>
      <c r="F288" s="37" t="inlineStr">
        <is>
          <t>90 deg Male Elbow, 1 7/8-12 x 1 1/4-11 1/2</t>
        </is>
      </c>
      <c r="G288" s="37" t="inlineStr">
        <is>
          <t>1 1/4-11 1/2</t>
        </is>
      </c>
      <c r="H288" s="37" t="inlineStr">
        <is>
          <t>1 7/8-12</t>
        </is>
      </c>
      <c r="I288" s="37" t="inlineStr">
        <is>
          <t>1 1/2</t>
        </is>
      </c>
      <c r="J288" s="37" t="inlineStr">
        <is>
          <t>ASME B1.20.3</t>
        </is>
      </c>
      <c r="K288" s="37" t="inlineStr">
        <is>
          <t>SAE J514-1</t>
        </is>
      </c>
      <c r="L288" s="37" t="n">
        <v>2.33</v>
      </c>
      <c r="M288" s="37" t="n">
        <v>2.61</v>
      </c>
      <c r="N288" s="37" t="n">
        <v>1.88</v>
      </c>
      <c r="O288" s="37" t="n">
        <v>1.31</v>
      </c>
      <c r="P288" s="37" t="n">
        <v>1.25</v>
      </c>
      <c r="Q288" s="37" t="n"/>
      <c r="R288" s="44" t="n"/>
      <c r="S288" s="45" t="n">
        <v>1.875</v>
      </c>
      <c r="T288" s="37" t="n">
        <v>90</v>
      </c>
      <c r="U288" s="37" t="inlineStr">
        <is>
          <t>ASSUMED</t>
        </is>
      </c>
      <c r="V288" s="37" t="inlineStr">
        <is>
          <t>MS51504 has no row for this size combo; Air-Way remains single source.</t>
        </is>
      </c>
      <c r="W288" s="37" t="inlineStr">
        <is>
          <t>BUILD</t>
        </is>
      </c>
      <c r="X288" s="37" t="inlineStr">
        <is>
          <t>Dimensions verbatim from Air-Way, two reconciled passes. Hex/material/finish/pressure outstanding. | Single body hex 1 7/8 keyed to larger dash -24 (sources show hex follows larger end).</t>
        </is>
      </c>
      <c r="Z288" s="45" t="inlineStr">
        <is>
          <t>Carbon Steel</t>
        </is>
      </c>
      <c r="AA288" s="45" t="inlineStr">
        <is>
          <t>ASTM A108 12L14</t>
        </is>
      </c>
      <c r="AB288" s="45" t="inlineStr">
        <is>
          <t>Trivalent Cr3 Zinc</t>
        </is>
      </c>
      <c r="AC288" s="45" t="inlineStr">
        <is>
          <t>ASTM B633 Type V/VI</t>
        </is>
      </c>
      <c r="AD288" s="46" t="n">
        <v>2000</v>
      </c>
      <c r="AE288" s="46" t="inlineStr">
        <is>
          <t>generic SAE table @ dash -24 (governing end)</t>
        </is>
      </c>
      <c r="AF288" s="46" t="n">
        <v>-65</v>
      </c>
      <c r="AG288" s="46" t="n">
        <v>400</v>
      </c>
      <c r="AH288" s="37" t="inlineStr">
        <is>
          <t>Ham-Let + hoseandfittings (pressure); Parker Cat.4300 (material); ASTM B633 (finish); see StandardsData</t>
        </is>
      </c>
    </row>
    <row r="289" ht="15" customHeight="1" s="35">
      <c r="A289" s="37" t="inlineStr">
        <is>
          <t>2501-24-20</t>
        </is>
      </c>
      <c r="B289" s="37" t="inlineStr">
        <is>
          <t>2501-24-20</t>
        </is>
      </c>
      <c r="C289" s="37" t="inlineStr">
        <is>
          <t>2501</t>
        </is>
      </c>
      <c r="D289" s="37" t="n">
        <v>118</v>
      </c>
      <c r="E289" s="37" t="inlineStr">
        <is>
          <t>90 deg</t>
        </is>
      </c>
      <c r="F289" s="37" t="inlineStr">
        <is>
          <t>90 deg Male Elbow, 1 7/8-12 x 1 1/4-11 1/2</t>
        </is>
      </c>
      <c r="G289" s="37" t="inlineStr">
        <is>
          <t>1 1/4-11 1/2</t>
        </is>
      </c>
      <c r="H289" s="37" t="inlineStr">
        <is>
          <t>1 7/8-12</t>
        </is>
      </c>
      <c r="I289" s="37" t="inlineStr">
        <is>
          <t>1 1/2</t>
        </is>
      </c>
      <c r="J289" s="37" t="inlineStr">
        <is>
          <t>ASME B1.20.3</t>
        </is>
      </c>
      <c r="K289" s="37" t="inlineStr">
        <is>
          <t>SAE J514-1</t>
        </is>
      </c>
      <c r="L289" s="37" t="n">
        <v>2.33</v>
      </c>
      <c r="M289" s="37" t="n">
        <v>2.5</v>
      </c>
      <c r="N289" s="37" t="n">
        <v>2</v>
      </c>
      <c r="O289" s="37" t="n">
        <v>1.31</v>
      </c>
      <c r="P289" s="37" t="n">
        <v>1.25</v>
      </c>
      <c r="Q289" s="37" t="n"/>
      <c r="R289" s="44" t="n"/>
      <c r="S289" s="45" t="n">
        <v>1.875</v>
      </c>
      <c r="T289" s="37" t="n">
        <v>90</v>
      </c>
      <c r="U289" s="37" t="inlineStr">
        <is>
          <t>ASSUMED</t>
        </is>
      </c>
      <c r="V289" s="37" t="inlineStr">
        <is>
          <t>MS51504 has no row for this size combo; Air-Way remains single source.</t>
        </is>
      </c>
      <c r="W289" s="37" t="inlineStr">
        <is>
          <t>BUILD</t>
        </is>
      </c>
      <c r="X289" s="37" t="inlineStr">
        <is>
          <t>Dimensions verbatim from Air-Way, two reconciled passes. Hex/material/finish/pressure outstanding. | Single body hex 1 7/8 keyed to larger dash -24 (sources show hex follows larger end).</t>
        </is>
      </c>
      <c r="Z289" s="45" t="inlineStr">
        <is>
          <t>Carbon Steel</t>
        </is>
      </c>
      <c r="AA289" s="45" t="inlineStr">
        <is>
          <t>ASTM A108 12L14</t>
        </is>
      </c>
      <c r="AB289" s="45" t="inlineStr">
        <is>
          <t>Trivalent Cr3 Zinc</t>
        </is>
      </c>
      <c r="AC289" s="45" t="inlineStr">
        <is>
          <t>ASTM B633 Type V/VI</t>
        </is>
      </c>
      <c r="AD289" s="46" t="n">
        <v>2000</v>
      </c>
      <c r="AE289" s="46" t="inlineStr">
        <is>
          <t>generic SAE table @ dash -24 (governing end)</t>
        </is>
      </c>
      <c r="AF289" s="46" t="n">
        <v>-65</v>
      </c>
      <c r="AG289" s="46" t="n">
        <v>400</v>
      </c>
      <c r="AH289" s="37" t="inlineStr">
        <is>
          <t>Ham-Let + hoseandfittings (pressure); Parker Cat.4300 (material); ASTM B633 (finish); see StandardsData</t>
        </is>
      </c>
    </row>
    <row r="290" ht="15" customHeight="1" s="35">
      <c r="A290" s="37" t="inlineStr">
        <is>
          <t>2501-24-24</t>
        </is>
      </c>
      <c r="B290" s="37" t="inlineStr">
        <is>
          <t>2501-24-24</t>
        </is>
      </c>
      <c r="C290" s="37" t="inlineStr">
        <is>
          <t>2501</t>
        </is>
      </c>
      <c r="D290" s="37" t="n">
        <v>118</v>
      </c>
      <c r="E290" s="37" t="inlineStr">
        <is>
          <t>90 deg</t>
        </is>
      </c>
      <c r="F290" s="37" t="inlineStr">
        <is>
          <t>90 deg Male Elbow, 1 7/8-14 x 1 1/2-11 1/2</t>
        </is>
      </c>
      <c r="G290" s="37" t="inlineStr">
        <is>
          <t>1 1/2-11 1/2</t>
        </is>
      </c>
      <c r="H290" s="37" t="inlineStr">
        <is>
          <t>1 7/8-14</t>
        </is>
      </c>
      <c r="I290" s="37" t="inlineStr">
        <is>
          <t>1 1/2</t>
        </is>
      </c>
      <c r="J290" s="37" t="inlineStr">
        <is>
          <t>ASME B1.20.3</t>
        </is>
      </c>
      <c r="K290" s="37" t="inlineStr">
        <is>
          <t>SAE J514-1</t>
        </is>
      </c>
      <c r="L290" s="37" t="n">
        <v>2.33</v>
      </c>
      <c r="M290" s="37" t="n">
        <v>2.64</v>
      </c>
      <c r="N290" s="37" t="n">
        <v>2</v>
      </c>
      <c r="O290" s="37" t="n">
        <v>1.31</v>
      </c>
      <c r="P290" s="37" t="n">
        <v>1.5</v>
      </c>
      <c r="Q290" s="37" t="n"/>
      <c r="R290" s="44" t="n"/>
      <c r="S290" s="45" t="n">
        <v>1.875</v>
      </c>
      <c r="T290" s="37" t="n">
        <v>90</v>
      </c>
      <c r="U290" s="37" t="inlineStr">
        <is>
          <t>ASSUMED</t>
        </is>
      </c>
      <c r="V290" s="37" t="inlineStr">
        <is>
          <t>Non-forged leg pattern; MS51504 covers the forged pattern (FG sibling matches MS). Air-Way single source for these legs.</t>
        </is>
      </c>
      <c r="W290" s="37" t="inlineStr">
        <is>
          <t>BUILD</t>
        </is>
      </c>
      <c r="X290" s="37" t="inlineStr">
        <is>
          <t>Dimensions verbatim from Air-Way, two reconciled passes. Hex/material/finish/pressure outstanding. | Single body hex 1 7/8 keyed to larger dash -24 (sources show hex follows larger end).</t>
        </is>
      </c>
      <c r="Z290" s="45" t="inlineStr">
        <is>
          <t>Carbon Steel</t>
        </is>
      </c>
      <c r="AA290" s="45" t="inlineStr">
        <is>
          <t>ASTM A108 12L14</t>
        </is>
      </c>
      <c r="AB290" s="45" t="inlineStr">
        <is>
          <t>Trivalent Cr3 Zinc</t>
        </is>
      </c>
      <c r="AC290" s="45" t="inlineStr">
        <is>
          <t>ASTM B633 Type V/VI</t>
        </is>
      </c>
      <c r="AD290" s="46" t="n">
        <v>2000</v>
      </c>
      <c r="AE290" s="46" t="inlineStr">
        <is>
          <t>generic SAE table @ dash -24 (governing end)</t>
        </is>
      </c>
      <c r="AF290" s="46" t="n">
        <v>-65</v>
      </c>
      <c r="AG290" s="46" t="n">
        <v>400</v>
      </c>
      <c r="AH290" s="37" t="inlineStr">
        <is>
          <t>Ham-Let + hoseandfittings (pressure); Parker Cat.4300 (material); ASTM B633 (finish); see StandardsData</t>
        </is>
      </c>
    </row>
    <row r="291" ht="15" customHeight="1" s="35">
      <c r="A291" s="37" t="inlineStr">
        <is>
          <t>2501-32-24-FG</t>
        </is>
      </c>
      <c r="B291" s="37" t="inlineStr">
        <is>
          <t>2501-32-24-FG</t>
        </is>
      </c>
      <c r="C291" s="37" t="inlineStr">
        <is>
          <t>2501</t>
        </is>
      </c>
      <c r="D291" s="37" t="n">
        <v>118</v>
      </c>
      <c r="E291" s="37" t="inlineStr">
        <is>
          <t>90 deg</t>
        </is>
      </c>
      <c r="F291" s="37" t="inlineStr">
        <is>
          <t>90 deg Male Elbow, 2 1/2-12 x 1 1/2-11 1/2</t>
        </is>
      </c>
      <c r="G291" s="37" t="inlineStr">
        <is>
          <t>1 1/2-11 1/2</t>
        </is>
      </c>
      <c r="H291" s="37" t="inlineStr">
        <is>
          <t>2 1/2-12</t>
        </is>
      </c>
      <c r="I291" s="37" t="inlineStr">
        <is>
          <t>2</t>
        </is>
      </c>
      <c r="J291" s="37" t="inlineStr">
        <is>
          <t>ASME B1.20.3</t>
        </is>
      </c>
      <c r="K291" s="37" t="inlineStr">
        <is>
          <t>SAE J514-1</t>
        </is>
      </c>
      <c r="L291" s="37" t="n">
        <v>3.06</v>
      </c>
      <c r="M291" s="37" t="n">
        <v>2.97</v>
      </c>
      <c r="N291" s="37" t="n">
        <v>2.5</v>
      </c>
      <c r="O291" s="37" t="n">
        <v>1.78</v>
      </c>
      <c r="P291" s="37" t="n">
        <v>1.5</v>
      </c>
      <c r="Q291" s="37" t="n"/>
      <c r="R291" s="44" t="n"/>
      <c r="S291" s="45" t="n">
        <v>2.5</v>
      </c>
      <c r="T291" s="37" t="n">
        <v>90</v>
      </c>
      <c r="U291" s="37" t="inlineStr">
        <is>
          <t>ASSUMED</t>
        </is>
      </c>
      <c r="V291" s="37" t="inlineStr">
        <is>
          <t>MS51504 has no row for this size combo; Air-Way remains single source.</t>
        </is>
      </c>
      <c r="W291" s="37" t="inlineStr">
        <is>
          <t>BUILD</t>
        </is>
      </c>
      <c r="X291" s="37" t="inlineStr">
        <is>
          <t>Dimensions verbatim from Air-Way, two reconciled passes. Hex/material/finish/pressure outstanding. | Single body hex 2 1/2 keyed to larger dash -32 (sources show hex follows larger end).</t>
        </is>
      </c>
      <c r="Z291" s="45" t="inlineStr">
        <is>
          <t>Carbon Steel</t>
        </is>
      </c>
      <c r="AA291" s="45" t="inlineStr">
        <is>
          <t>ASTM A108 12L14</t>
        </is>
      </c>
      <c r="AB291" s="45" t="inlineStr">
        <is>
          <t>Trivalent Cr3 Zinc</t>
        </is>
      </c>
      <c r="AC291" s="45" t="inlineStr">
        <is>
          <t>ASTM B633 Type V/VI</t>
        </is>
      </c>
      <c r="AD291" s="46" t="n">
        <v>1500</v>
      </c>
      <c r="AE291" s="46" t="inlineStr">
        <is>
          <t>generic SAE table @ dash -32 (governing end)</t>
        </is>
      </c>
      <c r="AF291" s="46" t="n">
        <v>-65</v>
      </c>
      <c r="AG291" s="46" t="n">
        <v>400</v>
      </c>
      <c r="AH291" s="37" t="inlineStr">
        <is>
          <t>Ham-Let + hoseandfittings (pressure); Parker Cat.4300 (material); ASTM B633 (finish); see StandardsData</t>
        </is>
      </c>
    </row>
    <row r="292" ht="15" customHeight="1" s="35">
      <c r="A292" s="37" t="inlineStr">
        <is>
          <t>2501-24-24-FG</t>
        </is>
      </c>
      <c r="B292" s="37" t="inlineStr">
        <is>
          <t>2501-24-24-FG</t>
        </is>
      </c>
      <c r="C292" s="37" t="inlineStr">
        <is>
          <t>2501</t>
        </is>
      </c>
      <c r="D292" s="37" t="n">
        <v>118</v>
      </c>
      <c r="E292" s="37" t="inlineStr">
        <is>
          <t>90 deg</t>
        </is>
      </c>
      <c r="F292" s="37" t="inlineStr">
        <is>
          <t>90 deg Male Elbow, 1 7/8-12 x 1 1/2-11 1/2</t>
        </is>
      </c>
      <c r="G292" s="37" t="inlineStr">
        <is>
          <t>1 1/2-11 1/2</t>
        </is>
      </c>
      <c r="H292" s="37" t="inlineStr">
        <is>
          <t>1 7/8-12</t>
        </is>
      </c>
      <c r="I292" s="37" t="inlineStr">
        <is>
          <t>1 1/2</t>
        </is>
      </c>
      <c r="J292" s="37" t="inlineStr">
        <is>
          <t>ASME B1.20.3</t>
        </is>
      </c>
      <c r="K292" s="37" t="inlineStr">
        <is>
          <t>SAE J514-1</t>
        </is>
      </c>
      <c r="L292" s="37" t="n">
        <v>2.33</v>
      </c>
      <c r="M292" s="37" t="n">
        <v>2.64</v>
      </c>
      <c r="N292" s="37" t="n">
        <v>1.81</v>
      </c>
      <c r="O292" s="37" t="n">
        <v>1.31</v>
      </c>
      <c r="P292" s="37" t="n">
        <v>1.5</v>
      </c>
      <c r="Q292" s="37" t="n"/>
      <c r="R292" s="44" t="n"/>
      <c r="S292" s="45" t="n">
        <v>1.875</v>
      </c>
      <c r="T292" s="37" t="n">
        <v>90</v>
      </c>
      <c r="U292" s="37" t="inlineStr">
        <is>
          <t>ASSUMED</t>
        </is>
      </c>
      <c r="V292" s="37" t="inlineStr">
        <is>
          <t>MS51504 cross-check 2026-09-04: B,M,N,D,D1 all AGREE (forged pattern).</t>
        </is>
      </c>
      <c r="W292" s="37" t="inlineStr">
        <is>
          <t>BUILD</t>
        </is>
      </c>
      <c r="X292" s="37" t="inlineStr">
        <is>
          <t>Dimensions verbatim from Air-Way, two reconciled passes. Hex/material/finish/pressure outstanding. | Single body hex 1 7/8 keyed to larger dash -24 (sources show hex follows larger end).</t>
        </is>
      </c>
      <c r="Z292" s="45" t="inlineStr">
        <is>
          <t>Carbon Steel</t>
        </is>
      </c>
      <c r="AA292" s="45" t="inlineStr">
        <is>
          <t>ASTM A108 12L14</t>
        </is>
      </c>
      <c r="AB292" s="45" t="inlineStr">
        <is>
          <t>Trivalent Cr3 Zinc</t>
        </is>
      </c>
      <c r="AC292" s="45" t="inlineStr">
        <is>
          <t>ASTM B633 Type V/VI</t>
        </is>
      </c>
      <c r="AD292" s="46" t="n">
        <v>2000</v>
      </c>
      <c r="AE292" s="46" t="inlineStr">
        <is>
          <t>generic SAE table @ dash -24 (governing end)</t>
        </is>
      </c>
      <c r="AF292" s="46" t="n">
        <v>-65</v>
      </c>
      <c r="AG292" s="46" t="n">
        <v>400</v>
      </c>
      <c r="AH292" s="37" t="inlineStr">
        <is>
          <t>Ham-Let + hoseandfittings (pressure); Parker Cat.4300 (material); ASTM B633 (finish); see StandardsData</t>
        </is>
      </c>
    </row>
    <row r="293" ht="15" customHeight="1" s="35">
      <c r="A293" s="37" t="inlineStr">
        <is>
          <t>2501-32-32-FG</t>
        </is>
      </c>
      <c r="B293" s="37" t="inlineStr">
        <is>
          <t>2501-32-32-FG</t>
        </is>
      </c>
      <c r="C293" s="37" t="inlineStr">
        <is>
          <t>2501</t>
        </is>
      </c>
      <c r="D293" s="37" t="n">
        <v>118</v>
      </c>
      <c r="E293" s="37" t="inlineStr">
        <is>
          <t>90 deg</t>
        </is>
      </c>
      <c r="F293" s="37" t="inlineStr">
        <is>
          <t>90 deg Male Elbow, 2 1/2-12 x 2-11 1/2</t>
        </is>
      </c>
      <c r="G293" s="37" t="inlineStr">
        <is>
          <t>2-11 1/2</t>
        </is>
      </c>
      <c r="H293" s="37" t="inlineStr">
        <is>
          <t>2 1/2-12</t>
        </is>
      </c>
      <c r="I293" s="37" t="inlineStr">
        <is>
          <t>2</t>
        </is>
      </c>
      <c r="J293" s="37" t="inlineStr">
        <is>
          <t>ASME B1.20.3</t>
        </is>
      </c>
      <c r="K293" s="37" t="inlineStr">
        <is>
          <t>SAE J514-1</t>
        </is>
      </c>
      <c r="L293" s="37" t="n">
        <v>3.06</v>
      </c>
      <c r="M293" s="37" t="n">
        <v>3</v>
      </c>
      <c r="N293" s="37" t="n">
        <v>2.5</v>
      </c>
      <c r="O293" s="37" t="n">
        <v>1.78</v>
      </c>
      <c r="P293" s="37" t="n">
        <v>1.938</v>
      </c>
      <c r="Q293" s="37" t="n"/>
      <c r="R293" s="44" t="n"/>
      <c r="S293" s="45" t="n">
        <v>2.5</v>
      </c>
      <c r="T293" s="37" t="n">
        <v>90</v>
      </c>
      <c r="U293" s="37" t="inlineStr">
        <is>
          <t>VERIFIED</t>
        </is>
      </c>
      <c r="V293" s="37" t="inlineStr">
        <is>
          <t>RESOLVED 2-1: D1 drill=1.938 (MS51504+Brennan; Air-Way 1.86 outvoted). 2026-09-05 Brennan product-drawing tiebreak</t>
        </is>
      </c>
      <c r="W293" s="37" t="inlineStr">
        <is>
          <t>BUILD</t>
        </is>
      </c>
      <c r="X293" s="37" t="inlineStr">
        <is>
          <t>Dimensions verbatim from Air-Way, two reconciled passes. Hex/material/finish/pressure outstanding. | Single body hex 2 1/2 keyed to larger dash -32 (sources show hex follows larger end). | MS51504 DIVERGES on D1 -&gt; D1: AW=1.86 vs MS=1.938. Blocked pending decision.</t>
        </is>
      </c>
      <c r="Z293" s="45" t="inlineStr">
        <is>
          <t>Carbon Steel</t>
        </is>
      </c>
      <c r="AA293" s="45" t="inlineStr">
        <is>
          <t>ASTM A108 12L14</t>
        </is>
      </c>
      <c r="AB293" s="45" t="inlineStr">
        <is>
          <t>Trivalent Cr3 Zinc</t>
        </is>
      </c>
      <c r="AC293" s="45" t="inlineStr">
        <is>
          <t>ASTM B633 Type V/VI</t>
        </is>
      </c>
      <c r="AD293" s="46" t="n">
        <v>1500</v>
      </c>
      <c r="AE293" s="46" t="inlineStr">
        <is>
          <t>generic SAE table @ dash -32 (governing end)</t>
        </is>
      </c>
      <c r="AF293" s="46" t="n">
        <v>-65</v>
      </c>
      <c r="AG293" s="46" t="n">
        <v>400</v>
      </c>
      <c r="AH293" s="37" t="inlineStr">
        <is>
          <t>Ham-Let + hoseandfittings (pressure); Parker Cat.4300 (material); ASTM B633 (finish); see StandardsData</t>
        </is>
      </c>
    </row>
  </sheetData>
  <autoFilter ref="A2:AH293"/>
  <mergeCells count="5">
    <mergeCell ref="Z1:AH1"/>
    <mergeCell ref="A1:F1"/>
    <mergeCell ref="G1:K1"/>
    <mergeCell ref="V1:Y1"/>
    <mergeCell ref="L1:U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G1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4" min="1" max="1"/>
    <col width="16" customWidth="1" style="34" min="2" max="2"/>
    <col width="14" customWidth="1" style="34" min="3" max="3"/>
    <col width="20" customWidth="1" style="34" min="4" max="4"/>
    <col width="16" customWidth="1" style="34" min="5" max="5"/>
  </cols>
  <sheetData>
    <row r="1" ht="15" customHeight="1" s="35">
      <c r="A1" s="39" t="inlineStr">
        <is>
          <t>Topology</t>
        </is>
      </c>
      <c r="B1" s="39" t="inlineStr">
        <is>
          <t>In CS Adapters</t>
        </is>
      </c>
      <c r="C1" s="39" t="inlineStr">
        <is>
          <t>In ORFS (FS)</t>
        </is>
      </c>
      <c r="D1" s="39" t="inlineStr">
        <is>
          <t>In Compression (C)</t>
        </is>
      </c>
      <c r="E1" s="39" t="inlineStr">
        <is>
          <t>Master status</t>
        </is>
      </c>
      <c r="F1" s="34" t="inlineStr">
        <is>
          <t>Build order</t>
        </is>
      </c>
      <c r="G1" s="34" t="inlineStr">
        <is>
          <t>Status note</t>
        </is>
      </c>
    </row>
    <row r="2" ht="15" customHeight="1" s="35">
      <c r="A2" s="34" t="inlineStr">
        <is>
          <t>0304</t>
        </is>
      </c>
      <c r="B2" s="34" t="inlineStr">
        <is>
          <t>Y</t>
        </is>
      </c>
      <c r="C2" s="34" t="inlineStr">
        <is>
          <t>Y</t>
        </is>
      </c>
      <c r="E2" s="34" t="inlineStr">
        <is>
          <t>TABLED</t>
        </is>
      </c>
      <c r="G2" s="34" t="inlineStr">
        <is>
          <t>TABLED 2026-09-23 (AW s43, 9 rows, 0 MISSING; OMi feed 13 SKUs: 0 matched, 13 OMi-only of which 0 -FG near-matches)</t>
        </is>
      </c>
    </row>
    <row r="3" ht="15" customHeight="1" s="35">
      <c r="A3" s="34" t="inlineStr">
        <is>
          <t>0306</t>
        </is>
      </c>
      <c r="B3" s="34" t="inlineStr">
        <is>
          <t>Y</t>
        </is>
      </c>
      <c r="C3" s="34" t="inlineStr">
        <is>
          <t>Y</t>
        </is>
      </c>
      <c r="E3" s="34" t="inlineStr">
        <is>
          <t>TABLED</t>
        </is>
      </c>
      <c r="G3" s="34" t="inlineStr">
        <is>
          <t>TABLED 2026-09-23 (AW s3, 6 rows, 0 MISSING; OMi feed 12 SKUs: 0 matched, 12 OMi-only of which 0 -FG near-matches)</t>
        </is>
      </c>
    </row>
    <row r="4" ht="15" customHeight="1" s="35">
      <c r="A4" s="34" t="inlineStr">
        <is>
          <t>0318</t>
        </is>
      </c>
      <c r="B4" s="34" t="inlineStr">
        <is>
          <t>Y</t>
        </is>
      </c>
      <c r="C4" s="34" t="inlineStr">
        <is>
          <t>Y</t>
        </is>
      </c>
      <c r="D4" s="34" t="inlineStr">
        <is>
          <t>Y</t>
        </is>
      </c>
      <c r="E4" s="34" t="inlineStr">
        <is>
          <t>TABLED</t>
        </is>
      </c>
      <c r="G4" s="34" t="inlineStr">
        <is>
          <t>TABLED 2026-09-23 (AW s47, 13 rows, 0 MISSING; OMi feed 12 SKUs: 12 matched, 0 OMi-only of which 0 -FG near-matches)</t>
        </is>
      </c>
    </row>
    <row r="5" ht="15" customHeight="1" s="35">
      <c r="A5" s="34" t="inlineStr">
        <is>
          <t>0319</t>
        </is>
      </c>
      <c r="B5" s="34" t="inlineStr">
        <is>
          <t>Y</t>
        </is>
      </c>
      <c r="C5" s="34" t="inlineStr">
        <is>
          <t>Y</t>
        </is>
      </c>
      <c r="D5" s="34" t="inlineStr">
        <is>
          <t>Y</t>
        </is>
      </c>
      <c r="E5" s="34" t="inlineStr">
        <is>
          <t>TABLED</t>
        </is>
      </c>
      <c r="G5" s="34" t="inlineStr">
        <is>
          <t>TABLED 2026-09-23 (AW s48, 13 rows, 0 MISSING; OMi feed 12 SKUs: 12 matched, 0 OMi-only of which 0 -FG near-matches)</t>
        </is>
      </c>
    </row>
    <row r="6" ht="15" customHeight="1" s="35">
      <c r="A6" s="34" t="inlineStr">
        <is>
          <t>0403</t>
        </is>
      </c>
      <c r="E6" s="34" t="inlineStr">
        <is>
          <t>TABLED</t>
        </is>
      </c>
      <c r="G6" s="34" t="inlineStr">
        <is>
          <t>TABLED 2026-09-23 (AW s49, 34 rows, 1 MISSING; OMi feed 7 SKUs: 0 matched, 7 OMi-only of which 7 -FG near-matches)</t>
        </is>
      </c>
    </row>
    <row r="7" ht="15" customHeight="1" s="35">
      <c r="A7" s="34" t="inlineStr">
        <is>
          <t>0618</t>
        </is>
      </c>
      <c r="B7" s="34" t="inlineStr">
        <is>
          <t>Y</t>
        </is>
      </c>
      <c r="E7" s="34" t="inlineStr">
        <is>
          <t>SKELETON-MISSING</t>
        </is>
      </c>
      <c r="G7" s="34" t="inlineStr">
        <is>
          <t>2026-09-23: no Air-Way carbon-steel series page; DesignTable_0618.xlsx holds the 1 OMi SKUs as MISSING rows (BUILD) - needs a dimensional source</t>
        </is>
      </c>
    </row>
    <row r="8" ht="15" customHeight="1" s="35">
      <c r="A8" s="34" t="inlineStr">
        <is>
          <t>0619</t>
        </is>
      </c>
      <c r="B8" s="34" t="inlineStr">
        <is>
          <t>Y</t>
        </is>
      </c>
      <c r="E8" s="34" t="inlineStr">
        <is>
          <t>SKELETON-MISSING</t>
        </is>
      </c>
      <c r="G8" s="34" t="inlineStr">
        <is>
          <t>2026-09-23: no Air-Way carbon-steel series page; DesignTable_0619.xlsx holds the 2 OMi SKUs as MISSING rows (BUILD) - needs a dimensional source</t>
        </is>
      </c>
    </row>
    <row r="9" ht="15" customHeight="1" s="35">
      <c r="A9" s="34" t="inlineStr">
        <is>
          <t>1404</t>
        </is>
      </c>
      <c r="B9" s="34" t="inlineStr">
        <is>
          <t>Y</t>
        </is>
      </c>
      <c r="E9" s="34" t="inlineStr">
        <is>
          <t>TABLED</t>
        </is>
      </c>
      <c r="G9" s="34" t="inlineStr">
        <is>
          <t>TABLED 2026-09-23 (AW s55, 27 rows, 0 MISSING; OMi feed 24 SKUs: 24 matched, 0 OMi-only of which 0 -FG near-matches)</t>
        </is>
      </c>
    </row>
    <row r="10" ht="15" customHeight="1" s="35">
      <c r="A10" s="34" t="inlineStr">
        <is>
          <t>1405</t>
        </is>
      </c>
      <c r="B10" s="34" t="inlineStr">
        <is>
          <t>Y</t>
        </is>
      </c>
      <c r="E10" s="34" t="inlineStr">
        <is>
          <t>TABLED</t>
        </is>
      </c>
      <c r="G10" s="34" t="inlineStr">
        <is>
          <t>TABLED 2026-09-23 (AW s56, 17 rows, 0 MISSING; OMi feed 18 SKUs: 15 matched, 3 OMi-only of which 0 -FG near-matches)</t>
        </is>
      </c>
    </row>
    <row r="11" ht="15" customHeight="1" s="35">
      <c r="A11" s="34" t="inlineStr">
        <is>
          <t>1501</t>
        </is>
      </c>
      <c r="B11" s="34" t="inlineStr">
        <is>
          <t>Y</t>
        </is>
      </c>
      <c r="E11" s="34" t="inlineStr">
        <is>
          <t>TABLED</t>
        </is>
      </c>
      <c r="G11" s="34" t="inlineStr">
        <is>
          <t>TABLED 2026-09-23 (AW s113, 48 rows, 1 MISSING; OMi feed 21 SKUs: 19 matched, 2 OMi-only of which 2 -FG near-matches)</t>
        </is>
      </c>
    </row>
    <row r="12" ht="15" customHeight="1" s="35">
      <c r="A12" s="34" t="inlineStr">
        <is>
          <t>1502</t>
        </is>
      </c>
      <c r="B12" s="34" t="inlineStr">
        <is>
          <t>Y</t>
        </is>
      </c>
      <c r="E12" s="34" t="inlineStr">
        <is>
          <t>TABLED</t>
        </is>
      </c>
      <c r="G12" s="34" t="inlineStr">
        <is>
          <t>TABLED 2026-09-23 (AW s114, 16 rows, 1 MISSING; OMi feed 10 SKUs: 2 matched, 8 OMi-only of which 7 -FG near-matches)</t>
        </is>
      </c>
    </row>
    <row r="13" ht="15" customHeight="1" s="35">
      <c r="A13" s="34" t="inlineStr">
        <is>
          <t>1503</t>
        </is>
      </c>
      <c r="B13" s="34" t="inlineStr">
        <is>
          <t>Y</t>
        </is>
      </c>
      <c r="E13" s="34" t="inlineStr">
        <is>
          <t>TABLED</t>
        </is>
      </c>
      <c r="G13" s="34" t="inlineStr">
        <is>
          <t>TABLED 2026-09-23 (AW s143, 35 rows, 0 MISSING; OMi feed 19 SKUs: 14 matched, 5 OMi-only of which 5 -FG near-matches)</t>
        </is>
      </c>
    </row>
    <row r="14" ht="15" customHeight="1" s="35">
      <c r="A14" s="34" t="inlineStr">
        <is>
          <t>1504</t>
        </is>
      </c>
      <c r="B14" s="34" t="inlineStr">
        <is>
          <t>Y</t>
        </is>
      </c>
      <c r="E14" s="34" t="inlineStr">
        <is>
          <t>TABLED</t>
        </is>
      </c>
      <c r="G14" s="34" t="inlineStr">
        <is>
          <t>TABLED 2026-09-23 (AW s144, 11 rows, 1 MISSING; OMi feed 5 SKUs: 1 matched, 4 OMi-only of which 2 -FG near-matches)</t>
        </is>
      </c>
    </row>
    <row r="15" ht="15" customHeight="1" s="35">
      <c r="A15" s="34" t="inlineStr">
        <is>
          <t>1601</t>
        </is>
      </c>
      <c r="B15" s="34" t="inlineStr">
        <is>
          <t>Y</t>
        </is>
      </c>
      <c r="E15" s="34" t="inlineStr">
        <is>
          <t>TABLED</t>
        </is>
      </c>
      <c r="G15" s="34" t="inlineStr">
        <is>
          <t>TABLED 2026-09-23 (AW s58, 9 rows, 0 MISSING; OMi feed 7 SKUs: 0 matched, 7 OMi-only of which 6 -FG near-matches)</t>
        </is>
      </c>
    </row>
    <row r="16" ht="15" customHeight="1" s="35">
      <c r="A16" s="34" t="inlineStr">
        <is>
          <t>1602</t>
        </is>
      </c>
      <c r="B16" s="34" t="inlineStr">
        <is>
          <t>Y</t>
        </is>
      </c>
      <c r="E16" s="34" t="inlineStr">
        <is>
          <t>TABLED</t>
        </is>
      </c>
      <c r="G16" s="34" t="inlineStr">
        <is>
          <t>TABLED 2026-09-23 (AW s59, 4 rows, 0 MISSING; OMi feed 7 SKUs: 0 matched, 7 OMi-only of which 3 -FG near-matches)</t>
        </is>
      </c>
    </row>
    <row r="17" ht="15" customHeight="1" s="35">
      <c r="A17" s="34" t="inlineStr">
        <is>
          <t>1603</t>
        </is>
      </c>
      <c r="B17" s="34" t="inlineStr">
        <is>
          <t>Y</t>
        </is>
      </c>
      <c r="E17" s="34" t="inlineStr">
        <is>
          <t>TABLED</t>
        </is>
      </c>
      <c r="G17" s="34" t="inlineStr">
        <is>
          <t>TABLED 2026-09-23 (AW s60, 7 rows, 0 MISSING; OMi feed 6 SKUs: 0 matched, 6 OMi-only of which 6 -FG near-matches)</t>
        </is>
      </c>
    </row>
    <row r="18" ht="15" customHeight="1" s="35">
      <c r="A18" s="34" t="inlineStr">
        <is>
          <t>1700</t>
        </is>
      </c>
      <c r="C18" s="34" t="inlineStr">
        <is>
          <t>Y</t>
        </is>
      </c>
      <c r="E18" s="34" t="inlineStr">
        <is>
          <t>TABLED</t>
        </is>
      </c>
      <c r="G18" s="34" t="inlineStr">
        <is>
          <t>TABLED 2026-09-23 (AW s61, 13 rows, 0 MISSING; OMi feed 13 SKUs: 10 matched, 3 OMi-only of which 0 -FG near-matches)</t>
        </is>
      </c>
    </row>
    <row r="19" ht="15" customHeight="1" s="35">
      <c r="A19" s="34" t="inlineStr">
        <is>
          <t>1703</t>
        </is>
      </c>
      <c r="E19" s="34" t="inlineStr">
        <is>
          <t>TABLED</t>
        </is>
      </c>
      <c r="G19" s="34" t="inlineStr">
        <is>
          <t>TABLED 2026-09-23 (AW s146, 1 rows, 0 MISSING; OMi feed 19 SKUs: 0 matched, 19 OMi-only of which 1 -FG near-matches)</t>
        </is>
      </c>
    </row>
    <row r="20" ht="15" customHeight="1" s="35">
      <c r="A20" s="34" t="inlineStr">
        <is>
          <t>1704</t>
        </is>
      </c>
      <c r="C20" s="34" t="inlineStr">
        <is>
          <t>Y</t>
        </is>
      </c>
      <c r="E20" s="34" t="inlineStr">
        <is>
          <t>TABLED</t>
        </is>
      </c>
      <c r="G20" s="34" t="inlineStr">
        <is>
          <t>TABLED 2026-09-23 (AW s116, 2 rows, 0 MISSING; OMi feed 25 SKUs: 0 matched, 25 OMi-only of which 2 -FG near-matches)</t>
        </is>
      </c>
    </row>
    <row r="21" ht="15" customHeight="1" s="35">
      <c r="A21" s="34" t="inlineStr">
        <is>
          <t>1724</t>
        </is>
      </c>
      <c r="E21" s="34" t="inlineStr">
        <is>
          <t>SKELETON-MISSING</t>
        </is>
      </c>
      <c r="G21" s="34" t="inlineStr">
        <is>
          <t>2026-09-23: no Air-Way carbon-steel series page; DesignTable_1724.xlsx holds the 7 OMi SKUs as MISSING rows (BUILD) - needs a dimensional source</t>
        </is>
      </c>
    </row>
    <row r="22" ht="15" customHeight="1" s="35">
      <c r="A22" s="34" t="inlineStr">
        <is>
          <t>1800</t>
        </is>
      </c>
      <c r="C22" s="34" t="inlineStr">
        <is>
          <t>Y</t>
        </is>
      </c>
      <c r="E22" s="34" t="inlineStr">
        <is>
          <t>SKELETON-MISSING</t>
        </is>
      </c>
      <c r="G22" s="34" t="inlineStr">
        <is>
          <t>2026-09-23: no Air-Way carbon-steel series page; DesignTable_1800.xlsx holds the 13 OMi SKUs as MISSING rows (BUILD) - needs a dimensional source</t>
        </is>
      </c>
    </row>
    <row r="23" ht="15" customHeight="1" s="35">
      <c r="A23" s="34" t="inlineStr">
        <is>
          <t>1803</t>
        </is>
      </c>
      <c r="E23" s="34" t="inlineStr">
        <is>
          <t>SKELETON-MISSING</t>
        </is>
      </c>
      <c r="G23" s="34" t="inlineStr">
        <is>
          <t>2026-09-23: no Air-Way carbon-steel series page; DesignTable_1803.xlsx holds the 19 OMi SKUs as MISSING rows (BUILD) - needs a dimensional source</t>
        </is>
      </c>
    </row>
    <row r="24" ht="15" customHeight="1" s="35">
      <c r="A24" s="34" t="inlineStr">
        <is>
          <t>1804</t>
        </is>
      </c>
      <c r="C24" s="34" t="inlineStr">
        <is>
          <t>Y</t>
        </is>
      </c>
      <c r="E24" s="34" t="inlineStr">
        <is>
          <t>SKELETON-MISSING</t>
        </is>
      </c>
      <c r="G24" s="34" t="inlineStr">
        <is>
          <t>2026-09-23: no Air-Way carbon-steel series page; DesignTable_1804.xlsx holds the 22 OMi SKUs as MISSING rows (BUILD) - needs a dimensional source</t>
        </is>
      </c>
    </row>
    <row r="25" ht="15" customHeight="1" s="35">
      <c r="A25" s="34" t="inlineStr">
        <is>
          <t>1824</t>
        </is>
      </c>
      <c r="E25" s="34" t="inlineStr">
        <is>
          <t>SKELETON-MISSING</t>
        </is>
      </c>
      <c r="G25" s="34" t="inlineStr">
        <is>
          <t>2026-09-23: no Air-Way carbon-steel series page; DesignTable_1824.xlsx holds the 6 OMi SKUs as MISSING rows (BUILD) - needs a dimensional source</t>
        </is>
      </c>
    </row>
    <row r="26" ht="15" customHeight="1" s="35">
      <c r="A26" s="34" t="inlineStr">
        <is>
          <t>1901</t>
        </is>
      </c>
      <c r="E26" s="34" t="inlineStr">
        <is>
          <t>OUT OF SCOPE</t>
        </is>
      </c>
      <c r="G26" s="34" t="inlineStr">
        <is>
          <t>2026-09-23: OMi feed lists 10 SKUs, all -KIT (flange bolt/split-flange kits) -&gt; kits are out of scope per project rules; no table</t>
        </is>
      </c>
    </row>
    <row r="27" ht="15" customHeight="1" s="35">
      <c r="A27" s="34" t="inlineStr">
        <is>
          <t>1902</t>
        </is>
      </c>
      <c r="E27" s="34" t="inlineStr">
        <is>
          <t>OUT OF SCOPE</t>
        </is>
      </c>
      <c r="G27" s="34" t="inlineStr">
        <is>
          <t>2026-09-23: OMi feed lists 8 SKUs, all -KIT (flange bolt/split-flange kits) -&gt; kits are out of scope per project rules; no table</t>
        </is>
      </c>
    </row>
    <row r="28" ht="15" customHeight="1" s="35">
      <c r="A28" s="34" t="inlineStr">
        <is>
          <t>1927-61</t>
        </is>
      </c>
      <c r="E28" s="34" t="inlineStr">
        <is>
          <t>OUT OF SCOPE</t>
        </is>
      </c>
      <c r="G28" s="34" t="inlineStr">
        <is>
          <t>2026-09-23: OMi feed lists 12 SKUs, all -KIT (flange bolt/split-flange kits) -&gt; kits are out of scope per project rules; no table</t>
        </is>
      </c>
    </row>
    <row r="29" ht="15" customHeight="1" s="35">
      <c r="A29" s="34" t="inlineStr">
        <is>
          <t>1927-62</t>
        </is>
      </c>
      <c r="E29" s="34" t="inlineStr">
        <is>
          <t>OUT OF SCOPE</t>
        </is>
      </c>
      <c r="G29" s="34" t="inlineStr">
        <is>
          <t>2026-09-23: OMi feed lists 12 SKUs, all -KIT (flange bolt/split-flange kits) -&gt; kits are out of scope per project rules; no table</t>
        </is>
      </c>
    </row>
    <row r="30" ht="15" customHeight="1" s="35">
      <c r="A30" s="34" t="inlineStr">
        <is>
          <t>2402</t>
        </is>
      </c>
      <c r="D30" s="34" t="inlineStr">
        <is>
          <t>Y</t>
        </is>
      </c>
      <c r="E30" s="34" t="inlineStr">
        <is>
          <t>NOT STARTED</t>
        </is>
      </c>
      <c r="G30" s="34" t="inlineStr">
        <is>
          <t>2026-09-23: no Air-Way carbon-steel series AND not found in the cs-adapters/flange/braze feed crawl (2402 is C2402 compression-only, 6540/7202 are FS-only per cs_roots.txt, 6316 not seen) - nothing to table yet</t>
        </is>
      </c>
    </row>
    <row r="31" ht="15" customHeight="1" s="35">
      <c r="A31" s="34" t="inlineStr">
        <is>
          <t>2403</t>
        </is>
      </c>
      <c r="B31" s="34" t="inlineStr">
        <is>
          <t>Y</t>
        </is>
      </c>
      <c r="C31" s="34" t="inlineStr">
        <is>
          <t>Y</t>
        </is>
      </c>
      <c r="D31" s="34" t="inlineStr">
        <is>
          <t>Y</t>
        </is>
      </c>
      <c r="E31" s="63" t="inlineStr">
        <is>
          <t>BUILT</t>
        </is>
      </c>
      <c r="F31" s="34" t="n">
        <v>1</v>
      </c>
      <c r="G31" s="34" t="inlineStr">
        <is>
          <t>BUILT 2026-09-16 (49 configs incl. 2403-LH folded in; DesignTable_2403_SW2.xlsx; 32-24 reducer bores verified 1.78/1.31); rebuilt 2026-09-16 on SP3 with radius dims | scope vs OMi feed 2026-09-23: 34 BUILD / 15 DROP / 6 OMi-only (0 -FG near) of 40 OMi SKUs</t>
        </is>
      </c>
    </row>
    <row r="32" ht="15" customHeight="1" s="35">
      <c r="A32" s="34" t="inlineStr">
        <is>
          <t>2404</t>
        </is>
      </c>
      <c r="B32" s="34" t="inlineStr">
        <is>
          <t>Y</t>
        </is>
      </c>
      <c r="C32" s="34" t="inlineStr">
        <is>
          <t>Y</t>
        </is>
      </c>
      <c r="D32" s="34" t="inlineStr">
        <is>
          <t>Y</t>
        </is>
      </c>
      <c r="E32" s="63" t="inlineStr">
        <is>
          <t>BUILT</t>
        </is>
      </c>
      <c r="G32" s="34" t="inlineStr">
        <is>
          <t>BUILT (54 configs; -L/-LL rows not yet folded in) | scope vs OMi feed 2026-09-23: 59 BUILD / 10 DROP / 1 OMi-only (0 -FG near) of 60 OMi SKUs</t>
        </is>
      </c>
    </row>
    <row r="33" ht="15" customHeight="1" s="35">
      <c r="A33" s="34" t="inlineStr">
        <is>
          <t>2405</t>
        </is>
      </c>
      <c r="B33" s="34" t="inlineStr">
        <is>
          <t>Y</t>
        </is>
      </c>
      <c r="D33" s="34" t="inlineStr">
        <is>
          <t>Y</t>
        </is>
      </c>
      <c r="E33" s="62" t="inlineStr">
        <is>
          <t>BUILT</t>
        </is>
      </c>
      <c r="F33" s="34" t="n">
        <v>2</v>
      </c>
      <c r="G33" s="34" t="inlineStr">
        <is>
          <t>BUILT 2026-09-16 by macro (32 configs; NPTF helix End A; SP3 radius dims) | scope vs OMi feed 2026-09-23: 28 BUILD / 4 DROP / 2 OMi-only (0 -FG near) of 30 OMi SKUs</t>
        </is>
      </c>
    </row>
    <row r="34" ht="15" customHeight="1" s="35">
      <c r="A34" s="34" t="inlineStr">
        <is>
          <t>2406</t>
        </is>
      </c>
      <c r="B34" s="34" t="inlineStr">
        <is>
          <t>Y</t>
        </is>
      </c>
      <c r="C34" s="34" t="inlineStr">
        <is>
          <t>Y</t>
        </is>
      </c>
      <c r="E34" s="62" t="inlineStr">
        <is>
          <t>TABLED - master not built</t>
        </is>
      </c>
      <c r="G34" s="34" t="inlineStr">
        <is>
          <t>internal seat open | scope vs OMi feed 2026-09-23: 41 BUILD / 8 DROP / 10 OMi-only (0 -FG near) of 51 OMi SKUs</t>
        </is>
      </c>
    </row>
    <row r="35" ht="15" customHeight="1" s="35">
      <c r="A35" s="34" t="inlineStr">
        <is>
          <t>2408</t>
        </is>
      </c>
      <c r="B35" s="34" t="inlineStr">
        <is>
          <t>Y</t>
        </is>
      </c>
      <c r="C35" s="34" t="inlineStr">
        <is>
          <t>Y</t>
        </is>
      </c>
      <c r="E35" s="62" t="inlineStr">
        <is>
          <t>TABLED - master not built</t>
        </is>
      </c>
      <c r="G35" s="34" t="inlineStr">
        <is>
          <t>9/16 rows MISSING | scope vs OMi feed 2026-09-23: 16 BUILD / 0 DROP / 0 OMi-only (0 -FG near) of 13 OMi SKUs</t>
        </is>
      </c>
    </row>
    <row r="36" ht="15" customHeight="1" s="35">
      <c r="A36" s="34" t="inlineStr">
        <is>
          <t>2500</t>
        </is>
      </c>
      <c r="B36" s="34" t="inlineStr">
        <is>
          <t>Y</t>
        </is>
      </c>
      <c r="C36" s="34" t="inlineStr">
        <is>
          <t>Y</t>
        </is>
      </c>
      <c r="D36" s="34" t="inlineStr">
        <is>
          <t>Y</t>
        </is>
      </c>
      <c r="E36" s="62" t="inlineStr">
        <is>
          <t>BUILT</t>
        </is>
      </c>
      <c r="F36" s="34" t="n">
        <v>3</v>
      </c>
      <c r="G36" s="34" t="inlineStr">
        <is>
          <t>BUILT 2026-09-16 by macro (27 configs; corner sphere assumption; SP3 radius dims) | scope vs OMi feed 2026-09-23: 11 BUILD / 16 DROP / 4 OMi-only (4 -FG near) of 15 OMi SKUs</t>
        </is>
      </c>
    </row>
    <row r="37" ht="15" customHeight="1" s="35">
      <c r="A37" s="34" t="inlineStr">
        <is>
          <t>2501</t>
        </is>
      </c>
      <c r="B37" s="34" t="inlineStr">
        <is>
          <t>Y</t>
        </is>
      </c>
      <c r="C37" s="34" t="inlineStr">
        <is>
          <t>Y</t>
        </is>
      </c>
      <c r="D37" s="34" t="inlineStr">
        <is>
          <t>Y</t>
        </is>
      </c>
      <c r="E37" s="62" t="inlineStr">
        <is>
          <t>TABLED - master not built</t>
        </is>
      </c>
      <c r="G37" s="34" t="inlineStr">
        <is>
          <t>2501, -L, -LL, -LLL | scope vs OMi feed 2026-09-23: 34 BUILD / 85 DROP / 22 OMi-only (20 -FG near) of 56 OMi SKUs</t>
        </is>
      </c>
    </row>
    <row r="38" ht="15" customHeight="1" s="35">
      <c r="A38" s="34" t="inlineStr">
        <is>
          <t>2502</t>
        </is>
      </c>
      <c r="B38" s="34" t="inlineStr">
        <is>
          <t>Y</t>
        </is>
      </c>
      <c r="D38" s="34" t="inlineStr">
        <is>
          <t>Y</t>
        </is>
      </c>
      <c r="E38" s="62" t="inlineStr">
        <is>
          <t>BUILT</t>
        </is>
      </c>
      <c r="F38" s="34" t="n">
        <v>4</v>
      </c>
      <c r="G38" s="34" t="inlineStr">
        <is>
          <t>BUILT 2026-09-16 by macro (29 configs; boss+JIC leg at x=N1; NPTF helix End A; SP3 radius dims; vertex-based angle placement) | scope vs OMi feed 2026-09-23: 8 BUILD / 21 DROP / 7 OMi-only (5 -FG near) of 15 OMi SKUs</t>
        </is>
      </c>
    </row>
    <row r="39" ht="15" customHeight="1" s="35">
      <c r="A39" s="34" t="inlineStr">
        <is>
          <t>2503</t>
        </is>
      </c>
      <c r="B39" s="34" t="inlineStr">
        <is>
          <t>Y</t>
        </is>
      </c>
      <c r="C39" s="34" t="inlineStr">
        <is>
          <t>Y</t>
        </is>
      </c>
      <c r="E39" s="62" t="inlineStr">
        <is>
          <t>TABLED - master not built</t>
        </is>
      </c>
      <c r="F39" s="34" t="n">
        <v>5</v>
      </c>
      <c r="G39" s="34" t="inlineStr">
        <is>
          <t>scope vs OMi feed 2026-09-23: 27 BUILD / 33 DROP / 2 OMi-only (1 -FG near) of 29 OMi SKUs</t>
        </is>
      </c>
    </row>
    <row r="40" ht="15" customHeight="1" s="35">
      <c r="A40" s="34" t="inlineStr">
        <is>
          <t>2504</t>
        </is>
      </c>
      <c r="B40" s="34" t="inlineStr">
        <is>
          <t>Y</t>
        </is>
      </c>
      <c r="E40" s="34" t="inlineStr">
        <is>
          <t>TABLED</t>
        </is>
      </c>
      <c r="G40" s="34" t="inlineStr">
        <is>
          <t>TABLED 2026-09-23 (AW s148, 7 rows, 0 MISSING; OMi feed 4 SKUs: 0 matched, 4 OMi-only of which 4 -FG near-matches)</t>
        </is>
      </c>
    </row>
    <row r="41" ht="15" customHeight="1" s="35">
      <c r="A41" s="34" t="inlineStr">
        <is>
          <t>2505</t>
        </is>
      </c>
      <c r="B41" s="34" t="inlineStr">
        <is>
          <t>Y</t>
        </is>
      </c>
      <c r="E41" s="34" t="inlineStr">
        <is>
          <t>TABLED</t>
        </is>
      </c>
      <c r="G41" s="34" t="inlineStr">
        <is>
          <t>TABLED 2026-09-23 (AW s149, 6 rows, 0 MISSING; OMi feed 3 SKUs: 0 matched, 3 OMi-only of which 3 -FG near-matches)</t>
        </is>
      </c>
    </row>
    <row r="42" ht="15" customHeight="1" s="35">
      <c r="A42" s="34" t="inlineStr">
        <is>
          <t>2601</t>
        </is>
      </c>
      <c r="B42" s="34" t="inlineStr">
        <is>
          <t>Y</t>
        </is>
      </c>
      <c r="C42" s="34" t="inlineStr">
        <is>
          <t>Y</t>
        </is>
      </c>
      <c r="D42" s="34" t="inlineStr">
        <is>
          <t>Y</t>
        </is>
      </c>
      <c r="E42" s="62" t="inlineStr">
        <is>
          <t>TABLED - master not built</t>
        </is>
      </c>
      <c r="G42" s="34" t="inlineStr">
        <is>
          <t>scope vs OMi feed 2026-09-23: 9 BUILD / 20 DROP / 1 OMi-only (1 -FG near) of 10 OMi SKUs</t>
        </is>
      </c>
    </row>
    <row r="43" ht="15" customHeight="1" s="35">
      <c r="A43" s="34" t="inlineStr">
        <is>
          <t>2602</t>
        </is>
      </c>
      <c r="B43" s="34" t="inlineStr">
        <is>
          <t>Y</t>
        </is>
      </c>
      <c r="E43" s="62" t="inlineStr">
        <is>
          <t>TABLED - master not built</t>
        </is>
      </c>
      <c r="G43" s="34" t="inlineStr">
        <is>
          <t>scope vs OMi feed 2026-09-23: 5 BUILD / 15 DROP / 1 OMi-only (1 -FG near) of 6 OMi SKUs</t>
        </is>
      </c>
    </row>
    <row r="44" ht="15" customHeight="1" s="35">
      <c r="A44" s="34" t="inlineStr">
        <is>
          <t>2603</t>
        </is>
      </c>
      <c r="B44" s="34" t="inlineStr">
        <is>
          <t>Y</t>
        </is>
      </c>
      <c r="C44" s="34" t="inlineStr">
        <is>
          <t>Y</t>
        </is>
      </c>
      <c r="E44" s="62" t="inlineStr">
        <is>
          <t>BUILT</t>
        </is>
      </c>
      <c r="F44" s="34" t="n">
        <v>6</v>
      </c>
      <c r="G44" s="34" t="inlineStr">
        <is>
          <t>BUILT 2026-09-16 by macro (41 configs; three legs; SP3 radius dims) | scope vs OMi feed 2026-09-23: 11 BUILD / 30 DROP / 1 OMi-only (0 -FG near) of 12 OMi SKUs</t>
        </is>
      </c>
    </row>
    <row r="45" ht="15" customHeight="1" s="35">
      <c r="A45" s="34" t="inlineStr">
        <is>
          <t>2605</t>
        </is>
      </c>
      <c r="B45" s="34" t="inlineStr">
        <is>
          <t>Y</t>
        </is>
      </c>
      <c r="E45" s="34" t="inlineStr">
        <is>
          <t>TABLED</t>
        </is>
      </c>
      <c r="G45" s="34" t="inlineStr">
        <is>
          <t>TABLED 2026-09-23 (AW s173, 31 rows, 1 MISSING; OMi feed 7 SKUs: 7 matched, 0 OMi-only of which 0 -FG near-matches)</t>
        </is>
      </c>
    </row>
    <row r="46" ht="15" customHeight="1" s="35">
      <c r="A46" s="34" t="inlineStr">
        <is>
          <t>2606</t>
        </is>
      </c>
      <c r="B46" s="34" t="inlineStr">
        <is>
          <t>Y</t>
        </is>
      </c>
      <c r="E46" s="34" t="inlineStr">
        <is>
          <t>TABLED</t>
        </is>
      </c>
      <c r="G46" s="34" t="inlineStr">
        <is>
          <t>TABLED 2026-09-23 (AW s174, 7 rows, 0 MISSING; OMi feed 5 SKUs: 0 matched, 5 OMi-only of which 4 -FG near-matches)</t>
        </is>
      </c>
    </row>
    <row r="47" ht="15" customHeight="1" s="35">
      <c r="A47" s="34" t="inlineStr">
        <is>
          <t>2609</t>
        </is>
      </c>
      <c r="B47" s="34" t="inlineStr">
        <is>
          <t>Y</t>
        </is>
      </c>
      <c r="E47" s="34" t="inlineStr">
        <is>
          <t>TABLED</t>
        </is>
      </c>
      <c r="G47" s="34" t="inlineStr">
        <is>
          <t>TABLED 2026-09-23 (AW s177, 1 rows, 0 MISSING; OMi feed 1 SKUs: 0 matched, 1 OMi-only of which 0 -FG near-matches)</t>
        </is>
      </c>
    </row>
    <row r="48" ht="15" customHeight="1" s="35">
      <c r="A48" s="34" t="inlineStr">
        <is>
          <t>2611</t>
        </is>
      </c>
      <c r="B48" s="34" t="inlineStr">
        <is>
          <t>Y</t>
        </is>
      </c>
      <c r="E48" s="34" t="inlineStr">
        <is>
          <t>TABLED</t>
        </is>
      </c>
      <c r="G48" s="34" t="inlineStr">
        <is>
          <t>TABLED 2026-09-23 (AW s179, 5 rows, 0 MISSING; OMi feed 3 SKUs: 0 matched, 3 OMi-only of which 2 -FG near-matches)</t>
        </is>
      </c>
    </row>
    <row r="49" ht="15" customHeight="1" s="35">
      <c r="A49" s="34" t="inlineStr">
        <is>
          <t>2613</t>
        </is>
      </c>
      <c r="B49" s="34" t="inlineStr">
        <is>
          <t>Y</t>
        </is>
      </c>
      <c r="E49" s="34" t="inlineStr">
        <is>
          <t>TABLED</t>
        </is>
      </c>
      <c r="G49" s="34" t="inlineStr">
        <is>
          <t>TABLED 2026-09-23 (AW s181, 4 rows, 0 MISSING; OMi feed 0 SKUs: 0 matched, 0 OMi-only of which 0 -FG near-matches)</t>
        </is>
      </c>
    </row>
    <row r="50" ht="15" customHeight="1" s="35">
      <c r="A50" s="34" t="inlineStr">
        <is>
          <t>2650</t>
        </is>
      </c>
      <c r="B50" s="34" t="inlineStr">
        <is>
          <t>Y</t>
        </is>
      </c>
      <c r="E50" s="34" t="inlineStr">
        <is>
          <t>TABLED</t>
        </is>
      </c>
      <c r="G50" s="34" t="inlineStr">
        <is>
          <t>TABLED 2026-09-23 (AW s203, 13 rows, 1 MISSING; OMi feed 4 SKUs: 4 matched, 0 OMi-only of which 0 -FG near-matches)</t>
        </is>
      </c>
    </row>
    <row r="51" ht="15" customHeight="1" s="35">
      <c r="A51" s="34" t="inlineStr">
        <is>
          <t>2700</t>
        </is>
      </c>
      <c r="B51" s="34" t="inlineStr">
        <is>
          <t>Y</t>
        </is>
      </c>
      <c r="C51" s="34" t="inlineStr">
        <is>
          <t>Y</t>
        </is>
      </c>
      <c r="E51" s="62" t="inlineStr">
        <is>
          <t>TABLED - master not built</t>
        </is>
      </c>
      <c r="G51" s="34" t="inlineStr">
        <is>
          <t>bulkhead thread open | scope vs OMi feed 2026-09-23: 24 BUILD / 3 DROP / 10 OMi-only (0 -FG near) of 34 OMi SKUs</t>
        </is>
      </c>
    </row>
    <row r="52" ht="15" customHeight="1" s="35">
      <c r="A52" s="34" t="inlineStr">
        <is>
          <t>2701</t>
        </is>
      </c>
      <c r="B52" s="34" t="inlineStr">
        <is>
          <t>Y</t>
        </is>
      </c>
      <c r="C52" s="34" t="inlineStr">
        <is>
          <t>Y</t>
        </is>
      </c>
      <c r="E52" s="34" t="inlineStr">
        <is>
          <t>TABLED</t>
        </is>
      </c>
      <c r="G52" s="34" t="inlineStr">
        <is>
          <t>TABLED 2026-09-23 (AW s123, 33 rows, 1 MISSING; OMi feed 15 SKUs: 13 matched, 2 OMi-only of which 0 -FG near-matches)</t>
        </is>
      </c>
    </row>
    <row r="53" ht="15" customHeight="1" s="35">
      <c r="A53" s="34" t="inlineStr">
        <is>
          <t>2702</t>
        </is>
      </c>
      <c r="B53" s="34" t="inlineStr">
        <is>
          <t>Y</t>
        </is>
      </c>
      <c r="C53" s="34" t="inlineStr">
        <is>
          <t>Y</t>
        </is>
      </c>
      <c r="E53" s="34" t="inlineStr">
        <is>
          <t>TABLED</t>
        </is>
      </c>
      <c r="G53" s="34" t="inlineStr">
        <is>
          <t>TABLED 2026-09-23 (AW s150, 29 rows, 0 MISSING; OMi feed 12 SKUs: 11 matched, 1 OMi-only of which 1 -FG near-matches)</t>
        </is>
      </c>
    </row>
    <row r="54" ht="15" customHeight="1" s="35">
      <c r="A54" s="34" t="inlineStr">
        <is>
          <t>2703</t>
        </is>
      </c>
      <c r="B54" s="34" t="inlineStr">
        <is>
          <t>Y</t>
        </is>
      </c>
      <c r="C54" s="34" t="inlineStr">
        <is>
          <t>Y</t>
        </is>
      </c>
      <c r="E54" s="34" t="inlineStr">
        <is>
          <t>TABLED</t>
        </is>
      </c>
      <c r="G54" s="34" t="inlineStr">
        <is>
          <t>TABLED 2026-09-23 (AW s182, 28 rows, 1 MISSING; OMi feed 12 SKUs: 12 matched, 0 OMi-only of which 0 -FG near-matches)</t>
        </is>
      </c>
    </row>
    <row r="55" ht="15" customHeight="1" s="35">
      <c r="A55" s="34" t="inlineStr">
        <is>
          <t>2704</t>
        </is>
      </c>
      <c r="B55" s="34" t="inlineStr">
        <is>
          <t>Y</t>
        </is>
      </c>
      <c r="C55" s="34" t="inlineStr">
        <is>
          <t>Y</t>
        </is>
      </c>
      <c r="E55" s="34" t="inlineStr">
        <is>
          <t>TABLED</t>
        </is>
      </c>
      <c r="G55" s="34" t="inlineStr">
        <is>
          <t>TABLED 2026-09-23 (AW s183, 25 rows, 0 MISSING; OMi feed 12 SKUs: 12 matched, 0 OMi-only of which 0 -FG near-matches)</t>
        </is>
      </c>
    </row>
    <row r="56" ht="15" customHeight="1" s="35">
      <c r="A56" s="34" t="inlineStr">
        <is>
          <t>2705</t>
        </is>
      </c>
      <c r="B56" s="34" t="inlineStr">
        <is>
          <t>Y</t>
        </is>
      </c>
      <c r="E56" s="34" t="inlineStr">
        <is>
          <t>TABLED</t>
        </is>
      </c>
      <c r="G56" s="34" t="inlineStr">
        <is>
          <t>TABLED 2026-09-23 (AW s73, 21 rows, 0 MISSING; OMi feed 17 SKUs: 14 matched, 3 OMi-only of which 0 -FG near-matches)</t>
        </is>
      </c>
    </row>
    <row r="57" ht="15" customHeight="1" s="35">
      <c r="A57" s="34" t="inlineStr">
        <is>
          <t>2706</t>
        </is>
      </c>
      <c r="B57" s="34" t="inlineStr">
        <is>
          <t>Y</t>
        </is>
      </c>
      <c r="E57" s="34" t="inlineStr">
        <is>
          <t>TABLED</t>
        </is>
      </c>
      <c r="G57" s="34" t="inlineStr">
        <is>
          <t>TABLED 2026-09-23 (AW s74, 25 rows, 1 MISSING; OMi feed 29 SKUs: 23 matched, 6 OMi-only of which 0 -FG near-matches)</t>
        </is>
      </c>
    </row>
    <row r="58" ht="15" customHeight="1" s="35">
      <c r="A58" s="34" t="inlineStr">
        <is>
          <t>3051</t>
        </is>
      </c>
      <c r="B58" s="34" t="inlineStr">
        <is>
          <t>Y</t>
        </is>
      </c>
      <c r="E58" s="62" t="inlineStr">
        <is>
          <t>TABLED - master not built</t>
        </is>
      </c>
      <c r="G58" s="34" t="inlineStr">
        <is>
          <t>scope vs OMi feed 2026-09-23: 4 BUILD / 4 DROP / 0 OMi-only (0 -FG near) of 4 OMi SKUs</t>
        </is>
      </c>
    </row>
    <row r="59" ht="15" customHeight="1" s="35">
      <c r="A59" s="34" t="inlineStr">
        <is>
          <t>3474</t>
        </is>
      </c>
      <c r="B59" s="34" t="inlineStr">
        <is>
          <t>Y</t>
        </is>
      </c>
      <c r="E59" s="34" t="inlineStr">
        <is>
          <t>SKELETON-MISSING</t>
        </is>
      </c>
      <c r="G59" s="34" t="inlineStr">
        <is>
          <t>2026-09-23: no Air-Way carbon-steel series page; DesignTable_3474.xlsx holds the 7 OMi SKUs as MISSING rows (BUILD) - needs a dimensional source</t>
        </is>
      </c>
    </row>
    <row r="60" ht="15" customHeight="1" s="35">
      <c r="A60" s="34" t="inlineStr">
        <is>
          <t>4000</t>
        </is>
      </c>
      <c r="B60" s="34" t="inlineStr">
        <is>
          <t>Y</t>
        </is>
      </c>
      <c r="C60" s="34" t="inlineStr">
        <is>
          <t>Y</t>
        </is>
      </c>
      <c r="E60" s="34" t="inlineStr">
        <is>
          <t>SKELETON-MISSING</t>
        </is>
      </c>
      <c r="G60" s="34" t="inlineStr">
        <is>
          <t>2026-09-23: no Air-Way carbon-steel series page; DesignTable_4000.xlsx holds the 11 OMi SKUs as MISSING rows (BUILD) - needs a dimensional source</t>
        </is>
      </c>
    </row>
    <row r="61" ht="15" customHeight="1" s="35">
      <c r="A61" s="34" t="inlineStr">
        <is>
          <t>4001</t>
        </is>
      </c>
      <c r="B61" s="34" t="inlineStr">
        <is>
          <t>Y</t>
        </is>
      </c>
      <c r="E61" s="34" t="inlineStr">
        <is>
          <t>SKELETON-MISSING</t>
        </is>
      </c>
      <c r="G61" s="34" t="inlineStr">
        <is>
          <t>2026-09-23: no Air-Way carbon-steel series page; DesignTable_4001.xlsx holds the 10 OMi SKUs as MISSING rows (BUILD) - needs a dimensional source</t>
        </is>
      </c>
    </row>
    <row r="62" ht="15" customHeight="1" s="35">
      <c r="A62" s="34" t="inlineStr">
        <is>
          <t>4005</t>
        </is>
      </c>
      <c r="E62" s="34" t="inlineStr">
        <is>
          <t>SKELETON-MISSING</t>
        </is>
      </c>
      <c r="G62" s="34" t="inlineStr">
        <is>
          <t>2026-09-23: no Air-Way carbon-steel series page; DesignTable_4005.xlsx holds the 9 OMi SKUs as MISSING rows (BUILD) - needs a dimensional source</t>
        </is>
      </c>
    </row>
    <row r="63" ht="15" customHeight="1" s="35">
      <c r="A63" s="34" t="inlineStr">
        <is>
          <t>4404</t>
        </is>
      </c>
      <c r="E63" s="34" t="inlineStr">
        <is>
          <t>TABLED</t>
        </is>
      </c>
      <c r="G63" s="34" t="inlineStr">
        <is>
          <t>TABLED 2026-09-23 (AW s78, 33 rows, 0 MISSING; OMi feed 13 SKUs: 13 matched, 0 OMi-only of which 0 -FG near-matches)</t>
        </is>
      </c>
    </row>
    <row r="64" ht="15" customHeight="1" s="35">
      <c r="A64" s="34" t="inlineStr">
        <is>
          <t>4501</t>
        </is>
      </c>
      <c r="E64" s="34" t="inlineStr">
        <is>
          <t>TABLED</t>
        </is>
      </c>
      <c r="G64" s="34" t="inlineStr">
        <is>
          <t>TABLED 2026-09-23 (AW s125, 33 rows, 0 MISSING; OMi feed 12 SKUs: 1 matched, 11 OMi-only of which 11 -FG near-matches)</t>
        </is>
      </c>
    </row>
    <row r="65" ht="15" customHeight="1" s="35">
      <c r="A65" s="34" t="inlineStr">
        <is>
          <t>4503</t>
        </is>
      </c>
      <c r="E65" s="34" t="inlineStr">
        <is>
          <t>TABLED</t>
        </is>
      </c>
      <c r="G65" s="34" t="inlineStr">
        <is>
          <t>TABLED 2026-09-23 (AW s151, 25 rows, 1 MISSING; OMi feed 7 SKUs: 0 matched, 7 OMi-only of which 7 -FG near-matches)</t>
        </is>
      </c>
    </row>
    <row r="66" ht="15" customHeight="1" s="35">
      <c r="A66" s="34" t="inlineStr">
        <is>
          <t>4601</t>
        </is>
      </c>
      <c r="E66" s="34" t="inlineStr">
        <is>
          <t>TABLED</t>
        </is>
      </c>
      <c r="G66" s="34" t="inlineStr">
        <is>
          <t>TABLED 2026-09-23 (AW s126, 42 rows, 0 MISSING; OMi feed 15 SKUs: 6 matched, 9 OMi-only of which 9 -FG near-matches)</t>
        </is>
      </c>
    </row>
    <row r="67" ht="15" customHeight="1" s="35">
      <c r="A67" s="34" t="inlineStr">
        <is>
          <t>4603</t>
        </is>
      </c>
      <c r="E67" s="34" t="inlineStr">
        <is>
          <t>TABLED</t>
        </is>
      </c>
      <c r="G67" s="34" t="inlineStr">
        <is>
          <t>TABLED 2026-09-23 (AW s152, 33 rows, 0 MISSING; OMi feed 5 SKUs: 4 matched, 1 OMi-only of which 1 -FG near-matches)</t>
        </is>
      </c>
    </row>
    <row r="68" ht="15" customHeight="1" s="35">
      <c r="A68" s="34" t="inlineStr">
        <is>
          <t>4604</t>
        </is>
      </c>
      <c r="E68" s="34" t="inlineStr">
        <is>
          <t>TABLED</t>
        </is>
      </c>
      <c r="G68" s="34" t="inlineStr">
        <is>
          <t>TABLED 2026-09-23 (AW s79, 38 rows, 0 MISSING; OMi feed 14 SKUs: 14 matched, 0 OMi-only of which 0 -FG near-matches)</t>
        </is>
      </c>
    </row>
    <row r="69" ht="15" customHeight="1" s="35">
      <c r="A69" s="34" t="inlineStr">
        <is>
          <t>5000</t>
        </is>
      </c>
      <c r="B69" s="34" t="inlineStr">
        <is>
          <t>Y</t>
        </is>
      </c>
      <c r="E69" s="62" t="inlineStr">
        <is>
          <t>TABLED - master not built</t>
        </is>
      </c>
      <c r="G69" s="34" t="inlineStr">
        <is>
          <t>scope vs OMi feed 2026-09-23: 19 BUILD / 0 DROP / 4 OMi-only (0 -FG near) of 23 OMi SKUs</t>
        </is>
      </c>
    </row>
    <row r="70" ht="15" customHeight="1" s="35">
      <c r="A70" s="34" t="inlineStr">
        <is>
          <t>5404</t>
        </is>
      </c>
      <c r="B70" s="34" t="inlineStr">
        <is>
          <t>Y</t>
        </is>
      </c>
      <c r="E70" s="62" t="inlineStr">
        <is>
          <t>TABLED - master not built</t>
        </is>
      </c>
      <c r="G70" s="34" t="inlineStr">
        <is>
          <t>5404, 5404-N; 1 conflict | scope vs OMi feed 2026-09-23: 29 BUILD / 10 DROP / 31 OMi-only (0 -FG near) of 60 OMi SKUs</t>
        </is>
      </c>
    </row>
    <row r="71" ht="15" customHeight="1" s="35">
      <c r="A71" s="34" t="inlineStr">
        <is>
          <t>5405</t>
        </is>
      </c>
      <c r="B71" s="34" t="inlineStr">
        <is>
          <t>Y</t>
        </is>
      </c>
      <c r="E71" s="62" t="inlineStr">
        <is>
          <t>TABLED - master not built</t>
        </is>
      </c>
      <c r="G71" s="34" t="inlineStr">
        <is>
          <t>1 row MISSING | scope vs OMi feed 2026-09-23: 27 BUILD / 1 DROP / 7 OMi-only (0 -FG near) of 34 OMi SKUs</t>
        </is>
      </c>
    </row>
    <row r="72" ht="15" customHeight="1" s="35">
      <c r="A72" s="34" t="inlineStr">
        <is>
          <t>5406</t>
        </is>
      </c>
      <c r="B72" s="34" t="inlineStr">
        <is>
          <t>Y</t>
        </is>
      </c>
      <c r="E72" s="62" t="inlineStr">
        <is>
          <t>TABLED - master not built</t>
        </is>
      </c>
      <c r="F72" s="34" t="n">
        <v>7</v>
      </c>
      <c r="G72" s="34" t="inlineStr">
        <is>
          <t>5406, -C, -P | scope vs OMi feed 2026-09-23: 38 BUILD / 8 DROP / 23 OMi-only (0 -FG near) of 61 OMi SKUs</t>
        </is>
      </c>
    </row>
    <row r="73" ht="15" customHeight="1" s="35">
      <c r="A73" s="34" t="inlineStr">
        <is>
          <t>5500</t>
        </is>
      </c>
      <c r="B73" s="34" t="inlineStr">
        <is>
          <t>Y</t>
        </is>
      </c>
      <c r="E73" s="62" t="inlineStr">
        <is>
          <t>TABLED - master not built</t>
        </is>
      </c>
      <c r="G73" s="34" t="inlineStr">
        <is>
          <t>scope vs OMi feed 2026-09-23: 13 BUILD / 16 DROP / 3 OMi-only (2 -FG near) of 16 OMi SKUs</t>
        </is>
      </c>
    </row>
    <row r="74" ht="15" customHeight="1" s="35">
      <c r="A74" s="34" t="inlineStr">
        <is>
          <t>5501</t>
        </is>
      </c>
      <c r="B74" s="34" t="inlineStr">
        <is>
          <t>Y</t>
        </is>
      </c>
      <c r="E74" s="34" t="inlineStr">
        <is>
          <t>TABLED</t>
        </is>
      </c>
      <c r="G74" s="34" t="inlineStr">
        <is>
          <t>TABLED 2026-09-23 (AW s153, 7 rows, 0 MISSING; OMi feed 9 SKUs: 0 matched, 9 OMi-only of which 7 -FG near-matches)</t>
        </is>
      </c>
    </row>
    <row r="75" ht="15" customHeight="1" s="35">
      <c r="A75" s="34" t="inlineStr">
        <is>
          <t>5502</t>
        </is>
      </c>
      <c r="B75" s="34" t="inlineStr">
        <is>
          <t>Y</t>
        </is>
      </c>
      <c r="E75" s="62" t="inlineStr">
        <is>
          <t>TABLED - master not built</t>
        </is>
      </c>
      <c r="G75" s="34" t="inlineStr">
        <is>
          <t>scope vs OMi feed 2026-09-23: 13 BUILD / 33 DROP / 4 OMi-only (4 -FG near) of 17 OMi SKUs</t>
        </is>
      </c>
    </row>
    <row r="76" ht="15" customHeight="1" s="35">
      <c r="A76" s="34" t="inlineStr">
        <is>
          <t>5503</t>
        </is>
      </c>
      <c r="B76" s="34" t="inlineStr">
        <is>
          <t>Y</t>
        </is>
      </c>
      <c r="E76" s="34" t="inlineStr">
        <is>
          <t>TABLED</t>
        </is>
      </c>
      <c r="G76" s="34" t="inlineStr">
        <is>
          <t>TABLED 2026-09-23 (AW s154, 15 rows, 0 MISSING; OMi feed 14 SKUs: 5 matched, 9 OMi-only of which 4 -FG near-matches)</t>
        </is>
      </c>
    </row>
    <row r="77" ht="15" customHeight="1" s="35">
      <c r="A77" s="34" t="inlineStr">
        <is>
          <t>5504</t>
        </is>
      </c>
      <c r="B77" s="34" t="inlineStr">
        <is>
          <t>Y</t>
        </is>
      </c>
      <c r="E77" s="62" t="inlineStr">
        <is>
          <t>TABLED - master not built</t>
        </is>
      </c>
      <c r="G77" s="34" t="inlineStr">
        <is>
          <t>scope vs OMi feed 2026-09-23: 5 BUILD / 17 DROP / 6 OMi-only (6 -FG near) of 11 OMi SKUs</t>
        </is>
      </c>
    </row>
    <row r="78" ht="15" customHeight="1" s="35">
      <c r="A78" s="34" t="inlineStr">
        <is>
          <t>5505</t>
        </is>
      </c>
      <c r="B78" s="34" t="inlineStr">
        <is>
          <t>Y</t>
        </is>
      </c>
      <c r="E78" s="34" t="inlineStr">
        <is>
          <t>TABLED</t>
        </is>
      </c>
      <c r="G78" s="34" t="inlineStr">
        <is>
          <t>TABLED 2026-09-23 (AW s155, 9 rows, 0 MISSING; OMi feed 7 SKUs: 1 matched, 6 OMi-only of which 5 -FG near-matches)</t>
        </is>
      </c>
    </row>
    <row r="79" ht="15" customHeight="1" s="35">
      <c r="A79" s="34" t="inlineStr">
        <is>
          <t>5600</t>
        </is>
      </c>
      <c r="B79" s="34" t="inlineStr">
        <is>
          <t>Y</t>
        </is>
      </c>
      <c r="E79" s="34" t="inlineStr">
        <is>
          <t>TABLED</t>
        </is>
      </c>
      <c r="G79" s="34" t="inlineStr">
        <is>
          <t>TABLED 2026-09-23 (AW s187, 12 rows, 0 MISSING; OMi feed 8 SKUs: 6 matched, 2 OMi-only of which 0 -FG near-matches)</t>
        </is>
      </c>
    </row>
    <row r="80" ht="15" customHeight="1" s="35">
      <c r="A80" s="34" t="inlineStr">
        <is>
          <t>5601</t>
        </is>
      </c>
      <c r="B80" s="34" t="inlineStr">
        <is>
          <t>Y</t>
        </is>
      </c>
      <c r="E80" s="34" t="inlineStr">
        <is>
          <t>TABLED</t>
        </is>
      </c>
      <c r="G80" s="34" t="inlineStr">
        <is>
          <t>TABLED 2026-09-23 (AW s188, 5 rows, 0 MISSING; OMi feed 5 SKUs: 0 matched, 5 OMi-only of which 2 -FG near-matches)</t>
        </is>
      </c>
    </row>
    <row r="81" ht="15" customHeight="1" s="35">
      <c r="A81" s="34" t="inlineStr">
        <is>
          <t>5602</t>
        </is>
      </c>
      <c r="B81" s="34" t="inlineStr">
        <is>
          <t>Y</t>
        </is>
      </c>
      <c r="E81" s="62" t="inlineStr">
        <is>
          <t>TABLED - master not built</t>
        </is>
      </c>
      <c r="G81" s="34" t="inlineStr">
        <is>
          <t>scope vs OMi feed 2026-09-23: 2 BUILD / 12 DROP / 7 OMi-only (7 -FG near) of 9 OMi SKUs</t>
        </is>
      </c>
    </row>
    <row r="82" ht="15" customHeight="1" s="35">
      <c r="A82" s="34" t="inlineStr">
        <is>
          <t>5603</t>
        </is>
      </c>
      <c r="B82" s="34" t="inlineStr">
        <is>
          <t>Y</t>
        </is>
      </c>
      <c r="E82" s="62" t="inlineStr">
        <is>
          <t>TABLED - master not built</t>
        </is>
      </c>
      <c r="G82" s="34" t="inlineStr">
        <is>
          <t>scope vs OMi feed 2026-09-23: 0 BUILD / 6 DROP / 8 OMi-only (5 -FG near) of 8 OMi SKUs</t>
        </is>
      </c>
    </row>
    <row r="83" ht="15" customHeight="1" s="35">
      <c r="A83" s="34" t="inlineStr">
        <is>
          <t>5604</t>
        </is>
      </c>
      <c r="B83" s="34" t="inlineStr">
        <is>
          <t>Y</t>
        </is>
      </c>
      <c r="E83" s="34" t="inlineStr">
        <is>
          <t>TABLED</t>
        </is>
      </c>
      <c r="G83" s="34" t="inlineStr">
        <is>
          <t>TABLED 2026-09-23 (AW s191, 12 rows, 1 MISSING; OMi feed 9 SKUs: 4 matched, 5 OMi-only of which 4 -FG near-matches)</t>
        </is>
      </c>
    </row>
    <row r="84" ht="15" customHeight="1" s="35">
      <c r="A84" s="34" t="inlineStr">
        <is>
          <t>5605</t>
        </is>
      </c>
      <c r="B84" s="34" t="inlineStr">
        <is>
          <t>Y</t>
        </is>
      </c>
      <c r="E84" s="34" t="inlineStr">
        <is>
          <t>TABLED</t>
        </is>
      </c>
      <c r="G84" s="34" t="inlineStr">
        <is>
          <t>TABLED 2026-09-23 (AW s192, 14 rows, 1 MISSING; OMi feed 9 SKUs: 4 matched, 5 OMi-only of which 5 -FG near-matches)</t>
        </is>
      </c>
    </row>
    <row r="85" ht="15" customHeight="1" s="35">
      <c r="A85" s="34" t="inlineStr">
        <is>
          <t>5652</t>
        </is>
      </c>
      <c r="B85" s="34" t="inlineStr">
        <is>
          <t>Y</t>
        </is>
      </c>
      <c r="E85" s="34" t="inlineStr">
        <is>
          <t>TABLED</t>
        </is>
      </c>
      <c r="G85" s="34" t="inlineStr">
        <is>
          <t>TABLED 2026-09-23 (AW s214, 8 rows, 0 MISSING; OMi feed 9 SKUs: 0 matched, 9 OMi-only of which 8 -FG near-matches)</t>
        </is>
      </c>
    </row>
    <row r="86" ht="15" customHeight="1" s="35">
      <c r="A86" s="34" t="inlineStr">
        <is>
          <t>6316</t>
        </is>
      </c>
      <c r="B86" s="34" t="inlineStr">
        <is>
          <t>Y</t>
        </is>
      </c>
      <c r="E86" s="34" t="inlineStr">
        <is>
          <t>NOT STARTED</t>
        </is>
      </c>
      <c r="G86" s="34" t="inlineStr">
        <is>
          <t>2026-09-23: no Air-Way carbon-steel series AND not found in the cs-adapters/flange/braze feed crawl (2402 is C2402 compression-only, 6540/7202 are FS-only per cs_roots.txt, 6316 not seen) - nothing to table yet</t>
        </is>
      </c>
    </row>
    <row r="87" ht="15" customHeight="1" s="35">
      <c r="A87" s="34" t="inlineStr">
        <is>
          <t>6400</t>
        </is>
      </c>
      <c r="B87" s="34" t="inlineStr">
        <is>
          <t>Y</t>
        </is>
      </c>
      <c r="C87" s="34" t="inlineStr">
        <is>
          <t>Y</t>
        </is>
      </c>
      <c r="E87" s="63" t="inlineStr">
        <is>
          <t>BUILT</t>
        </is>
      </c>
      <c r="G87" s="34" t="inlineStr">
        <is>
          <t>BUILT (58 configs; -L rows not yet folded in; 7 ORB -14/-32 rows pending) | scope vs OMi feed 2026-09-23: 62 BUILD / 18 DROP / 0 OMi-only (0 -FG near) of 62 OMi SKUs</t>
        </is>
      </c>
    </row>
    <row r="88" ht="15" customHeight="1" s="35">
      <c r="A88" s="34" t="inlineStr">
        <is>
          <t>6401</t>
        </is>
      </c>
      <c r="B88" s="34" t="inlineStr">
        <is>
          <t>Y</t>
        </is>
      </c>
      <c r="E88" s="62" t="inlineStr">
        <is>
          <t>TABLED - master not built</t>
        </is>
      </c>
      <c r="G88" s="34" t="inlineStr">
        <is>
          <t>1 row MISSING | scope vs OMi feed 2026-09-23: 21 BUILD / 5 DROP / 3 OMi-only (0 -FG near) of 24 OMi SKUs</t>
        </is>
      </c>
    </row>
    <row r="89" ht="15" customHeight="1" s="35">
      <c r="A89" s="34" t="inlineStr">
        <is>
          <t>6402</t>
        </is>
      </c>
      <c r="B89" s="34" t="inlineStr">
        <is>
          <t>Y</t>
        </is>
      </c>
      <c r="C89" s="34" t="inlineStr">
        <is>
          <t>Y</t>
        </is>
      </c>
      <c r="E89" s="34" t="inlineStr">
        <is>
          <t>TABLED</t>
        </is>
      </c>
      <c r="G89" s="34" t="inlineStr">
        <is>
          <t>TABLED 2026-09-23 (AW s92, 22 rows, 0 MISSING; OMi feed 15 SKUs: 15 matched, 0 OMi-only of which 0 -FG near-matches)</t>
        </is>
      </c>
    </row>
    <row r="90" ht="15" customHeight="1" s="35">
      <c r="A90" s="34" t="inlineStr">
        <is>
          <t>6403</t>
        </is>
      </c>
      <c r="C90" s="34" t="inlineStr">
        <is>
          <t>Y</t>
        </is>
      </c>
      <c r="E90" s="62" t="inlineStr">
        <is>
          <t>TABLED - master not built</t>
        </is>
      </c>
      <c r="G90" s="34" t="inlineStr">
        <is>
          <t>scope vs OMi feed 2026-09-23: 0 BUILD / 8 DROP / 0 OMi-only (0 -FG near) of 0 OMi SKUs</t>
        </is>
      </c>
    </row>
    <row r="91" ht="15" customHeight="1" s="35">
      <c r="A91" s="34" t="inlineStr">
        <is>
          <t>6404</t>
        </is>
      </c>
      <c r="B91" s="34" t="inlineStr">
        <is>
          <t>Y</t>
        </is>
      </c>
      <c r="E91" s="62" t="inlineStr">
        <is>
          <t>TABLED - master not built</t>
        </is>
      </c>
      <c r="G91" s="34" t="inlineStr">
        <is>
          <t>1 row MISSING | scope vs OMi feed 2026-09-23: 14 BUILD / 12 DROP / 1 OMi-only (0 -FG near) of 15 OMi SKUs</t>
        </is>
      </c>
    </row>
    <row r="92" ht="15" customHeight="1" s="35">
      <c r="A92" s="34" t="inlineStr">
        <is>
          <t>6405</t>
        </is>
      </c>
      <c r="B92" s="34" t="inlineStr">
        <is>
          <t>Y</t>
        </is>
      </c>
      <c r="E92" s="62" t="inlineStr">
        <is>
          <t>TABLED - master not built</t>
        </is>
      </c>
      <c r="G92" s="34" t="inlineStr">
        <is>
          <t>4 rows MISSING | scope vs OMi feed 2026-09-23: 41 BUILD / 3 DROP / 4 OMi-only (0 -FG near) of 45 OMi SKUs</t>
        </is>
      </c>
    </row>
    <row r="93" ht="15" customHeight="1" s="35">
      <c r="A93" s="34" t="inlineStr">
        <is>
          <t>6408</t>
        </is>
      </c>
      <c r="B93" s="34" t="inlineStr">
        <is>
          <t>Y</t>
        </is>
      </c>
      <c r="E93" s="62" t="inlineStr">
        <is>
          <t>TABLED - master not built</t>
        </is>
      </c>
      <c r="G93" s="34" t="inlineStr">
        <is>
          <t>15/23 rows MISSING | scope vs OMi feed 2026-09-23: 22 BUILD / 1 DROP / 13 OMi-only (0 -FG near) of 26 OMi SKUs</t>
        </is>
      </c>
    </row>
    <row r="94" ht="15" customHeight="1" s="35">
      <c r="A94" s="34" t="inlineStr">
        <is>
          <t>6410</t>
        </is>
      </c>
      <c r="B94" s="34" t="inlineStr">
        <is>
          <t>Y</t>
        </is>
      </c>
      <c r="E94" s="62" t="inlineStr">
        <is>
          <t>TABLED - master not built</t>
        </is>
      </c>
      <c r="G94" s="34" t="inlineStr">
        <is>
          <t>3 rows MISSING | scope vs OMi feed 2026-09-23: 32 BUILD / 13 DROP / 6 OMi-only (0 -FG near) of 38 OMi SKUs</t>
        </is>
      </c>
    </row>
    <row r="95" ht="15" customHeight="1" s="35">
      <c r="A95" s="34" t="inlineStr">
        <is>
          <t>6420</t>
        </is>
      </c>
      <c r="B95" s="34" t="inlineStr">
        <is>
          <t>Y</t>
        </is>
      </c>
      <c r="E95" s="34" t="inlineStr">
        <is>
          <t>SKELETON-MISSING</t>
        </is>
      </c>
      <c r="G95" s="34" t="inlineStr">
        <is>
          <t>2026-09-23: no Air-Way carbon-steel series page; DesignTable_6420.xlsx holds the 2 OMi SKUs as MISSING rows (BUILD) - needs a dimensional source</t>
        </is>
      </c>
    </row>
    <row r="96" ht="15" customHeight="1" s="35">
      <c r="A96" s="34" t="inlineStr">
        <is>
          <t>6425</t>
        </is>
      </c>
      <c r="B96" s="34" t="inlineStr">
        <is>
          <t>Y</t>
        </is>
      </c>
      <c r="E96" s="34" t="inlineStr">
        <is>
          <t>SKELETON-MISSING</t>
        </is>
      </c>
      <c r="G96" s="34" t="inlineStr">
        <is>
          <t>2026-09-23: no Air-Way carbon-steel series page; DesignTable_6425.xlsx holds the 6 OMi SKUs as MISSING rows (BUILD) - needs a dimensional source</t>
        </is>
      </c>
    </row>
    <row r="97" ht="15" customHeight="1" s="35">
      <c r="A97" s="34" t="inlineStr">
        <is>
          <t>6500</t>
        </is>
      </c>
      <c r="B97" s="34" t="inlineStr">
        <is>
          <t>Y</t>
        </is>
      </c>
      <c r="C97" s="34" t="inlineStr">
        <is>
          <t>Y</t>
        </is>
      </c>
      <c r="E97" s="62" t="inlineStr">
        <is>
          <t>TABLED - master not built</t>
        </is>
      </c>
      <c r="G97" s="34" t="inlineStr">
        <is>
          <t>6500, 6500-L; swivel nut open | scope vs OMi feed 2026-09-23: 14 BUILD / 34 DROP / 14 OMi-only (10 -FG near) of 28 OMi SKUs</t>
        </is>
      </c>
    </row>
    <row r="98" ht="15" customHeight="1" s="35">
      <c r="A98" s="34" t="inlineStr">
        <is>
          <t>6501</t>
        </is>
      </c>
      <c r="B98" s="34" t="inlineStr">
        <is>
          <t>Y</t>
        </is>
      </c>
      <c r="E98" s="34" t="inlineStr">
        <is>
          <t>TABLED</t>
        </is>
      </c>
      <c r="G98" s="34" t="inlineStr">
        <is>
          <t>TABLED 2026-09-23 (AW s132, 16 rows, 1 MISSING; OMi feed 15 SKUs: 1 matched, 14 OMi-only of which 10 -FG near-matches)</t>
        </is>
      </c>
    </row>
    <row r="99" ht="15" customHeight="1" s="35">
      <c r="A99" s="34" t="inlineStr">
        <is>
          <t>6502</t>
        </is>
      </c>
      <c r="B99" s="34" t="inlineStr">
        <is>
          <t>Y</t>
        </is>
      </c>
      <c r="C99" s="34" t="inlineStr">
        <is>
          <t>Y</t>
        </is>
      </c>
      <c r="E99" s="34" t="inlineStr">
        <is>
          <t>TABLED</t>
        </is>
      </c>
      <c r="G99" s="34" t="inlineStr">
        <is>
          <t>TABLED 2026-09-23 (AW s156, 22 rows, 1 MISSING; OMi feed 15 SKUs: 10 matched, 5 OMi-only of which 0 -FG near-matches)</t>
        </is>
      </c>
    </row>
    <row r="100" ht="15" customHeight="1" s="35">
      <c r="A100" s="34" t="inlineStr">
        <is>
          <t>6503</t>
        </is>
      </c>
      <c r="B100" s="34" t="inlineStr">
        <is>
          <t>Y</t>
        </is>
      </c>
      <c r="E100" s="34" t="inlineStr">
        <is>
          <t>TABLED</t>
        </is>
      </c>
      <c r="G100" s="34" t="inlineStr">
        <is>
          <t>TABLED 2026-09-23 (AW s133, 11 rows, 0 MISSING; OMi feed 5 SKUs: 1 matched, 4 OMi-only of which 4 -FG near-matches)</t>
        </is>
      </c>
    </row>
    <row r="101" ht="15" customHeight="1" s="35">
      <c r="A101" s="34" t="inlineStr">
        <is>
          <t>6504</t>
        </is>
      </c>
      <c r="B101" s="34" t="inlineStr">
        <is>
          <t>Y</t>
        </is>
      </c>
      <c r="C101" s="34" t="inlineStr">
        <is>
          <t>Y</t>
        </is>
      </c>
      <c r="E101" s="34" t="inlineStr">
        <is>
          <t>TABLED</t>
        </is>
      </c>
      <c r="G101" s="34" t="inlineStr">
        <is>
          <t>TABLED 2026-09-23 (AW s100, 14 rows, 1 MISSING; OMi feed 20 SKUs: 10 matched, 10 OMi-only of which 0 -FG near-matches)</t>
        </is>
      </c>
    </row>
    <row r="102" ht="15" customHeight="1" s="35">
      <c r="A102" s="34" t="inlineStr">
        <is>
          <t>6505</t>
        </is>
      </c>
      <c r="B102" s="34" t="inlineStr">
        <is>
          <t>Y</t>
        </is>
      </c>
      <c r="C102" s="34" t="inlineStr">
        <is>
          <t>Y</t>
        </is>
      </c>
      <c r="E102" s="34" t="inlineStr">
        <is>
          <t>TABLED</t>
        </is>
      </c>
      <c r="G102" s="34" t="inlineStr">
        <is>
          <t>TABLED 2026-09-23 (AW s101, 20 rows, 0 MISSING; OMi feed 20 SKUs: 16 matched, 4 OMi-only of which 0 -FG near-matches)</t>
        </is>
      </c>
    </row>
    <row r="103" ht="15" customHeight="1" s="35">
      <c r="A103" s="34" t="inlineStr">
        <is>
          <t>6506</t>
        </is>
      </c>
      <c r="B103" s="34" t="inlineStr">
        <is>
          <t>Y</t>
        </is>
      </c>
      <c r="E103" s="34" t="inlineStr">
        <is>
          <t>TABLED</t>
        </is>
      </c>
      <c r="G103" s="34" t="inlineStr">
        <is>
          <t>TABLED 2026-09-23 (AW s102, 18 rows, 5 MISSING; OMi feed 19 SKUs: 15 matched, 4 OMi-only of which 0 -FG near-matches)</t>
        </is>
      </c>
    </row>
    <row r="104" ht="15" customHeight="1" s="35">
      <c r="A104" s="34" t="inlineStr">
        <is>
          <t>6540</t>
        </is>
      </c>
      <c r="C104" s="34" t="inlineStr">
        <is>
          <t>Y</t>
        </is>
      </c>
      <c r="E104" s="34" t="inlineStr">
        <is>
          <t>NOT STARTED</t>
        </is>
      </c>
      <c r="G104" s="34" t="inlineStr">
        <is>
          <t>2026-09-23: no Air-Way carbon-steel series AND not found in the cs-adapters/flange/braze feed crawl (2402 is C2402 compression-only, 6540/7202 are FS-only per cs_roots.txt, 6316 not seen) - nothing to table yet</t>
        </is>
      </c>
    </row>
    <row r="105" ht="15" customHeight="1" s="35">
      <c r="A105" s="34" t="inlineStr">
        <is>
          <t>6565</t>
        </is>
      </c>
      <c r="B105" s="34" t="inlineStr">
        <is>
          <t>Y</t>
        </is>
      </c>
      <c r="C105" s="34" t="inlineStr">
        <is>
          <t>Y</t>
        </is>
      </c>
      <c r="E105" s="34" t="inlineStr">
        <is>
          <t>TABLED</t>
        </is>
      </c>
      <c r="G105" s="34" t="inlineStr">
        <is>
          <t>TABLED 2026-09-23 (AW s104, 9 rows, 1 MISSING; OMi feed 9 SKUs: 9 matched, 0 OMi-only of which 0 -FG near-matches)</t>
        </is>
      </c>
    </row>
    <row r="106" ht="15" customHeight="1" s="35">
      <c r="A106" s="34" t="inlineStr">
        <is>
          <t>6566</t>
        </is>
      </c>
      <c r="B106" s="34" t="inlineStr">
        <is>
          <t>Y</t>
        </is>
      </c>
      <c r="E106" s="34" t="inlineStr">
        <is>
          <t>SKELETON-MISSING</t>
        </is>
      </c>
      <c r="G106" s="34" t="inlineStr">
        <is>
          <t>2026-09-23: no Air-Way carbon-steel series page; DesignTable_6566.xlsx holds the 2 OMi SKUs as MISSING rows (BUILD) - needs a dimensional source</t>
        </is>
      </c>
    </row>
    <row r="107" ht="15" customHeight="1" s="35">
      <c r="A107" s="34" t="inlineStr">
        <is>
          <t>6600</t>
        </is>
      </c>
      <c r="B107" s="34" t="inlineStr">
        <is>
          <t>Y</t>
        </is>
      </c>
      <c r="C107" s="34" t="inlineStr">
        <is>
          <t>Y</t>
        </is>
      </c>
      <c r="E107" s="34" t="inlineStr">
        <is>
          <t>TABLED</t>
        </is>
      </c>
      <c r="G107" s="34" t="inlineStr">
        <is>
          <t>TABLED 2026-09-23 (AW s193, 20 rows, 1 MISSING; OMi feed 10 SKUs: 10 matched, 0 OMi-only of which 0 -FG near-matches)</t>
        </is>
      </c>
    </row>
    <row r="108" ht="15" customHeight="1" s="35">
      <c r="A108" s="34" t="inlineStr">
        <is>
          <t>6602</t>
        </is>
      </c>
      <c r="B108" s="34" t="inlineStr">
        <is>
          <t>Y</t>
        </is>
      </c>
      <c r="C108" s="34" t="inlineStr">
        <is>
          <t>Y</t>
        </is>
      </c>
      <c r="E108" s="34" t="inlineStr">
        <is>
          <t>TABLED</t>
        </is>
      </c>
      <c r="G108" s="34" t="inlineStr">
        <is>
          <t>TABLED 2026-09-23 (AW s194, 39 rows, 1 MISSING; OMi feed 9 SKUs: 9 matched, 0 OMi-only of which 0 -FG near-matches)</t>
        </is>
      </c>
    </row>
    <row r="109" ht="15" customHeight="1" s="35">
      <c r="A109" s="34" t="inlineStr">
        <is>
          <t>6603</t>
        </is>
      </c>
      <c r="B109" s="34" t="inlineStr">
        <is>
          <t>Y</t>
        </is>
      </c>
      <c r="E109" s="34" t="inlineStr">
        <is>
          <t>TABLED</t>
        </is>
      </c>
      <c r="G109" s="34" t="inlineStr">
        <is>
          <t>TABLED 2026-09-23 (AW s195, 5 rows, 0 MISSING; OMi feed 2 SKUs: 0 matched, 2 OMi-only of which 2 -FG near-matches)</t>
        </is>
      </c>
    </row>
    <row r="110" ht="15" customHeight="1" s="35">
      <c r="A110" s="34" t="inlineStr">
        <is>
          <t>6606</t>
        </is>
      </c>
      <c r="B110" s="34" t="inlineStr">
        <is>
          <t>Y</t>
        </is>
      </c>
      <c r="E110" s="34" t="inlineStr">
        <is>
          <t>TABLED</t>
        </is>
      </c>
      <c r="G110" s="34" t="inlineStr">
        <is>
          <t>TABLED 2026-09-23 (AW s198, 2 rows, 0 MISSING; OMi feed 6 SKUs: 0 matched, 6 OMi-only of which 2 -FG near-matches)</t>
        </is>
      </c>
    </row>
    <row r="111" ht="15" customHeight="1" s="35">
      <c r="A111" s="34" t="inlineStr">
        <is>
          <t>6701</t>
        </is>
      </c>
      <c r="B111" s="34" t="inlineStr">
        <is>
          <t>Y</t>
        </is>
      </c>
      <c r="E111" s="34" t="inlineStr">
        <is>
          <t>SKELETON-MISSING</t>
        </is>
      </c>
      <c r="G111" s="34" t="inlineStr">
        <is>
          <t>2026-09-23: no Air-Way carbon-steel series page; DesignTable_6701.xlsx holds the 7 OMi SKUs as MISSING rows (BUILD) - needs a dimensional source</t>
        </is>
      </c>
    </row>
    <row r="112" ht="15" customHeight="1" s="35">
      <c r="A112" s="34" t="inlineStr">
        <is>
          <t>6801</t>
        </is>
      </c>
      <c r="B112" s="34" t="inlineStr">
        <is>
          <t>Y</t>
        </is>
      </c>
      <c r="C112" s="34" t="inlineStr">
        <is>
          <t>Y</t>
        </is>
      </c>
      <c r="D112" s="34" t="inlineStr">
        <is>
          <t>Y</t>
        </is>
      </c>
      <c r="E112" s="62" t="inlineStr">
        <is>
          <t>TABLED - master not built</t>
        </is>
      </c>
      <c r="G112" s="34" t="inlineStr">
        <is>
          <t>6801, -L, -LL, -LLL; 8 rows MISSING | scope vs OMi feed 2026-09-23: 41 BUILD / 96 DROP / 12 OMi-only (10 -FG near) of 53 OMi SKUs</t>
        </is>
      </c>
    </row>
    <row r="113" ht="15" customHeight="1" s="35">
      <c r="A113" s="34" t="inlineStr">
        <is>
          <t>6802</t>
        </is>
      </c>
      <c r="B113" s="34" t="inlineStr">
        <is>
          <t>Y</t>
        </is>
      </c>
      <c r="C113" s="34" t="inlineStr">
        <is>
          <t>Y</t>
        </is>
      </c>
      <c r="E113" s="62" t="inlineStr">
        <is>
          <t>TABLED - master not built</t>
        </is>
      </c>
      <c r="G113" s="34" t="inlineStr">
        <is>
          <t>3 rows MISSING | scope vs OMi feed 2026-09-23: 20 BUILD / 36 DROP / 4 OMi-only (3 -FG near) of 24 OMi SKUs</t>
        </is>
      </c>
    </row>
    <row r="114" ht="15" customHeight="1" s="35">
      <c r="A114" s="34" t="inlineStr">
        <is>
          <t>6803</t>
        </is>
      </c>
      <c r="B114" s="34" t="inlineStr">
        <is>
          <t>Y</t>
        </is>
      </c>
      <c r="C114" s="34" t="inlineStr">
        <is>
          <t>Y</t>
        </is>
      </c>
      <c r="E114" s="62" t="inlineStr">
        <is>
          <t>TABLED - master not built</t>
        </is>
      </c>
      <c r="F114" s="34" t="n">
        <v>8</v>
      </c>
      <c r="G114" s="34" t="inlineStr">
        <is>
          <t>scope vs OMi feed 2026-09-23: 5 BUILD / 29 DROP / 3 OMi-only (3 -FG near) of 8 OMi SKUs</t>
        </is>
      </c>
    </row>
    <row r="115" ht="15" customHeight="1" s="35">
      <c r="A115" s="34" t="inlineStr">
        <is>
          <t>6804</t>
        </is>
      </c>
      <c r="B115" s="34" t="inlineStr">
        <is>
          <t>Y</t>
        </is>
      </c>
      <c r="C115" s="34" t="inlineStr">
        <is>
          <t>Y</t>
        </is>
      </c>
      <c r="E115" s="62" t="inlineStr">
        <is>
          <t>TABLED - master not built</t>
        </is>
      </c>
      <c r="G115" s="34" t="inlineStr">
        <is>
          <t>1 row MISSING | scope vs OMi feed 2026-09-23: 8 BUILD / 44 DROP / 1 OMi-only (1 -FG near) of 9 OMi SKUs</t>
        </is>
      </c>
    </row>
    <row r="116" ht="15" customHeight="1" s="35">
      <c r="A116" s="34" t="inlineStr">
        <is>
          <t>6805</t>
        </is>
      </c>
      <c r="B116" s="34" t="inlineStr">
        <is>
          <t>Y</t>
        </is>
      </c>
      <c r="E116" s="62" t="inlineStr">
        <is>
          <t>TABLED - master not built</t>
        </is>
      </c>
      <c r="G116" s="34" t="inlineStr">
        <is>
          <t>1 row MISSING | scope vs OMi feed 2026-09-23: 3 BUILD / 15 DROP / 9 OMi-only (9 -FG near) of 12 OMi SKUs</t>
        </is>
      </c>
    </row>
    <row r="117" ht="15" customHeight="1" s="35">
      <c r="A117" s="34" t="inlineStr">
        <is>
          <t>6806</t>
        </is>
      </c>
      <c r="B117" s="34" t="inlineStr">
        <is>
          <t>Y</t>
        </is>
      </c>
      <c r="E117" s="62" t="inlineStr">
        <is>
          <t>TABLED - master not built</t>
        </is>
      </c>
      <c r="G117" s="34" t="inlineStr">
        <is>
          <t>scope vs OMi feed 2026-09-23: 1 BUILD / 16 DROP / 10 OMi-only (9 -FG near) of 11 OMi SKUs</t>
        </is>
      </c>
    </row>
    <row r="118" ht="15" customHeight="1" s="35">
      <c r="A118" s="34" t="inlineStr">
        <is>
          <t>6807</t>
        </is>
      </c>
      <c r="B118" s="34" t="inlineStr">
        <is>
          <t>Y</t>
        </is>
      </c>
      <c r="E118" s="34" t="inlineStr">
        <is>
          <t>TABLED</t>
        </is>
      </c>
      <c r="G118" s="34" t="inlineStr">
        <is>
          <t>TABLED 2026-09-23 (AW s140, 12 rows, 0 MISSING; OMi feed 5 SKUs: 1 matched, 4 OMi-only of which 4 -FG near-matches)</t>
        </is>
      </c>
    </row>
    <row r="119" ht="15" customHeight="1" s="35">
      <c r="A119" s="34" t="inlineStr">
        <is>
          <t>6809</t>
        </is>
      </c>
      <c r="B119" s="34" t="inlineStr">
        <is>
          <t>Y</t>
        </is>
      </c>
      <c r="C119" s="34" t="inlineStr">
        <is>
          <t>Y</t>
        </is>
      </c>
      <c r="E119" s="34" t="inlineStr">
        <is>
          <t>TABLED</t>
        </is>
      </c>
      <c r="G119" s="34" t="inlineStr">
        <is>
          <t>TABLED 2026-09-23 (AW s141, 12 rows, 0 MISSING; OMi feed 4 SKUs: 0 matched, 4 OMi-only of which 4 -FG near-matches)</t>
        </is>
      </c>
    </row>
    <row r="120" ht="15" customHeight="1" s="35">
      <c r="A120" s="34" t="inlineStr">
        <is>
          <t>6810</t>
        </is>
      </c>
      <c r="B120" s="34" t="inlineStr">
        <is>
          <t>Y</t>
        </is>
      </c>
      <c r="E120" s="34" t="inlineStr">
        <is>
          <t>TABLED</t>
        </is>
      </c>
      <c r="G120" s="34" t="inlineStr">
        <is>
          <t>TABLED 2026-09-23 (AW s160, 4 rows, 0 MISSING; OMi feed 1 SKUs: 0 matched, 1 OMi-only of which 1 -FG near-matches)</t>
        </is>
      </c>
    </row>
    <row r="121" ht="15" customHeight="1" s="35">
      <c r="A121" s="34" t="inlineStr">
        <is>
          <t>6815</t>
        </is>
      </c>
      <c r="B121" s="34" t="inlineStr">
        <is>
          <t>Y</t>
        </is>
      </c>
      <c r="E121" s="34" t="inlineStr">
        <is>
          <t>SKELETON-MISSING</t>
        </is>
      </c>
      <c r="G121" s="34" t="inlineStr">
        <is>
          <t>2026-09-23: no Air-Way carbon-steel series page; DesignTable_6815.xlsx holds the 6 OMi SKUs as MISSING rows (BUILD) - needs a dimensional source</t>
        </is>
      </c>
    </row>
    <row r="122" ht="15" customHeight="1" s="35">
      <c r="A122" s="34" t="inlineStr">
        <is>
          <t>6832</t>
        </is>
      </c>
      <c r="B122" s="34" t="inlineStr">
        <is>
          <t>Y</t>
        </is>
      </c>
      <c r="E122" s="34" t="inlineStr">
        <is>
          <t>SKELETON-MISSING</t>
        </is>
      </c>
      <c r="G122" s="34" t="inlineStr">
        <is>
          <t>2026-09-23: no Air-Way carbon-steel series page; DesignTable_6832.xlsx holds the 4 OMi SKUs as MISSING rows (BUILD) - needs a dimensional source</t>
        </is>
      </c>
    </row>
    <row r="123" ht="15" customHeight="1" s="35">
      <c r="A123" s="34" t="inlineStr">
        <is>
          <t>6835</t>
        </is>
      </c>
      <c r="B123" s="34" t="inlineStr">
        <is>
          <t>Y</t>
        </is>
      </c>
      <c r="E123" s="34" t="inlineStr">
        <is>
          <t>SKELETON-MISSING</t>
        </is>
      </c>
      <c r="G123" s="34" t="inlineStr">
        <is>
          <t>2026-09-23: no Air-Way carbon-steel series page; DesignTable_6835.xlsx holds the 4 OMi SKUs as MISSING rows (BUILD) - needs a dimensional source</t>
        </is>
      </c>
    </row>
    <row r="124" ht="15" customHeight="1" s="35">
      <c r="A124" s="34" t="inlineStr">
        <is>
          <t>6900</t>
        </is>
      </c>
      <c r="B124" s="34" t="inlineStr">
        <is>
          <t>Y</t>
        </is>
      </c>
      <c r="E124" s="62" t="inlineStr">
        <is>
          <t>TABLED - master not built</t>
        </is>
      </c>
      <c r="G124" s="34" t="inlineStr">
        <is>
          <t>all 24 rows MISSING | scope vs OMi feed 2026-09-23: 21 BUILD / 3 DROP / 1 OMi-only (0 -FG near) of 22 OMi SKUs</t>
        </is>
      </c>
    </row>
    <row r="125" ht="15" customHeight="1" s="35">
      <c r="A125" s="34" t="inlineStr">
        <is>
          <t>6901</t>
        </is>
      </c>
      <c r="B125" s="34" t="inlineStr">
        <is>
          <t>Y</t>
        </is>
      </c>
      <c r="E125" s="34" t="inlineStr">
        <is>
          <t>TABLED</t>
        </is>
      </c>
      <c r="G125" s="34" t="inlineStr">
        <is>
          <t>TABLED 2026-09-23 (AW s142, 29 rows, 0 MISSING; OMi feed 17 SKUs: 3 matched, 14 OMi-only of which 13 -FG near-matches)</t>
        </is>
      </c>
    </row>
    <row r="126" ht="15" customHeight="1" s="35">
      <c r="A126" s="34" t="inlineStr">
        <is>
          <t>6902</t>
        </is>
      </c>
      <c r="B126" s="34" t="inlineStr">
        <is>
          <t>Y</t>
        </is>
      </c>
      <c r="E126" s="34" t="inlineStr">
        <is>
          <t>TABLED</t>
        </is>
      </c>
      <c r="G126" s="34" t="inlineStr">
        <is>
          <t>TABLED 2026-09-23 (AW s161, 18 rows, 0 MISSING; OMi feed 10 SKUs: 1 matched, 9 OMi-only of which 8 -FG near-matches)</t>
        </is>
      </c>
    </row>
    <row r="127" ht="15" customHeight="1" s="35">
      <c r="A127" s="34" t="inlineStr">
        <is>
          <t>7202</t>
        </is>
      </c>
      <c r="C127" s="34" t="inlineStr">
        <is>
          <t>Y</t>
        </is>
      </c>
      <c r="E127" s="34" t="inlineStr">
        <is>
          <t>NOT STARTED</t>
        </is>
      </c>
      <c r="G127" s="34" t="inlineStr">
        <is>
          <t>2026-09-23: no Air-Way carbon-steel series AND not found in the cs-adapters/flange/braze feed crawl (2402 is C2402 compression-only, 6540/7202 are FS-only per cs_roots.txt, 6316 not seen) - nothing to table yet</t>
        </is>
      </c>
    </row>
  </sheetData>
  <autoFilter ref="A1:E12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7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34" min="1" max="1"/>
    <col width="12" customWidth="1" style="34" min="2" max="2"/>
    <col width="22" customWidth="1" style="34" min="3" max="4"/>
    <col width="10" customWidth="1" style="34" min="5" max="5"/>
    <col width="24" customWidth="1" style="34" min="6" max="6"/>
  </cols>
  <sheetData>
    <row r="1" ht="17.25" customHeight="1" s="35">
      <c r="A1" s="36" t="inlineStr">
        <is>
          <t>INDUSTRY-STANDARD VALUES — PRESSURE, MATERIAL, FINISH, TEMPERATURE</t>
        </is>
      </c>
    </row>
    <row r="2" ht="15" customHeight="1" s="35">
      <c r="A2" s="34" t="inlineStr">
        <is>
          <t>Every figure below is sourced and labelled. Nothing here is assumed or interpolated.</t>
        </is>
      </c>
    </row>
    <row r="3" ht="15" customHeight="1" s="35"/>
    <row r="4" ht="15" customHeight="1" s="35">
      <c r="A4" s="38" t="inlineStr">
        <is>
          <t>PRESSURE RATINGS — 37 deg flare (JIC), carbon steel</t>
        </is>
      </c>
    </row>
    <row r="5" ht="15" customHeight="1" s="35">
      <c r="A5" s="34" t="inlineStr">
        <is>
          <t>TWO DIFFERENT TABLES EXIST. They do not agree. Both are reproduced; neither is averaged.</t>
        </is>
      </c>
    </row>
    <row r="6" ht="15" customHeight="1" s="35"/>
    <row r="7" ht="15" customHeight="1" s="35">
      <c r="A7" s="39" t="inlineStr">
        <is>
          <t>Dash</t>
        </is>
      </c>
      <c r="B7" s="39" t="inlineStr">
        <is>
          <t>Tube OD</t>
        </is>
      </c>
      <c r="C7" s="39" t="inlineStr">
        <is>
          <t>GENERIC SAE-STYLE psi</t>
        </is>
      </c>
      <c r="D7" s="39" t="inlineStr">
        <is>
          <t>Parker Triple-Lok psi</t>
        </is>
      </c>
      <c r="E7" s="39" t="inlineStr">
        <is>
          <t>Delta</t>
        </is>
      </c>
      <c r="F7" s="39" t="inlineStr">
        <is>
          <t>Which to use</t>
        </is>
      </c>
    </row>
    <row r="8" ht="15" customHeight="1" s="35">
      <c r="A8" s="34" t="n">
        <v>2</v>
      </c>
      <c r="B8" s="34" t="inlineStr">
        <is>
          <t>1/8</t>
        </is>
      </c>
      <c r="C8" s="48" t="n">
        <v>5000</v>
      </c>
      <c r="D8" s="40" t="n">
        <v>7500</v>
      </c>
      <c r="E8" s="34" t="inlineStr">
        <is>
          <t>+50%</t>
        </is>
      </c>
      <c r="F8" s="34" t="inlineStr">
        <is>
          <t>GENERIC (conservative)</t>
        </is>
      </c>
    </row>
    <row r="9" ht="15" customHeight="1" s="35">
      <c r="A9" s="34" t="n">
        <v>3</v>
      </c>
      <c r="B9" s="34" t="inlineStr">
        <is>
          <t>3/16</t>
        </is>
      </c>
      <c r="C9" s="48" t="n">
        <v>5000</v>
      </c>
      <c r="D9" s="40" t="n">
        <v>7500</v>
      </c>
      <c r="E9" s="34" t="inlineStr">
        <is>
          <t>+50%</t>
        </is>
      </c>
      <c r="F9" s="34" t="inlineStr">
        <is>
          <t>GENERIC (conservative)</t>
        </is>
      </c>
    </row>
    <row r="10" ht="15" customHeight="1" s="35">
      <c r="A10" s="34" t="n">
        <v>4</v>
      </c>
      <c r="B10" s="34" t="inlineStr">
        <is>
          <t>1/4</t>
        </is>
      </c>
      <c r="C10" s="48" t="n">
        <v>5000</v>
      </c>
      <c r="D10" s="40" t="n">
        <v>7500</v>
      </c>
      <c r="E10" s="34" t="inlineStr">
        <is>
          <t>+50%</t>
        </is>
      </c>
      <c r="F10" s="34" t="inlineStr">
        <is>
          <t>GENERIC (conservative)</t>
        </is>
      </c>
    </row>
    <row r="11" ht="15" customHeight="1" s="35">
      <c r="A11" s="34" t="n">
        <v>5</v>
      </c>
      <c r="B11" s="34" t="inlineStr">
        <is>
          <t>5/16</t>
        </is>
      </c>
      <c r="C11" s="48" t="n">
        <v>5000</v>
      </c>
      <c r="D11" s="40" t="n">
        <v>7500</v>
      </c>
      <c r="E11" s="34" t="inlineStr">
        <is>
          <t>+50%</t>
        </is>
      </c>
      <c r="F11" s="34" t="inlineStr">
        <is>
          <t>GENERIC (conservative)</t>
        </is>
      </c>
    </row>
    <row r="12" ht="15" customHeight="1" s="35">
      <c r="A12" s="34" t="n">
        <v>6</v>
      </c>
      <c r="B12" s="34" t="inlineStr">
        <is>
          <t>3/8</t>
        </is>
      </c>
      <c r="C12" s="48" t="n">
        <v>5000</v>
      </c>
      <c r="D12" s="40" t="n">
        <v>7500</v>
      </c>
      <c r="E12" s="34" t="inlineStr">
        <is>
          <t>+50%</t>
        </is>
      </c>
      <c r="F12" s="34" t="inlineStr">
        <is>
          <t>GENERIC (conservative)</t>
        </is>
      </c>
    </row>
    <row r="13" ht="15" customHeight="1" s="35">
      <c r="A13" s="34" t="n">
        <v>8</v>
      </c>
      <c r="B13" s="34" t="inlineStr">
        <is>
          <t>1/2</t>
        </is>
      </c>
      <c r="C13" s="48" t="n">
        <v>4500</v>
      </c>
      <c r="D13" s="40" t="n">
        <v>6000</v>
      </c>
      <c r="E13" s="34" t="inlineStr">
        <is>
          <t>+33%</t>
        </is>
      </c>
      <c r="F13" s="34" t="inlineStr">
        <is>
          <t>GENERIC (conservative)</t>
        </is>
      </c>
    </row>
    <row r="14" ht="15" customHeight="1" s="35">
      <c r="A14" s="34" t="n">
        <v>10</v>
      </c>
      <c r="B14" s="34" t="inlineStr">
        <is>
          <t>5/8</t>
        </is>
      </c>
      <c r="C14" s="48" t="n">
        <v>3500</v>
      </c>
      <c r="D14" s="40" t="n">
        <v>6000</v>
      </c>
      <c r="E14" s="34" t="inlineStr">
        <is>
          <t>+71%</t>
        </is>
      </c>
      <c r="F14" s="34" t="inlineStr">
        <is>
          <t>GENERIC (conservative)</t>
        </is>
      </c>
    </row>
    <row r="15" ht="15" customHeight="1" s="35">
      <c r="A15" s="34" t="n">
        <v>12</v>
      </c>
      <c r="B15" s="34" t="inlineStr">
        <is>
          <t>3/4</t>
        </is>
      </c>
      <c r="C15" s="48" t="n">
        <v>3500</v>
      </c>
      <c r="D15" s="40" t="n">
        <v>5000</v>
      </c>
      <c r="E15" s="34" t="inlineStr">
        <is>
          <t>+43%</t>
        </is>
      </c>
      <c r="F15" s="34" t="inlineStr">
        <is>
          <t>GENERIC (conservative)</t>
        </is>
      </c>
    </row>
    <row r="16" ht="15" customHeight="1" s="35">
      <c r="A16" s="34" t="n">
        <v>14</v>
      </c>
      <c r="B16" s="34" t="inlineStr">
        <is>
          <t>7/8</t>
        </is>
      </c>
      <c r="C16" s="48" t="n">
        <v>3000</v>
      </c>
      <c r="D16" s="40" t="n">
        <v>5000</v>
      </c>
      <c r="E16" s="34" t="inlineStr">
        <is>
          <t>+67%</t>
        </is>
      </c>
      <c r="F16" s="34" t="inlineStr">
        <is>
          <t>GENERIC (conservative)</t>
        </is>
      </c>
    </row>
    <row r="17" ht="15" customHeight="1" s="35">
      <c r="A17" s="34" t="n">
        <v>16</v>
      </c>
      <c r="B17" s="34" t="inlineStr">
        <is>
          <t>1</t>
        </is>
      </c>
      <c r="C17" s="48" t="n">
        <v>3000</v>
      </c>
      <c r="D17" s="40" t="n">
        <v>4000</v>
      </c>
      <c r="E17" s="34" t="inlineStr">
        <is>
          <t>+33%</t>
        </is>
      </c>
      <c r="F17" s="34" t="inlineStr">
        <is>
          <t>GENERIC (conservative)</t>
        </is>
      </c>
    </row>
    <row r="18" ht="15" customHeight="1" s="35">
      <c r="A18" s="34" t="n">
        <v>20</v>
      </c>
      <c r="B18" s="34" t="inlineStr">
        <is>
          <t>1 1/4</t>
        </is>
      </c>
      <c r="C18" s="48" t="n">
        <v>2500</v>
      </c>
      <c r="D18" s="40" t="n">
        <v>4000</v>
      </c>
      <c r="E18" s="34" t="inlineStr">
        <is>
          <t>+60%</t>
        </is>
      </c>
      <c r="F18" s="34" t="inlineStr">
        <is>
          <t>GENERIC (conservative)</t>
        </is>
      </c>
    </row>
    <row r="19" ht="15" customHeight="1" s="35">
      <c r="A19" s="34" t="n">
        <v>24</v>
      </c>
      <c r="B19" s="34" t="inlineStr">
        <is>
          <t>1 1/2</t>
        </is>
      </c>
      <c r="C19" s="48" t="n">
        <v>2000</v>
      </c>
      <c r="D19" s="40" t="n">
        <v>3000</v>
      </c>
      <c r="E19" s="34" t="inlineStr">
        <is>
          <t>+50%</t>
        </is>
      </c>
      <c r="F19" s="34" t="inlineStr">
        <is>
          <t>GENERIC (conservative)</t>
        </is>
      </c>
    </row>
    <row r="20" ht="15" customHeight="1" s="35">
      <c r="A20" s="34" t="n">
        <v>32</v>
      </c>
      <c r="B20" s="34" t="inlineStr">
        <is>
          <t>2</t>
        </is>
      </c>
      <c r="C20" s="48" t="n">
        <v>1500</v>
      </c>
      <c r="D20" s="40" t="n">
        <v>2000</v>
      </c>
      <c r="E20" s="34" t="inlineStr">
        <is>
          <t>+33%</t>
        </is>
      </c>
      <c r="F20" s="34" t="inlineStr">
        <is>
          <t>GENERIC (conservative)</t>
        </is>
      </c>
    </row>
    <row r="21" ht="15" customHeight="1" s="35"/>
    <row r="22" ht="15" customHeight="1" s="35">
      <c r="A22" s="34" t="inlineStr">
        <is>
          <t>GENERIC column: Ham-Let SAE37 catalog AND hoseandfittings.com — two independent sources, IDENTICAL on all 13 sizes.</t>
        </is>
      </c>
    </row>
    <row r="23" ht="15" customHeight="1" s="35">
      <c r="A23" s="34" t="inlineStr">
        <is>
          <t xml:space="preserve">  https://s29.q4cdn.com/619069826/files/doc_downloads/2025/Jan/SAE37-FLARE-2025.pdf</t>
        </is>
      </c>
    </row>
    <row r="24" ht="15" customHeight="1" s="35">
      <c r="A24" s="34" t="inlineStr">
        <is>
          <t xml:space="preserve">  https://www.hoseandfittings.com/jic-pressures/</t>
        </is>
      </c>
    </row>
    <row r="25" ht="15" customHeight="1" s="35">
      <c r="A25" s="34" t="inlineStr">
        <is>
          <t>PARKER column: Parker Catalog 4300 Triple-Lok, HTX union table p.B10 - product-specific rating for Parker's own fitting.</t>
        </is>
      </c>
    </row>
    <row r="26" ht="15" customHeight="1" s="35">
      <c r="A26" s="34" t="inlineStr">
        <is>
          <t xml:space="preserve">  https://irp-cdn.multiscreensite.com/a854805f/files/uploaded/Catalog%204300-%20Triple-Lok%20&amp;%20Triple-Lok_2%2037%C2%B0%20Flare%20Tube%20Fittings.pdf</t>
        </is>
      </c>
    </row>
    <row r="27" ht="15" customHeight="1" s="35">
      <c r="A27" s="38" t="inlineStr">
        <is>
          <t>RECOMMENDATION: publish the GENERIC figures. They are conservative, two-source agreed, and not tied to</t>
        </is>
      </c>
    </row>
    <row r="28" ht="15" customHeight="1" s="35">
      <c r="A28" s="34" t="inlineStr">
        <is>
          <t>another maker's product. Parker's are 30-50% higher and specific to Parker's manufacturing.</t>
        </is>
      </c>
    </row>
    <row r="29" ht="15" customHeight="1" s="35"/>
    <row r="30" ht="15" customHeight="1" s="35">
      <c r="A30" s="38" t="inlineStr">
        <is>
          <t>RULES THAT GOVERN HOW THE RATING IS APPLIED</t>
        </is>
      </c>
    </row>
    <row r="31" ht="15" customHeight="1" s="35">
      <c r="A31" s="34" t="inlineStr">
        <is>
          <t>1. Published figures are WORKING pressure at a 4:1 minimum burst factor.  [Ham-Let; Pulsar Hydraulics]</t>
        </is>
      </c>
    </row>
    <row r="32" ht="15" customHeight="1" s="35">
      <c r="A32" s="34" t="inlineStr">
        <is>
          <t>2. Fitting SHAPE does not change the rating - a -8 union, -8 elbow and -8 tee all rate the same.  [Parker Cat.4300]</t>
        </is>
      </c>
    </row>
    <row r="33" ht="15" customHeight="1" s="35">
      <c r="A33" s="34" t="inlineStr">
        <is>
          <t>3. END TYPE does. A flare-to-NPTF part rates below an all-flare part of the same dash.  [Parker Cat.4300]</t>
        </is>
      </c>
    </row>
    <row r="34" ht="15" customHeight="1" s="35">
      <c r="A34" s="34" t="inlineStr">
        <is>
          <t>4. On a two-end fitting the LOWER-rated end governs.  VERBATIM: 'When using jump size adapters or</t>
        </is>
      </c>
    </row>
    <row r="35" ht="15" customHeight="1" s="35">
      <c r="A35" s="34" t="inlineStr">
        <is>
          <t xml:space="preserve">   adapters with two thread styles, always refer to the lowest of the two ratings.'  [pulsarhydraulics.com/pressure-ratings]</t>
        </is>
      </c>
    </row>
    <row r="36" ht="15" customHeight="1" s="35">
      <c r="A36" s="40" t="inlineStr">
        <is>
          <t>5. DERIVED RULE APPLIED IN THIS WORKBOOK: rating = generic table value for the LARGER of the two dash</t>
        </is>
      </c>
    </row>
    <row r="37" ht="15" customHeight="1" s="35">
      <c r="A37" s="34" t="inlineStr">
        <is>
          <t xml:space="preserve">   sizes, because larger dash = lower rating = the governing end. This is our application of rule 4,</t>
        </is>
      </c>
    </row>
    <row r="38" ht="15" customHeight="1" s="35">
      <c r="A38" s="34" t="inlineStr">
        <is>
          <t xml:space="preserve">   NOT a published figure. Flagged as DERIVED on every row it touches.</t>
        </is>
      </c>
    </row>
    <row r="39" ht="15" customHeight="1" s="35"/>
    <row r="40" ht="15" customHeight="1" s="35">
      <c r="A40" s="38" t="inlineStr">
        <is>
          <t>MATERIAL</t>
        </is>
      </c>
    </row>
    <row r="41" ht="15" customHeight="1" s="35">
      <c r="A41" s="34" t="inlineStr">
        <is>
          <t>SAE J514 clause 3.9 (2001 repro): 'Unless otherwise specified, fittings and ferrules shall be made from carbon steel.'</t>
        </is>
      </c>
    </row>
    <row r="42" ht="15" customHeight="1" s="35">
      <c r="A42" s="34" t="inlineStr">
        <is>
          <t xml:space="preserve">  -&gt; The standard mandates the CLASS only. Specific grade is the manufacturer's choice.</t>
        </is>
      </c>
    </row>
    <row r="43" ht="15" customHeight="1" s="35">
      <c r="A43" s="34" t="inlineStr">
        <is>
          <t xml:space="preserve">  Source: studocu reproduction of J514(2001) - SECONDARY source, current 2022 edition is paywalled and unverified.</t>
        </is>
      </c>
    </row>
    <row r="44" ht="15" customHeight="1" s="35"/>
    <row r="45" ht="15" customHeight="1" s="35">
      <c r="A45" s="34" t="inlineStr">
        <is>
          <t>Parker Triple-Lok actual grades (Catalog 4300, 'Materials and Manufacture'):</t>
        </is>
      </c>
    </row>
    <row r="46" ht="15" customHeight="1" s="35">
      <c r="A46" s="34" t="inlineStr">
        <is>
          <t xml:space="preserve">   Cold formed bodies   ASTM A576 C1010/C1008</t>
        </is>
      </c>
    </row>
    <row r="47" ht="15" customHeight="1" s="35">
      <c r="A47" s="34" t="inlineStr">
        <is>
          <t xml:space="preserve">   Forged bodies        ASTM A576 1214/1215</t>
        </is>
      </c>
    </row>
    <row r="48" ht="15" customHeight="1" s="35">
      <c r="A48" s="34" t="inlineStr">
        <is>
          <t xml:space="preserve">   Bar stock bodies     ASTM A108 12L14</t>
        </is>
      </c>
    </row>
    <row r="49" ht="15" customHeight="1" s="35">
      <c r="A49" s="34" t="inlineStr">
        <is>
          <t xml:space="preserve">   Bar stock sleeves    ASTM A108 C1137</t>
        </is>
      </c>
    </row>
    <row r="50" ht="15" customHeight="1" s="35">
      <c r="A50" s="34" t="inlineStr">
        <is>
          <t xml:space="preserve">   Cold formed nuts     ASTM A576 C1010/C1008</t>
        </is>
      </c>
    </row>
    <row r="51" ht="15" customHeight="1" s="35">
      <c r="A51" s="34" t="inlineStr">
        <is>
          <t xml:space="preserve">  https://www.goodyearrubberproducts.com/files/Parker/ParkerTubeCatalog4300/Parker%20Tube%20Catalog%204300examin1.Page062.pdf</t>
        </is>
      </c>
    </row>
    <row r="52" ht="15" customHeight="1" s="35">
      <c r="A52" s="40" t="inlineStr">
        <is>
          <t>Dunlop Hiflex cites ASTM A108 (bar) / ASTM A105 (forging) - MAKERS GENUINELY DIFFER. Pick one and state it.</t>
        </is>
      </c>
    </row>
    <row r="53" ht="15" customHeight="1" s="35"/>
    <row r="54" ht="15" customHeight="1" s="35">
      <c r="A54" s="38" t="inlineStr">
        <is>
          <t>FINISH / PLATING</t>
        </is>
      </c>
    </row>
    <row r="55" ht="15" customHeight="1" s="35">
      <c r="A55" s="34" t="inlineStr">
        <is>
          <t>SAE baseline: 72 hours salt spray without red rust. NOTE: attributed to SAE by Eaton and a Parker distributor,</t>
        </is>
      </c>
    </row>
    <row r="56" ht="15" customHeight="1" s="35">
      <c r="A56" s="34" t="inlineStr">
        <is>
          <t xml:space="preserve">  but NOT seen in SAE-published text. Treat as corroborated hearsay, not a verified quote.</t>
        </is>
      </c>
    </row>
    <row r="57" ht="15" customHeight="1" s="35">
      <c r="A57" s="34" t="inlineStr">
        <is>
          <t>Legacy  : zinc + yellow chromate (HEXAVALENT) - being phased out industry-wide.</t>
        </is>
      </c>
    </row>
    <row r="58" ht="15" customHeight="1" s="35">
      <c r="A58" s="34" t="inlineStr">
        <is>
          <t>Current : trivalent Cr3 zinc, ASTM B633 Type V/VI passivate. Brennan quotes 120h white / 240h red.</t>
        </is>
      </c>
    </row>
    <row r="59" ht="15" customHeight="1" s="35">
      <c r="A59" s="34" t="inlineStr">
        <is>
          <t>Premium : zinc-nickel. Gates and STAUFF both quote 1,200h red rust per ISO 9227. STAUFF declares Cr(VI)-free,</t>
        </is>
      </c>
    </row>
    <row r="60" ht="15" customHeight="1" s="35">
      <c r="A60" s="34" t="inlineStr">
        <is>
          <t xml:space="preserve">          RoHS 2002/95/EC, ELV 2000/53/EC and REACH compliant.</t>
        </is>
      </c>
    </row>
    <row r="61" ht="15" customHeight="1" s="35">
      <c r="A61" s="34" t="inlineStr">
        <is>
          <t>ASTM B633-23 was revised to add Types V and VI specifically for non-chromate RoHS passivates.</t>
        </is>
      </c>
    </row>
    <row r="62" ht="15" customHeight="1" s="35">
      <c r="A62" s="34" t="inlineStr">
        <is>
          <t>CAUTION: salt-spray hours from different makers use DIFFERENT test standards (ASTM B117 vs ISO 9227 vs</t>
        </is>
      </c>
    </row>
    <row r="63" ht="15" customHeight="1" s="35">
      <c r="A63" s="40" t="inlineStr">
        <is>
          <t xml:space="preserve">  DIN 50021-SS). They are NOT interchangeable and should not be compared directly.</t>
        </is>
      </c>
    </row>
    <row r="64" ht="15" customHeight="1" s="35"/>
    <row r="65" ht="15" customHeight="1" s="35">
      <c r="A65" s="38" t="inlineStr">
        <is>
          <t>TEMPERATURE</t>
        </is>
      </c>
    </row>
    <row r="66" ht="15" customHeight="1" s="35">
      <c r="A66" s="34" t="inlineStr">
        <is>
          <t>-65 F to +400 F for steel 37 deg flare (metal-to-metal joint).  [kimballmidwest.com] - SINGLE distributor source, WEAK.</t>
        </is>
      </c>
    </row>
    <row r="67" ht="15" customHeight="1" s="35">
      <c r="A67" s="34" t="inlineStr">
        <is>
          <t>No published O-ring-boss / ORB temperature limit was found. An ORB joint is limited by the elastomer,</t>
        </is>
      </c>
    </row>
    <row r="68" ht="15" customHeight="1" s="35">
      <c r="A68" s="49" t="inlineStr">
        <is>
          <t xml:space="preserve">  not the steel, so this figure does NOT apply to ORB ends. UNRESOLVED - needs your seal supplier's data.</t>
        </is>
      </c>
    </row>
    <row r="69">
      <c r="A69" s="34" t="inlineStr">
        <is>
          <t>MS33656J (12 Mar 1987, canceled 1993 -&gt; AS4395)</t>
        </is>
      </c>
      <c r="B69" s="34" t="inlineStr">
        <is>
          <t>Fitting end, flared tube connection - male 37deg end: A/B/C/D/E/F/H/J/K/Q/W per dash -2..-48. FREE via ASSIST quicksearch ident 41956. Transcribed in 03_SCRIPTS/ms33656.py. Verified == Brennan STEP measurements at dashes 2-32.</t>
        </is>
      </c>
    </row>
    <row r="70">
      <c r="A70" s="34" t="inlineStr">
        <is>
          <t>Parker ORD-5700 Design Table 4-4 (AS4395 fitting end)</t>
        </is>
      </c>
      <c r="B70" s="34" t="inlineStr">
        <is>
          <t>ORB stud-end groove: F root dia (+.002/-.003) and G width (+.015/-.000), dashes 2-32 (no -7). FREE: parker.com O-Ring Handbook PDF + bayseal.com mirror. Transcribed in 03_SCRIPTS/ms_nuts_orb.py. F == library GRVDIA on all 13 dashes; G == library GRVW on 2-12; G NOT printed for 14-32.</t>
        </is>
      </c>
    </row>
    <row r="71">
      <c r="A71" s="34" t="inlineStr">
        <is>
          <t>AN818 Rev 20 Amd 4 (26 Sep 2024, Active)</t>
        </is>
      </c>
      <c r="B71" s="34" t="inlineStr">
        <is>
          <t>Nut, tube coupling, short (aerospace UNJ): A bore, C dia, H csink, J, L, M, N, P hex, Q, R, S, U per dash -2..-48. FREE via ASSIST ident 54315 (token 5791795). Transcribed in ms_nuts_orb.py. Internal seat NOT dimensioned.</t>
        </is>
      </c>
    </row>
    <row r="72">
      <c r="A72" s="34" t="inlineStr">
        <is>
          <t>MS51531D (30 Sep 2021, Active)</t>
        </is>
      </c>
      <c r="B72" s="34" t="inlineStr">
        <is>
          <t>Nut, tube coupling, 37 deg flared (industrial SAE J514 / UNF-2B): B thread, C hex, D1 bore, I1, J1 full thread min, L1 for B2-B32. FREE via ASSIST ident 43344 (token 5774431). Transcribed in ms_nuts_orb.py. Note 5: drawing does not restrict designs -&gt; Air-Way nut may differ. Internal seat NOT dimensioned.</t>
        </is>
      </c>
    </row>
    <row r="73">
      <c r="A73" s="34" t="inlineStr">
        <is>
          <t>SAE-AS1708 (Active, DoD-adopted 1987, reaffirmed 2025)</t>
        </is>
      </c>
      <c r="B73" s="34" t="inlineStr">
        <is>
          <t>Fitting End, Internal Flare Design Standard - the ONLY standard for the female 37 deg seat. ASSIST hosts the adoption notice only; body must be purchased from SAE. UNRESOLVED for 6500 / 6500-L / 2406 / 6900 internal seat.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4" min="1" max="1"/>
    <col width="14" customWidth="1" style="34" min="2" max="3"/>
    <col width="17" customWidth="1" style="34" min="4" max="4"/>
    <col width="15" customWidth="1" style="34" min="5" max="5"/>
    <col width="21" customWidth="1" style="34" min="6" max="6"/>
    <col width="15" customWidth="1" style="34" min="7" max="7"/>
    <col width="22" customWidth="1" style="34" min="8" max="8"/>
  </cols>
  <sheetData>
    <row r="1" ht="17.35" customHeight="1" s="35">
      <c r="A1" s="36" t="inlineStr">
        <is>
          <t>END GEOMETRY BY DASH SIZE — the dimensions the fitting catalogs never print</t>
        </is>
      </c>
    </row>
    <row r="2" ht="15" customHeight="1" s="35">
      <c r="A2" s="34" t="inlineStr">
        <is>
          <t>These depend ONLY on dash size, not on the part. Same for every fitting carrying that end.</t>
        </is>
      </c>
    </row>
    <row r="3" ht="15" customHeight="1" s="35">
      <c r="A3" s="34" t="inlineStr">
        <is>
          <t>Model them as named dimensions (not generic slots) because the meaning IS universal.</t>
        </is>
      </c>
    </row>
    <row r="5" ht="15" customHeight="1" s="35">
      <c r="A5" s="38" t="inlineStr">
        <is>
          <t>SAE STRAIGHT THREAD O-RING BOSS — MALE STUD END</t>
        </is>
      </c>
    </row>
    <row r="6" ht="15" customHeight="1" s="35">
      <c r="A6" s="34" t="inlineStr">
        <is>
          <t>Source: Parker O-Ring Handbook ORD-5700 'Boss Seals', Design Table 4-4 (fitting end per AS4395, used with J1926/1 bosses).</t>
        </is>
      </c>
    </row>
    <row r="7" ht="15" customHeight="1" s="35">
      <c r="A7" s="34" t="inlineStr">
        <is>
          <t>https://www.parker.com/content/dam/Parker-com/Literature/O-Ring-Division-Literature/ORD-5700_BossSeals.pdf</t>
        </is>
      </c>
    </row>
    <row r="8" ht="15" customHeight="1" s="35">
      <c r="A8" s="39" t="inlineStr">
        <is>
          <t>Dash</t>
        </is>
      </c>
      <c r="B8" s="39" t="inlineStr">
        <is>
          <t>Thread</t>
        </is>
      </c>
      <c r="C8" s="39" t="inlineStr">
        <is>
          <t>O-ring AS568</t>
        </is>
      </c>
      <c r="D8" s="39" t="inlineStr">
        <is>
          <t>ORB_GRVDIA (F)</t>
        </is>
      </c>
      <c r="E8" s="39" t="inlineStr">
        <is>
          <t>ORB_GRVW (G)</t>
        </is>
      </c>
      <c r="F8" s="39" t="inlineStr">
        <is>
          <t>groove depth (derived)</t>
        </is>
      </c>
      <c r="G8" s="39" t="inlineStr">
        <is>
          <t>seat face dia K</t>
        </is>
      </c>
      <c r="H8" s="39" t="inlineStr">
        <is>
          <t>confidence</t>
        </is>
      </c>
    </row>
    <row r="9" ht="15" customHeight="1" s="35">
      <c r="A9" s="34" t="n">
        <v>2</v>
      </c>
      <c r="B9" s="34" t="inlineStr">
        <is>
          <t>5/16-24</t>
        </is>
      </c>
      <c r="C9" s="34" t="inlineStr">
        <is>
          <t>-902</t>
        </is>
      </c>
      <c r="D9" s="48" t="n">
        <v>0.25</v>
      </c>
      <c r="E9" s="48" t="n">
        <v>0.063</v>
      </c>
      <c r="F9" s="34" t="n">
        <v>0.0312</v>
      </c>
      <c r="G9" s="34" t="n">
        <v>0.549</v>
      </c>
      <c r="H9" s="34" t="inlineStr">
        <is>
          <t>good</t>
        </is>
      </c>
    </row>
    <row r="10" ht="15" customHeight="1" s="35">
      <c r="A10" s="34" t="n">
        <v>3</v>
      </c>
      <c r="B10" s="34" t="inlineStr">
        <is>
          <t>3/8-24</t>
        </is>
      </c>
      <c r="C10" s="34" t="inlineStr">
        <is>
          <t>-903</t>
        </is>
      </c>
      <c r="D10" s="48" t="n">
        <v>0.312</v>
      </c>
      <c r="E10" s="48" t="n">
        <v>0.063</v>
      </c>
      <c r="F10" s="34" t="n">
        <v>0.0315</v>
      </c>
      <c r="G10" s="34" t="n">
        <v>0.611</v>
      </c>
      <c r="H10" s="34" t="inlineStr">
        <is>
          <t>good</t>
        </is>
      </c>
    </row>
    <row r="11" ht="15" customHeight="1" s="35">
      <c r="A11" s="34" t="n">
        <v>4</v>
      </c>
      <c r="B11" s="34" t="inlineStr">
        <is>
          <t>7/16-20</t>
        </is>
      </c>
      <c r="C11" s="34" t="inlineStr">
        <is>
          <t>-904</t>
        </is>
      </c>
      <c r="D11" s="48" t="n">
        <v>0.364</v>
      </c>
      <c r="E11" s="48" t="n">
        <v>0.075</v>
      </c>
      <c r="F11" s="34" t="n">
        <v>0.0368</v>
      </c>
      <c r="G11" s="34" t="n">
        <v>0.674</v>
      </c>
      <c r="H11" s="34" t="inlineStr">
        <is>
          <t>good</t>
        </is>
      </c>
    </row>
    <row r="12" ht="15" customHeight="1" s="35">
      <c r="A12" s="34" t="n">
        <v>5</v>
      </c>
      <c r="B12" s="34" t="inlineStr">
        <is>
          <t>1/2-20</t>
        </is>
      </c>
      <c r="C12" s="34" t="inlineStr">
        <is>
          <t>-905</t>
        </is>
      </c>
      <c r="D12" s="48" t="n">
        <v>0.426</v>
      </c>
      <c r="E12" s="48" t="n">
        <v>0.075</v>
      </c>
      <c r="F12" s="34" t="n">
        <v>0.037</v>
      </c>
      <c r="G12" s="34" t="n">
        <v>0.736</v>
      </c>
      <c r="H12" s="34" t="inlineStr">
        <is>
          <t>good</t>
        </is>
      </c>
    </row>
    <row r="13" ht="15" customHeight="1" s="35">
      <c r="A13" s="34" t="n">
        <v>6</v>
      </c>
      <c r="B13" s="34" t="inlineStr">
        <is>
          <t>9/16-18</t>
        </is>
      </c>
      <c r="C13" s="34" t="inlineStr">
        <is>
          <t>-906</t>
        </is>
      </c>
      <c r="D13" s="48" t="n">
        <v>0.481</v>
      </c>
      <c r="E13" s="48" t="n">
        <v>0.083</v>
      </c>
      <c r="F13" s="34" t="n">
        <v>0.0408</v>
      </c>
      <c r="G13" s="34" t="n">
        <v>0.799</v>
      </c>
      <c r="H13" s="34" t="inlineStr">
        <is>
          <t>good</t>
        </is>
      </c>
    </row>
    <row r="14" ht="15" customHeight="1" s="35">
      <c r="A14" s="34" t="n">
        <v>8</v>
      </c>
      <c r="B14" s="34" t="inlineStr">
        <is>
          <t>3/4-16</t>
        </is>
      </c>
      <c r="C14" s="34" t="inlineStr">
        <is>
          <t>-908</t>
        </is>
      </c>
      <c r="D14" s="48" t="n">
        <v>0.66</v>
      </c>
      <c r="E14" s="48" t="n">
        <v>0.094</v>
      </c>
      <c r="F14" s="34" t="n">
        <v>0.045</v>
      </c>
      <c r="G14" s="34" t="n">
        <v>0.986</v>
      </c>
      <c r="H14" s="34" t="inlineStr">
        <is>
          <t>good</t>
        </is>
      </c>
    </row>
    <row r="15" ht="15" customHeight="1" s="35">
      <c r="A15" s="34" t="n">
        <v>10</v>
      </c>
      <c r="B15" s="34" t="inlineStr">
        <is>
          <t>7/8-14</t>
        </is>
      </c>
      <c r="C15" s="34" t="inlineStr">
        <is>
          <t>-910</t>
        </is>
      </c>
      <c r="D15" s="48" t="n">
        <v>0.773</v>
      </c>
      <c r="E15" s="48" t="n">
        <v>0.107</v>
      </c>
      <c r="F15" s="34" t="n">
        <v>0.051</v>
      </c>
      <c r="G15" s="34" t="n">
        <v>1.111</v>
      </c>
      <c r="H15" s="34" t="inlineStr">
        <is>
          <t>good</t>
        </is>
      </c>
    </row>
    <row r="16" ht="15" customHeight="1" s="35">
      <c r="A16" s="34" t="n">
        <v>12</v>
      </c>
      <c r="B16" s="34" t="inlineStr">
        <is>
          <t>1 1/16-12</t>
        </is>
      </c>
      <c r="C16" s="34" t="inlineStr">
        <is>
          <t>-912</t>
        </is>
      </c>
      <c r="D16" s="48" t="n">
        <v>0.945</v>
      </c>
      <c r="E16" s="48" t="n">
        <v>0.125</v>
      </c>
      <c r="F16" s="34" t="n">
        <v>0.0588</v>
      </c>
      <c r="G16" s="34" t="n">
        <v>1.361</v>
      </c>
      <c r="H16" s="34" t="inlineStr">
        <is>
          <t>good</t>
        </is>
      </c>
    </row>
    <row r="17" ht="15" customHeight="1" s="35">
      <c r="A17" s="34" t="n">
        <v>14</v>
      </c>
      <c r="B17" s="34" t="inlineStr">
        <is>
          <t>1 3/16-12</t>
        </is>
      </c>
      <c r="C17" s="34" t="inlineStr">
        <is>
          <t>-914</t>
        </is>
      </c>
      <c r="D17" s="48" t="n">
        <v>1.07</v>
      </c>
      <c r="E17" s="49" t="n"/>
      <c r="F17" s="34" t="n">
        <v>0.0587</v>
      </c>
      <c r="G17" s="34" t="n">
        <v>1.475</v>
      </c>
      <c r="H17" s="34" t="inlineStr">
        <is>
          <t>width missing</t>
        </is>
      </c>
    </row>
    <row r="18" ht="15" customHeight="1" s="35">
      <c r="A18" s="34" t="n">
        <v>16</v>
      </c>
      <c r="B18" s="34" t="inlineStr">
        <is>
          <t>1 5/16-12</t>
        </is>
      </c>
      <c r="C18" s="34" t="inlineStr">
        <is>
          <t>-916</t>
        </is>
      </c>
      <c r="D18" s="48" t="n">
        <v>1.195</v>
      </c>
      <c r="E18" s="49" t="n">
        <v>0.125</v>
      </c>
      <c r="F18" s="34" t="n">
        <v>0.0587</v>
      </c>
      <c r="G18" s="34" t="n">
        <v>1.599</v>
      </c>
      <c r="H18" s="34" t="inlineStr">
        <is>
          <t>width MEASURED Brennan 6400 STEP 2026-09-05 (single source; method validated on -4/-12)</t>
        </is>
      </c>
    </row>
    <row r="19" ht="15" customHeight="1" s="35">
      <c r="A19" s="34" t="n">
        <v>20</v>
      </c>
      <c r="B19" s="34" t="inlineStr">
        <is>
          <t>1 5/8-12</t>
        </is>
      </c>
      <c r="C19" s="34" t="inlineStr">
        <is>
          <t>-920</t>
        </is>
      </c>
      <c r="D19" s="48" t="n">
        <v>1.507</v>
      </c>
      <c r="E19" s="49" t="n">
        <v>0.125</v>
      </c>
      <c r="F19" s="34" t="n">
        <v>0.059</v>
      </c>
      <c r="H19" s="34" t="inlineStr">
        <is>
          <t>width MEASURED Brennan 6400-32-20-O STEP 2026-09-05 (single source; method validated on -4/-12)</t>
        </is>
      </c>
    </row>
    <row r="20" ht="15" customHeight="1" s="35">
      <c r="A20" s="34" t="n">
        <v>24</v>
      </c>
      <c r="B20" s="34" t="inlineStr">
        <is>
          <t>1 7/8-12</t>
        </is>
      </c>
      <c r="C20" s="34" t="inlineStr">
        <is>
          <t>-924</t>
        </is>
      </c>
      <c r="D20" s="48" t="n">
        <v>1.756</v>
      </c>
      <c r="E20" s="49" t="n">
        <v>0.125</v>
      </c>
      <c r="F20" s="34" t="n">
        <v>0.0595</v>
      </c>
      <c r="G20" s="34" t="n">
        <v>2.095</v>
      </c>
      <c r="H20" s="34" t="inlineStr">
        <is>
          <t>width MEASURED Brennan 6400 STEP 2026-09-05 (single source; method validated on -4/-12)</t>
        </is>
      </c>
    </row>
    <row r="21" ht="15" customHeight="1" s="35">
      <c r="A21" s="34" t="n">
        <v>32</v>
      </c>
      <c r="B21" s="34" t="inlineStr">
        <is>
          <t>2 1/2-12</t>
        </is>
      </c>
      <c r="C21" s="34" t="inlineStr">
        <is>
          <t>-932</t>
        </is>
      </c>
      <c r="D21" s="48" t="n">
        <v>2.381</v>
      </c>
      <c r="E21" s="49" t="n"/>
      <c r="F21" s="34" t="n">
        <v>0.0595</v>
      </c>
      <c r="G21" s="34" t="n">
        <v>2.718</v>
      </c>
      <c r="H21" s="34" t="inlineStr">
        <is>
          <t>width missing</t>
        </is>
      </c>
    </row>
    <row r="23" ht="15" customHeight="1" s="35">
      <c r="A23" s="34" t="inlineStr">
        <is>
          <t>Groove DEPTH is not published anywhere - derived as (thread major dia - F) / 2.</t>
        </is>
      </c>
    </row>
    <row r="24" ht="15" customHeight="1" s="35">
      <c r="A24" s="49" t="inlineStr">
        <is>
          <t>ORB THREAD LENGTH is not published by any source found. Parker's drawing marks it only 'Full threads to this point'.</t>
        </is>
      </c>
    </row>
    <row r="26" ht="15" customHeight="1" s="35">
      <c r="A26" s="38" t="inlineStr">
        <is>
          <t>JIC 37 DEGREE MALE FLARE CONE</t>
        </is>
      </c>
    </row>
    <row r="27" ht="15" customHeight="1" s="35">
      <c r="A27" s="34" t="inlineStr">
        <is>
          <t>Source: Wikipedia 'JIC fitting' reproducing SHF Inc. SAE J514 tables. Geometry self-validates:</t>
        </is>
      </c>
    </row>
    <row r="28" ht="15" customHeight="1" s="35">
      <c r="A28" s="34" t="inlineStr">
        <is>
          <t xml:space="preserve">   tip dia + 2 x seat length x tan(37) = cone major dia, to within 0.001 in on every row.</t>
        </is>
      </c>
    </row>
    <row r="29" ht="15" customHeight="1" s="35">
      <c r="A29" s="34" t="inlineStr">
        <is>
          <t>https://en.wikipedia.org/wiki/JIC_fitting</t>
        </is>
      </c>
    </row>
    <row r="30" ht="15" customHeight="1" s="35">
      <c r="A30" s="39" t="inlineStr">
        <is>
          <t>Dash</t>
        </is>
      </c>
      <c r="B30" s="39" t="inlineStr">
        <is>
          <t>Thread</t>
        </is>
      </c>
      <c r="C30" s="39" t="inlineStr">
        <is>
          <t>JIC_CONEDIA (E)</t>
        </is>
      </c>
      <c r="D30" s="39" t="inlineStr">
        <is>
          <t>JIC_SEATL (A)</t>
        </is>
      </c>
      <c r="E30" s="39" t="inlineStr">
        <is>
          <t>JIC_THDL (B)</t>
        </is>
      </c>
      <c r="F30" s="39" t="inlineStr">
        <is>
          <t>tip dia</t>
        </is>
      </c>
      <c r="G30" s="39" t="inlineStr">
        <is>
          <t>bore</t>
        </is>
      </c>
      <c r="H30" s="39" t="inlineStr">
        <is>
          <t>confidence</t>
        </is>
      </c>
    </row>
    <row r="31" ht="15" customHeight="1" s="35">
      <c r="A31" s="34" t="n">
        <v>2</v>
      </c>
      <c r="B31" s="34" t="inlineStr">
        <is>
          <t>5/16-24</t>
        </is>
      </c>
      <c r="C31" s="48" t="n">
        <v>0.25</v>
      </c>
      <c r="D31" s="48" t="n">
        <v>0.111</v>
      </c>
      <c r="E31" s="34" t="n">
        <v>0.208</v>
      </c>
      <c r="F31" s="34" t="n">
        <v>0.083</v>
      </c>
      <c r="G31" s="34" t="n">
        <v>0.062</v>
      </c>
      <c r="H31" s="34" t="inlineStr">
        <is>
          <t>good</t>
        </is>
      </c>
    </row>
    <row r="32" ht="15" customHeight="1" s="35">
      <c r="A32" s="34" t="n">
        <v>3</v>
      </c>
      <c r="B32" s="34" t="inlineStr">
        <is>
          <t>3/8-24</t>
        </is>
      </c>
      <c r="C32" s="48" t="n">
        <v>0.312</v>
      </c>
      <c r="D32" s="48" t="n">
        <v>0.11</v>
      </c>
      <c r="E32" s="34" t="n">
        <v>0.239</v>
      </c>
      <c r="F32" s="34" t="n">
        <v>0.146</v>
      </c>
      <c r="G32" s="34" t="n">
        <v>0.125</v>
      </c>
      <c r="H32" s="34" t="inlineStr">
        <is>
          <t>good</t>
        </is>
      </c>
    </row>
    <row r="33" ht="15" customHeight="1" s="35">
      <c r="A33" s="34" t="n">
        <v>4</v>
      </c>
      <c r="B33" s="34" t="inlineStr">
        <is>
          <t>7/16-20</t>
        </is>
      </c>
      <c r="C33" s="48" t="n">
        <v>0.364</v>
      </c>
      <c r="D33" s="48" t="n">
        <v>0.114</v>
      </c>
      <c r="E33" s="34" t="n">
        <v>0.282</v>
      </c>
      <c r="F33" s="34" t="n">
        <v>0.193</v>
      </c>
      <c r="G33" s="34" t="n">
        <v>0.172</v>
      </c>
      <c r="H33" s="34" t="inlineStr">
        <is>
          <t>good</t>
        </is>
      </c>
    </row>
    <row r="34" ht="15" customHeight="1" s="35">
      <c r="A34" s="34" t="n">
        <v>5</v>
      </c>
      <c r="B34" s="34" t="inlineStr">
        <is>
          <t>1/2-20</t>
        </is>
      </c>
      <c r="C34" s="48" t="n">
        <v>0.426</v>
      </c>
      <c r="D34" s="48" t="n">
        <v>0.114</v>
      </c>
      <c r="E34" s="34" t="n">
        <v>0.282</v>
      </c>
      <c r="F34" s="34" t="n">
        <v>0.255</v>
      </c>
      <c r="G34" s="34" t="n">
        <v>0.234</v>
      </c>
      <c r="H34" s="34" t="inlineStr">
        <is>
          <t>good</t>
        </is>
      </c>
    </row>
    <row r="35" ht="15" customHeight="1" s="35">
      <c r="A35" s="34" t="n">
        <v>6</v>
      </c>
      <c r="B35" s="34" t="inlineStr">
        <is>
          <t>9/16-18</t>
        </is>
      </c>
      <c r="C35" s="48" t="n">
        <v>0.481</v>
      </c>
      <c r="D35" s="48" t="n">
        <v>0.108</v>
      </c>
      <c r="E35" s="34" t="n">
        <v>0.275</v>
      </c>
      <c r="F35" s="34" t="n">
        <v>0.318</v>
      </c>
      <c r="G35" s="34" t="n">
        <v>0.281</v>
      </c>
      <c r="H35" s="34" t="inlineStr">
        <is>
          <t>good</t>
        </is>
      </c>
    </row>
    <row r="36" ht="15" customHeight="1" s="35">
      <c r="A36" s="34" t="n">
        <v>8</v>
      </c>
      <c r="B36" s="34" t="inlineStr">
        <is>
          <t>3/4-16</t>
        </is>
      </c>
      <c r="C36" s="48" t="n">
        <v>0.659</v>
      </c>
      <c r="D36" s="48" t="n">
        <v>0.155</v>
      </c>
      <c r="E36" s="34" t="n">
        <v>0.31</v>
      </c>
      <c r="F36" s="34" t="n">
        <v>0.426</v>
      </c>
      <c r="G36" s="34" t="n">
        <v>0.406</v>
      </c>
      <c r="H36" s="34" t="inlineStr">
        <is>
          <t>good</t>
        </is>
      </c>
    </row>
    <row r="37" ht="15" customHeight="1" s="35">
      <c r="A37" s="34" t="n">
        <v>10</v>
      </c>
      <c r="B37" s="34" t="inlineStr">
        <is>
          <t>7/8-14</t>
        </is>
      </c>
      <c r="C37" s="48" t="n">
        <v>0.772</v>
      </c>
      <c r="D37" s="48" t="n">
        <v>0.155</v>
      </c>
      <c r="E37" s="34" t="n">
        <v>0.385</v>
      </c>
      <c r="F37" s="34" t="n">
        <v>0.539</v>
      </c>
      <c r="G37" s="34" t="n">
        <v>0.531</v>
      </c>
      <c r="H37" s="34" t="inlineStr">
        <is>
          <t>good</t>
        </is>
      </c>
    </row>
    <row r="38" ht="15" customHeight="1" s="35">
      <c r="A38" s="34" t="n">
        <v>12</v>
      </c>
      <c r="B38" s="34" t="inlineStr">
        <is>
          <t>1 1/16-12</t>
        </is>
      </c>
      <c r="C38" s="48" t="n">
        <v>0.9429999999999999</v>
      </c>
      <c r="D38" s="48" t="n">
        <v>0.185</v>
      </c>
      <c r="E38" s="34" t="n">
        <v>0.424</v>
      </c>
      <c r="F38" s="34" t="n">
        <v>0.664</v>
      </c>
      <c r="G38" s="34" t="n">
        <v>0.609</v>
      </c>
      <c r="H38" s="34" t="inlineStr">
        <is>
          <t>good</t>
        </is>
      </c>
    </row>
    <row r="39" ht="15" customHeight="1" s="35">
      <c r="A39" s="34" t="n">
        <v>14</v>
      </c>
      <c r="B39" s="34" t="inlineStr">
        <is>
          <t>1 3/16-12</t>
        </is>
      </c>
      <c r="C39" s="40" t="n">
        <v>1.068</v>
      </c>
      <c r="D39" s="48" t="n">
        <v>0.186</v>
      </c>
      <c r="E39" s="34" t="n">
        <v>0.45</v>
      </c>
      <c r="F39" s="34" t="n">
        <v>0.788</v>
      </c>
      <c r="G39" s="34" t="n">
        <v>0.719</v>
      </c>
      <c r="H39" s="34" t="inlineStr">
        <is>
          <t>single source</t>
        </is>
      </c>
    </row>
    <row r="40" ht="15" customHeight="1" s="35">
      <c r="A40" s="34" t="n">
        <v>16</v>
      </c>
      <c r="B40" s="34" t="inlineStr">
        <is>
          <t>1 5/16-12</t>
        </is>
      </c>
      <c r="C40" s="48" t="n">
        <v>1.193</v>
      </c>
      <c r="D40" s="48" t="n">
        <v>0.186</v>
      </c>
      <c r="E40" s="34" t="n">
        <v>0.471</v>
      </c>
      <c r="F40" s="34" t="n">
        <v>0.913</v>
      </c>
      <c r="G40" s="34" t="n">
        <v>0.844</v>
      </c>
      <c r="H40" s="34" t="inlineStr">
        <is>
          <t>good</t>
        </is>
      </c>
    </row>
    <row r="41" ht="15" customHeight="1" s="35">
      <c r="A41" s="34" t="n">
        <v>20</v>
      </c>
      <c r="B41" s="34" t="inlineStr">
        <is>
          <t>1 5/8-12</t>
        </is>
      </c>
      <c r="C41" s="40" t="n">
        <v>1.502</v>
      </c>
      <c r="D41" s="49" t="n"/>
      <c r="G41" s="34" t="n">
        <v>1.078</v>
      </c>
      <c r="H41" s="34" t="inlineStr">
        <is>
          <t>cone dia from ISO mm table only</t>
        </is>
      </c>
    </row>
    <row r="42" ht="15" customHeight="1" s="35">
      <c r="A42" s="34" t="n">
        <v>24</v>
      </c>
      <c r="B42" s="34" t="inlineStr">
        <is>
          <t>1 7/8-12</t>
        </is>
      </c>
      <c r="C42" s="40" t="n">
        <v>1.752</v>
      </c>
      <c r="D42" s="49" t="n"/>
      <c r="H42" s="34" t="inlineStr">
        <is>
          <t>ISO mm table only</t>
        </is>
      </c>
    </row>
    <row r="43" ht="15" customHeight="1" s="35">
      <c r="A43" s="34" t="n">
        <v>32</v>
      </c>
      <c r="B43" s="34" t="inlineStr">
        <is>
          <t>2 1/2-12</t>
        </is>
      </c>
      <c r="C43" s="40" t="n">
        <v>2.376</v>
      </c>
      <c r="D43" s="49" t="n"/>
      <c r="H43" s="34" t="inlineStr">
        <is>
          <t>ISO mm table only</t>
        </is>
      </c>
    </row>
    <row r="45" ht="15" customHeight="1" s="35">
      <c r="A45" s="34" t="inlineStr">
        <is>
          <t>Seat angle = 37 deg HALF-ANGLE from the axis = 74 deg included. Multiple sources state both; no contradiction.</t>
        </is>
      </c>
    </row>
    <row r="46" ht="15" customHeight="1" s="35">
      <c r="A46" s="40" t="inlineStr">
        <is>
          <t>-20/-24/-32 cone dia converted from an ISO 8434-2 mm table - INDICATIVE, not confirmed in inches.</t>
        </is>
      </c>
    </row>
    <row r="47" ht="15" customHeight="1" s="35">
      <c r="A47" s="49" t="inlineStr">
        <is>
          <t>-20/-24/-32 seat length and thread length: NOT FOUND anywhere. Blocked.</t>
        </is>
      </c>
    </row>
    <row r="49" ht="15" customHeight="1" s="35">
      <c r="A49" s="38" t="inlineStr">
        <is>
          <t>CROSS-CHECK AGAINST THE AIR-WAY DATA</t>
        </is>
      </c>
    </row>
    <row r="50" ht="15" customHeight="1" s="35">
      <c r="A50" s="34" t="inlineStr">
        <is>
          <t>6400-08-08-O: catalog bore 0.39 vs JIC table bore 0.406 - Air-Way's part is slightly tighter. Use Air-Way's.</t>
        </is>
      </c>
    </row>
    <row r="51" ht="15" customHeight="1" s="35">
      <c r="A51" s="48" t="inlineStr">
        <is>
          <t>6400-08-08-O: independent cone major dia 0.659. The proportion used in the first build guide was 0.66 - correct.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4" min="1" max="2"/>
    <col width="9" customWidth="1" style="34" min="3" max="10"/>
    <col width="72" customWidth="1" style="34" min="11" max="11"/>
  </cols>
  <sheetData>
    <row r="1" ht="17.25" customHeight="1" s="35">
      <c r="A1" s="36" t="inlineStr">
        <is>
          <t>GENERIC DIMENSION SLOTS — why they exist</t>
        </is>
      </c>
    </row>
    <row r="2" ht="15" customHeight="1" s="35">
      <c r="A2" s="34" t="inlineStr">
        <is>
          <t>Air-Way uses a DIFFERENT set of dimension letters for every fitting family. The 2404 prints L/C/D/D1;</t>
        </is>
      </c>
    </row>
    <row r="3" ht="15" customHeight="1" s="35">
      <c r="A3" s="34" t="inlineStr">
        <is>
          <t>the 6801 prints M/M7/C4/Y/D(1)/D(2); the 6400 prints L5/C4/D(1)/D(2); the 2501 prints M/N/Y/D/D1.</t>
        </is>
      </c>
    </row>
    <row r="4" ht="15" customHeight="1" s="35">
      <c r="A4" s="34" t="inlineStr">
        <is>
          <t>A fixed schema of L/C/D/D1 columns cannot hold them, and renaming SolidWorks dimensions per topology</t>
        </is>
      </c>
    </row>
    <row r="5" ht="15" customHeight="1" s="35">
      <c r="A5" s="34" t="inlineStr">
        <is>
          <t>would break the one-macro-serves-all rule.</t>
        </is>
      </c>
    </row>
    <row r="7" ht="15" customHeight="1" s="35">
      <c r="A7" s="34" t="inlineStr">
        <is>
          <t>SOLUTION: every master model uses generic slots D1..D8 in the sketch named DRIVE. Design-table headers</t>
        </is>
      </c>
    </row>
    <row r="8" ht="15" customHeight="1" s="35">
      <c r="A8" s="34" t="inlineStr">
        <is>
          <t>are D1@DRIVE .. D8@DRIVE for ALL 126 topologies. This sheet records what each slot means per topology.</t>
        </is>
      </c>
    </row>
    <row r="9" ht="15" customHeight="1" s="35">
      <c r="A9" s="34" t="inlineStr">
        <is>
          <t>Catalog letters live in DATA, never in geometry names.</t>
        </is>
      </c>
    </row>
    <row r="10" ht="15" customHeight="1" s="35">
      <c r="A10" s="50" t="n"/>
      <c r="B10" s="50" t="n"/>
      <c r="C10" s="50" t="n"/>
      <c r="D10" s="50" t="n"/>
      <c r="E10" s="50" t="n"/>
      <c r="F10" s="50" t="n"/>
      <c r="G10" s="50" t="n"/>
      <c r="H10" s="50" t="n"/>
      <c r="I10" s="50" t="n"/>
      <c r="J10" s="50" t="n"/>
      <c r="K10" s="50" t="n"/>
    </row>
    <row r="11" ht="15" customHeight="1" s="35">
      <c r="A11" s="34" t="inlineStr">
        <is>
          <t>Topology</t>
        </is>
      </c>
      <c r="B11" s="34" t="inlineStr">
        <is>
          <t>Shape</t>
        </is>
      </c>
      <c r="C11" s="34" t="inlineStr">
        <is>
          <t>D1</t>
        </is>
      </c>
      <c r="D11" s="34" t="inlineStr">
        <is>
          <t>D2</t>
        </is>
      </c>
      <c r="E11" s="34" t="inlineStr">
        <is>
          <t>D3</t>
        </is>
      </c>
      <c r="F11" s="34" t="inlineStr">
        <is>
          <t>D4</t>
        </is>
      </c>
      <c r="G11" s="34" t="inlineStr">
        <is>
          <t>D5</t>
        </is>
      </c>
      <c r="H11" s="34" t="inlineStr">
        <is>
          <t>D6</t>
        </is>
      </c>
      <c r="I11" s="34" t="inlineStr">
        <is>
          <t>D7</t>
        </is>
      </c>
      <c r="J11" s="34" t="inlineStr">
        <is>
          <t>D8</t>
        </is>
      </c>
      <c r="K11" s="34" t="inlineStr">
        <is>
          <t>Source headers (verbatim)</t>
        </is>
      </c>
    </row>
    <row r="12" ht="15" customHeight="1" s="35">
      <c r="A12" s="34" t="inlineStr">
        <is>
          <t>2404</t>
        </is>
      </c>
      <c r="B12" s="34" t="inlineStr">
        <is>
          <t>Straight</t>
        </is>
      </c>
      <c r="C12" s="34" t="inlineStr">
        <is>
          <t>L</t>
        </is>
      </c>
      <c r="D12" s="34" t="inlineStr">
        <is>
          <t>C</t>
        </is>
      </c>
      <c r="E12" s="34" t="inlineStr">
        <is>
          <t>D</t>
        </is>
      </c>
      <c r="F12" s="34" t="inlineStr">
        <is>
          <t>D1</t>
        </is>
      </c>
      <c r="K12" s="34" t="inlineStr">
        <is>
          <t>Part # | TUBE OD | B UN/UNF-2A | A NPTF | L | C | D | D1</t>
        </is>
      </c>
    </row>
    <row r="13" ht="15" customHeight="1" s="35">
      <c r="A13" s="34" t="inlineStr">
        <is>
          <t>2501</t>
        </is>
      </c>
      <c r="B13" s="34" t="inlineStr">
        <is>
          <t>90 deg</t>
        </is>
      </c>
      <c r="C13" s="34" t="inlineStr">
        <is>
          <t>M</t>
        </is>
      </c>
      <c r="D13" s="34" t="inlineStr">
        <is>
          <t>N</t>
        </is>
      </c>
      <c r="E13" s="34" t="inlineStr">
        <is>
          <t>Y</t>
        </is>
      </c>
      <c r="F13" s="34" t="inlineStr">
        <is>
          <t>D</t>
        </is>
      </c>
      <c r="G13" s="34" t="inlineStr">
        <is>
          <t>D1</t>
        </is>
      </c>
      <c r="K13" s="34" t="inlineStr">
        <is>
          <t>Part # | TUBE OD | B UN/UNF-2A | A NPTF | M | N | Y | D | D1</t>
        </is>
      </c>
    </row>
    <row r="14" ht="15" customHeight="1" s="35">
      <c r="A14" s="34" t="inlineStr">
        <is>
          <t>6400</t>
        </is>
      </c>
      <c r="B14" s="34" t="inlineStr">
        <is>
          <t>Straight</t>
        </is>
      </c>
      <c r="C14" s="34" t="inlineStr">
        <is>
          <t>L5</t>
        </is>
      </c>
      <c r="D14" s="34" t="inlineStr">
        <is>
          <t>C4</t>
        </is>
      </c>
      <c r="E14" s="34" t="inlineStr">
        <is>
          <t>D(1)</t>
        </is>
      </c>
      <c r="F14" s="34" t="inlineStr">
        <is>
          <t>D(2)</t>
        </is>
      </c>
      <c r="K14" s="34" t="inlineStr">
        <is>
          <t>Part # | B (1) UN/UNF-2A | B (2) UN/UNF-2A | L5 | C4 | D (1)* | D (2)*</t>
        </is>
      </c>
    </row>
    <row r="15" ht="15" customHeight="1" s="35">
      <c r="A15" s="34" t="inlineStr">
        <is>
          <t>6801</t>
        </is>
      </c>
      <c r="B15" s="34" t="inlineStr">
        <is>
          <t>90 deg</t>
        </is>
      </c>
      <c r="C15" s="34" t="inlineStr">
        <is>
          <t>M</t>
        </is>
      </c>
      <c r="D15" s="34" t="inlineStr">
        <is>
          <t>M7</t>
        </is>
      </c>
      <c r="E15" s="34" t="inlineStr">
        <is>
          <t>C4</t>
        </is>
      </c>
      <c r="F15" s="34" t="inlineStr">
        <is>
          <t>Y</t>
        </is>
      </c>
      <c r="G15" s="34" t="inlineStr">
        <is>
          <t>D(1)</t>
        </is>
      </c>
      <c r="H15" s="34" t="inlineStr">
        <is>
          <t>D(2)</t>
        </is>
      </c>
      <c r="K15" s="34" t="inlineStr">
        <is>
          <t>Part # | B (1) UN/UNF-2A | B (2) UN/UNF-2A | M | M7 | C4 | Y | D (1) | D (2)</t>
        </is>
      </c>
    </row>
    <row r="16" ht="15" customHeight="1" s="35">
      <c r="A16" s="34" t="inlineStr">
        <is>
          <t>6802</t>
        </is>
      </c>
      <c r="B16" s="34" t="inlineStr">
        <is>
          <t>45 deg</t>
        </is>
      </c>
      <c r="C16" s="34" t="inlineStr">
        <is>
          <t>M2</t>
        </is>
      </c>
      <c r="D16" s="34" t="inlineStr">
        <is>
          <t>M8</t>
        </is>
      </c>
      <c r="E16" s="34" t="inlineStr">
        <is>
          <t>C4</t>
        </is>
      </c>
      <c r="F16" s="34" t="inlineStr">
        <is>
          <t>Y</t>
        </is>
      </c>
      <c r="G16" s="34" t="inlineStr">
        <is>
          <t>D(1)</t>
        </is>
      </c>
      <c r="H16" s="34" t="inlineStr">
        <is>
          <t>D(2)</t>
        </is>
      </c>
      <c r="K16" s="34" t="inlineStr">
        <is>
          <t>Part # | B (1) UN/UNF-2A | B (2) UN/UNF-2A | M2 | M8 | C4 | Y | D (1) | D (2)</t>
        </is>
      </c>
    </row>
    <row r="18" ht="15" customHeight="1" s="35">
      <c r="A18" s="38" t="inlineStr">
        <is>
          <t>HEXA and HEXB remain named slots (HEXA@DRIVE / HEXB@DRIVE) - hex is universal across all fittings.</t>
        </is>
      </c>
    </row>
    <row r="19" ht="15" customHeight="1" s="35">
      <c r="A19" s="34" t="inlineStr">
        <is>
          <t>BEND@DRIVE exists in every master (0 for straights, 45 or 90 for elbows).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34" min="1" max="1"/>
    <col width="22" customWidth="1" style="34" min="2" max="2"/>
    <col width="12" customWidth="1" style="34" min="3" max="3"/>
    <col width="64" customWidth="1" style="34" min="4" max="4"/>
  </cols>
  <sheetData>
    <row r="1" ht="17.25" customHeight="1" s="35">
      <c r="A1" s="36" t="inlineStr">
        <is>
          <t>SOLIDWORKS NAMING CONVENTION — v2 (generic slots)</t>
        </is>
      </c>
    </row>
    <row r="2" ht="15" customHeight="1" s="35">
      <c r="A2" s="34" t="inlineStr">
        <is>
          <t>SUPERSEDES v1. v1 used catalog letters (L@DRIVE, C@DRIVE) — that only worked for the 2404.</t>
        </is>
      </c>
    </row>
    <row r="3" ht="15" customHeight="1" s="35">
      <c r="A3" s="39" t="n"/>
      <c r="B3" s="39" t="n"/>
      <c r="C3" s="39" t="n"/>
      <c r="D3" s="39" t="n"/>
    </row>
    <row r="4" ht="15" customHeight="1" s="35">
      <c r="A4" s="34" t="inlineStr">
        <is>
          <t>Dimension name</t>
        </is>
      </c>
      <c r="B4" s="34" t="inlineStr">
        <is>
          <t>Design-table header</t>
        </is>
      </c>
      <c r="C4" s="34" t="inlineStr">
        <is>
          <t>Universal?</t>
        </is>
      </c>
      <c r="D4" s="34" t="inlineStr">
        <is>
          <t>What it holds</t>
        </is>
      </c>
    </row>
    <row r="5" ht="15" customHeight="1" s="35">
      <c r="A5" s="34" t="inlineStr">
        <is>
          <t>D1</t>
        </is>
      </c>
      <c r="B5" s="34" t="inlineStr">
        <is>
          <t>D1@DRIVE</t>
        </is>
      </c>
      <c r="C5" s="34" t="inlineStr">
        <is>
          <t>Yes</t>
        </is>
      </c>
      <c r="D5" s="34" t="inlineStr">
        <is>
          <t>Generic slot 1. Meaning per topology — see DimensionMap.</t>
        </is>
      </c>
    </row>
    <row r="6" ht="15" customHeight="1" s="35">
      <c r="A6" s="34" t="inlineStr">
        <is>
          <t>D2</t>
        </is>
      </c>
      <c r="B6" s="34" t="inlineStr">
        <is>
          <t>D2@DRIVE</t>
        </is>
      </c>
      <c r="C6" s="34" t="inlineStr">
        <is>
          <t>Yes</t>
        </is>
      </c>
      <c r="D6" s="34" t="inlineStr">
        <is>
          <t>Generic slot 2.</t>
        </is>
      </c>
    </row>
    <row r="7" ht="15" customHeight="1" s="35">
      <c r="A7" s="34" t="inlineStr">
        <is>
          <t>D3</t>
        </is>
      </c>
      <c r="B7" s="34" t="inlineStr">
        <is>
          <t>D3@DRIVE</t>
        </is>
      </c>
      <c r="C7" s="34" t="inlineStr">
        <is>
          <t>Yes</t>
        </is>
      </c>
      <c r="D7" s="34" t="inlineStr">
        <is>
          <t>Generic slot 3.</t>
        </is>
      </c>
    </row>
    <row r="8" ht="15" customHeight="1" s="35">
      <c r="A8" s="34" t="inlineStr">
        <is>
          <t>D4</t>
        </is>
      </c>
      <c r="B8" s="34" t="inlineStr">
        <is>
          <t>D4@DRIVE</t>
        </is>
      </c>
      <c r="C8" s="34" t="inlineStr">
        <is>
          <t>Yes</t>
        </is>
      </c>
      <c r="D8" s="34" t="inlineStr">
        <is>
          <t>Generic slot 4.</t>
        </is>
      </c>
    </row>
    <row r="9" ht="15" customHeight="1" s="35">
      <c r="A9" s="34" t="inlineStr">
        <is>
          <t>D5</t>
        </is>
      </c>
      <c r="B9" s="34" t="inlineStr">
        <is>
          <t>D5@DRIVE</t>
        </is>
      </c>
      <c r="C9" s="34" t="inlineStr">
        <is>
          <t>Yes</t>
        </is>
      </c>
      <c r="D9" s="34" t="inlineStr">
        <is>
          <t>Generic slot 5. Empty on topologies with fewer dimensions.</t>
        </is>
      </c>
    </row>
    <row r="10" ht="15" customHeight="1" s="35">
      <c r="A10" s="34" t="inlineStr">
        <is>
          <t>D6</t>
        </is>
      </c>
      <c r="B10" s="34" t="inlineStr">
        <is>
          <t>D6@DRIVE</t>
        </is>
      </c>
      <c r="C10" s="34" t="inlineStr">
        <is>
          <t>Yes</t>
        </is>
      </c>
      <c r="D10" s="34" t="inlineStr">
        <is>
          <t>Generic slot 6. Empty on topologies with fewer dimensions.</t>
        </is>
      </c>
    </row>
    <row r="11" ht="15" customHeight="1" s="35">
      <c r="A11" s="34" t="inlineStr">
        <is>
          <t>HEXA</t>
        </is>
      </c>
      <c r="B11" s="34" t="inlineStr">
        <is>
          <t>HEXA@DRIVE</t>
        </is>
      </c>
      <c r="C11" s="34" t="inlineStr">
        <is>
          <t>Yes</t>
        </is>
      </c>
      <c r="D11" s="34" t="inlineStr">
        <is>
          <t>Hex across flats, end A. Universal — every fitting has a hex.</t>
        </is>
      </c>
    </row>
    <row r="12" ht="15" customHeight="1" s="35">
      <c r="A12" s="34" t="inlineStr">
        <is>
          <t>HEXB</t>
        </is>
      </c>
      <c r="B12" s="34" t="inlineStr">
        <is>
          <t>HEXB@DRIVE</t>
        </is>
      </c>
      <c r="C12" s="34" t="inlineStr">
        <is>
          <t>Yes</t>
        </is>
      </c>
      <c r="D12" s="34" t="inlineStr">
        <is>
          <t>Hex across flats, end B.</t>
        </is>
      </c>
    </row>
    <row r="13" ht="15" customHeight="1" s="35">
      <c r="A13" s="34" t="inlineStr">
        <is>
          <t>BEND</t>
        </is>
      </c>
      <c r="B13" s="34" t="inlineStr">
        <is>
          <t>BEND@DRIVE</t>
        </is>
      </c>
      <c r="C13" s="34" t="inlineStr">
        <is>
          <t>Yes</t>
        </is>
      </c>
      <c r="D13" s="34" t="inlineStr">
        <is>
          <t>0 straight / 45 / 90. Present even when 0.</t>
        </is>
      </c>
    </row>
    <row r="14" ht="15" customHeight="1" s="35">
      <c r="A14" s="34" t="inlineStr">
        <is>
          <t>SEATB</t>
        </is>
      </c>
      <c r="B14" s="34" t="inlineStr">
        <is>
          <t>SEATB@DRIVE</t>
        </is>
      </c>
      <c r="C14" s="34" t="inlineStr">
        <is>
          <t>Yes</t>
        </is>
      </c>
      <c r="D14" s="34" t="inlineStr">
        <is>
          <t>Seat half-angle, 37 for JIC.</t>
        </is>
      </c>
    </row>
    <row r="15" ht="15" customHeight="1" s="35">
      <c r="A15" s="34" t="inlineStr">
        <is>
          <t>THD_EndA</t>
        </is>
      </c>
      <c r="B15" s="34" t="inlineStr">
        <is>
          <t>(suppressed feature)</t>
        </is>
      </c>
      <c r="C15" s="34" t="inlineStr">
        <is>
          <t>Yes</t>
        </is>
      </c>
      <c r="D15" s="34" t="inlineStr">
        <is>
          <t>Helical Thread feature, end A. Suppressed except during drawing.</t>
        </is>
      </c>
    </row>
    <row r="16" ht="15" customHeight="1" s="35">
      <c r="A16" s="34" t="inlineStr">
        <is>
          <t>THD_EndB</t>
        </is>
      </c>
      <c r="B16" s="34" t="inlineStr">
        <is>
          <t>(suppressed feature)</t>
        </is>
      </c>
      <c r="C16" s="34" t="inlineStr">
        <is>
          <t>Yes</t>
        </is>
      </c>
      <c r="D16" s="34" t="inlineStr">
        <is>
          <t>Helical Thread feature, end B.</t>
        </is>
      </c>
    </row>
    <row r="18" ht="15" customHeight="1" s="35">
      <c r="A18" s="38" t="inlineStr">
        <is>
          <t>WHY GENERIC SLOTS:</t>
        </is>
      </c>
    </row>
    <row r="19" ht="15" customHeight="1" s="35">
      <c r="A19" s="34" t="inlineStr">
        <is>
          <t>Air-Way labels dimensions differently for every family — 2404 uses L/C/D/D1, 6801 uses M/M7/C4/Y/D(1)/D(2),</t>
        </is>
      </c>
    </row>
    <row r="20" ht="15" customHeight="1" s="35">
      <c r="A20" s="34" t="inlineStr">
        <is>
          <t>6400 uses L5/C4/D(1)/D(2), 2501 uses M/N/Y/D/D1. Naming SolidWorks dimensions after catalog letters would mean</t>
        </is>
      </c>
    </row>
    <row r="21" ht="15" customHeight="1" s="35">
      <c r="A21" s="34" t="inlineStr">
        <is>
          <t>a different design-table template and a different macro for roughly every third topology.</t>
        </is>
      </c>
    </row>
    <row r="23" ht="15" customHeight="1" s="35">
      <c r="A23" s="34" t="inlineStr">
        <is>
          <t>With generic slots, ALL 126 masters expose the identical header set. One template, one macro, no exceptions.</t>
        </is>
      </c>
    </row>
    <row r="24" ht="15" customHeight="1" s="35">
      <c r="A24" s="34" t="inlineStr">
        <is>
          <t>The catalog letter lives in the DimensionMap sheet — in data, never in geometry names.</t>
        </is>
      </c>
    </row>
    <row r="26" ht="15" customHeight="1" s="35">
      <c r="A26" s="38" t="inlineStr">
        <is>
          <t>THE RULE: every driving dimension lives in ONE sketch named exactly DRIVE.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E60"/>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8" customWidth="1" style="34" min="1" max="1"/>
    <col width="16" customWidth="1" style="34" min="2" max="2"/>
    <col width="18" customWidth="1" style="34" min="3" max="3"/>
    <col width="13" customWidth="1" style="34" min="4" max="4"/>
    <col width="15" customWidth="1" style="34" min="5" max="5"/>
    <col width="46" customWidth="1" style="34" min="6" max="6"/>
    <col width="38" customWidth="1" style="34" min="7" max="7"/>
    <col width="15" customWidth="1" style="34" min="8" max="49"/>
    <col width="16" customWidth="1" style="34" min="50" max="55"/>
    <col width="15" customWidth="1" style="34" min="56" max="57"/>
  </cols>
  <sheetData>
    <row r="1" ht="15" customHeight="1" s="35">
      <c r="A1" s="41" t="inlineStr">
        <is>
          <t>IDENTITY</t>
        </is>
      </c>
      <c r="H1" s="41" t="inlineStr">
        <is>
          <t>CLASSIFICATION</t>
        </is>
      </c>
      <c r="L1" s="41" t="inlineStr">
        <is>
          <t>END A</t>
        </is>
      </c>
      <c r="S1" s="41" t="inlineStr">
        <is>
          <t>END B</t>
        </is>
      </c>
      <c r="Z1" s="41" t="inlineStr">
        <is>
          <t>GEOMETRY (design-table drivers)</t>
        </is>
      </c>
      <c r="AH1" s="41" t="inlineStr">
        <is>
          <t>SPECIFICATION</t>
        </is>
      </c>
      <c r="AP1" s="41" t="inlineStr">
        <is>
          <t>OUTPUT</t>
        </is>
      </c>
      <c r="AS1" s="41" t="inlineStr">
        <is>
          <t>QA / PROVENANCE</t>
        </is>
      </c>
      <c r="AX1" s="51" t="inlineStr">
        <is>
          <t>CROSS-VERIFICATION (independent sources)</t>
        </is>
      </c>
      <c r="BD1" s="42" t="inlineStr">
        <is>
          <t>OMi CATALOG SCOPE</t>
        </is>
      </c>
    </row>
    <row r="2" ht="45.75" customHeight="1" s="35">
      <c r="A2" s="43" t="inlineStr">
        <is>
          <t>PartNumber_OMi</t>
        </is>
      </c>
      <c r="B2" s="43" t="inlineStr">
        <is>
          <t>PartNumber_AirWay</t>
        </is>
      </c>
      <c r="C2" s="43" t="inlineStr">
        <is>
          <t>ConfigName</t>
        </is>
      </c>
      <c r="D2" s="43" t="inlineStr">
        <is>
          <t>GeometryRoot</t>
        </is>
      </c>
      <c r="E2" s="43" t="inlineStr">
        <is>
          <t>SeriesID_AirWay</t>
        </is>
      </c>
      <c r="F2" s="43" t="inlineStr">
        <is>
          <t>SourceURL</t>
        </is>
      </c>
      <c r="G2" s="43" t="inlineStr">
        <is>
          <t>Description</t>
        </is>
      </c>
      <c r="H2" s="43" t="inlineStr">
        <is>
          <t>Category</t>
        </is>
      </c>
      <c r="I2" s="43" t="inlineStr">
        <is>
          <t>MaterialLine</t>
        </is>
      </c>
      <c r="J2" s="43" t="inlineStr">
        <is>
          <t>Shape</t>
        </is>
      </c>
      <c r="K2" s="43" t="inlineStr">
        <is>
          <t>PortCount</t>
        </is>
      </c>
      <c r="L2" s="43" t="inlineStr">
        <is>
          <t>EndA_Function</t>
        </is>
      </c>
      <c r="M2" s="43" t="inlineStr">
        <is>
          <t>EndA_Type</t>
        </is>
      </c>
      <c r="N2" s="43" t="inlineStr">
        <is>
          <t>EndA_DashSize</t>
        </is>
      </c>
      <c r="O2" s="43" t="inlineStr">
        <is>
          <t>EndA_Thread</t>
        </is>
      </c>
      <c r="P2" s="43" t="inlineStr">
        <is>
          <t>EndA_ThreadForm</t>
        </is>
      </c>
      <c r="Q2" s="43" t="inlineStr">
        <is>
          <t>EndA_ThreadStd</t>
        </is>
      </c>
      <c r="R2" s="43" t="inlineStr">
        <is>
          <t>EndA_SeatAngle_deg</t>
        </is>
      </c>
      <c r="S2" s="43" t="inlineStr">
        <is>
          <t>EndB_Function</t>
        </is>
      </c>
      <c r="T2" s="43" t="inlineStr">
        <is>
          <t>EndB_Type</t>
        </is>
      </c>
      <c r="U2" s="43" t="inlineStr">
        <is>
          <t>EndB_DashSize</t>
        </is>
      </c>
      <c r="V2" s="43" t="inlineStr">
        <is>
          <t>EndB_Thread</t>
        </is>
      </c>
      <c r="W2" s="43" t="inlineStr">
        <is>
          <t>EndB_ThreadForm</t>
        </is>
      </c>
      <c r="X2" s="43" t="inlineStr">
        <is>
          <t>EndB_ThreadStd</t>
        </is>
      </c>
      <c r="Y2" s="43" t="inlineStr">
        <is>
          <t>EndB_SeatAngle_deg</t>
        </is>
      </c>
      <c r="Z2" s="43" t="inlineStr">
        <is>
          <t>D_L</t>
        </is>
      </c>
      <c r="AA2" s="43" t="inlineStr">
        <is>
          <t>D_C</t>
        </is>
      </c>
      <c r="AB2" s="43" t="inlineStr">
        <is>
          <t>D_D</t>
        </is>
      </c>
      <c r="AC2" s="43" t="inlineStr">
        <is>
          <t>D_D1</t>
        </is>
      </c>
      <c r="AD2" s="43" t="inlineStr">
        <is>
          <t>D_HEXA</t>
        </is>
      </c>
      <c r="AE2" s="43" t="inlineStr">
        <is>
          <t>D_HEXB</t>
        </is>
      </c>
      <c r="AF2" s="43" t="inlineStr">
        <is>
          <t>D_BendAngle_deg</t>
        </is>
      </c>
      <c r="AG2" s="43" t="inlineStr">
        <is>
          <t>D_TubeOD</t>
        </is>
      </c>
      <c r="AH2" s="43" t="inlineStr">
        <is>
          <t>TubeOD_Frac</t>
        </is>
      </c>
      <c r="AI2" s="43" t="inlineStr">
        <is>
          <t>Material</t>
        </is>
      </c>
      <c r="AJ2" s="43" t="inlineStr">
        <is>
          <t>MaterialSpec</t>
        </is>
      </c>
      <c r="AK2" s="43" t="inlineStr">
        <is>
          <t>Finish</t>
        </is>
      </c>
      <c r="AL2" s="43" t="inlineStr">
        <is>
          <t>FinishSpec</t>
        </is>
      </c>
      <c r="AM2" s="43" t="inlineStr">
        <is>
          <t>PressureRating</t>
        </is>
      </c>
      <c r="AN2" s="43" t="inlineStr">
        <is>
          <t>PressureUnit</t>
        </is>
      </c>
      <c r="AO2" s="43" t="inlineStr">
        <is>
          <t>TempMin_F</t>
        </is>
      </c>
      <c r="AP2" s="43" t="inlineStr">
        <is>
          <t>TempMax_F</t>
        </is>
      </c>
      <c r="AQ2" s="43" t="inlineStr">
        <is>
          <t>FileName_Base</t>
        </is>
      </c>
      <c r="AR2" s="43" t="inlineStr">
        <is>
          <t>Out_DrawingPDF</t>
        </is>
      </c>
      <c r="AS2" s="43" t="inlineStr">
        <is>
          <t>Out_STEP</t>
        </is>
      </c>
      <c r="AT2" s="43" t="inlineStr">
        <is>
          <t>DataStatus</t>
        </is>
      </c>
      <c r="AU2" s="43" t="inlineStr">
        <is>
          <t>StdCheck_Result</t>
        </is>
      </c>
      <c r="AV2" s="43" t="inlineStr">
        <is>
          <t>StdCheck_Source</t>
        </is>
      </c>
      <c r="AW2" s="43" t="inlineStr">
        <is>
          <t>Notes</t>
        </is>
      </c>
      <c r="AX2" s="43" t="inlineStr">
        <is>
          <t>HexB_Parker</t>
        </is>
      </c>
      <c r="AY2" s="43" t="inlineStr">
        <is>
          <t>HexB_Brennan</t>
        </is>
      </c>
      <c r="AZ2" s="43" t="inlineStr">
        <is>
          <t>HexB_PressureConn</t>
        </is>
      </c>
      <c r="BA2" s="43" t="inlineStr">
        <is>
          <t>Hex_CrossCheck</t>
        </is>
      </c>
      <c r="BB2" s="43" t="inlineStr">
        <is>
          <t>L_Parker</t>
        </is>
      </c>
      <c r="BC2" s="43" t="inlineStr">
        <is>
          <t>L_CrossCheck</t>
        </is>
      </c>
      <c r="BD2" s="43" t="inlineStr">
        <is>
          <t>InOMiCatalog</t>
        </is>
      </c>
      <c r="BE2" s="43" t="inlineStr">
        <is>
          <t>ScopeAction</t>
        </is>
      </c>
    </row>
    <row r="3" ht="15" customHeight="1" s="35">
      <c r="A3" s="52">
        <f>D3&amp;"-"&amp;TEXT(U3,"00")&amp;"-"&amp;TEXT(N3,"00")</f>
        <v/>
      </c>
      <c r="B3" s="53" t="inlineStr">
        <is>
          <t>2404-2-2</t>
        </is>
      </c>
      <c r="C3" s="52">
        <f>A3</f>
        <v/>
      </c>
      <c r="D3" s="53" t="inlineStr">
        <is>
          <t>2404</t>
        </is>
      </c>
      <c r="E3" s="53" t="n">
        <v>64</v>
      </c>
      <c r="F3" s="53" t="inlineStr">
        <is>
          <t>https://parts.air-way.com/hydraulic-fittings/jic-and-beaded-hose-fittings/straight/2404-male-connector-series-64</t>
        </is>
      </c>
      <c r="G3" s="52">
        <f>"Male Connector, "&amp;T3&amp;" x "&amp;M3&amp;", "&amp;V3&amp;" x "&amp;O3</f>
        <v/>
      </c>
      <c r="H3" s="53" t="inlineStr">
        <is>
          <t>JIC 37 &amp; Beaded Hose</t>
        </is>
      </c>
      <c r="I3" s="53" t="inlineStr">
        <is>
          <t>Carbon Steel</t>
        </is>
      </c>
      <c r="J3" s="53" t="inlineStr">
        <is>
          <t>Straight</t>
        </is>
      </c>
      <c r="K3" s="53" t="n">
        <v>2</v>
      </c>
      <c r="L3" s="53" t="inlineStr">
        <is>
          <t>A</t>
        </is>
      </c>
      <c r="M3" s="53" t="inlineStr">
        <is>
          <t>Male Pipe NPTF</t>
        </is>
      </c>
      <c r="N3" s="53" t="n">
        <v>2</v>
      </c>
      <c r="O3" s="53" t="inlineStr">
        <is>
          <t>1/8-27</t>
        </is>
      </c>
      <c r="P3" s="53" t="inlineStr">
        <is>
          <t>NPTF Dryseal</t>
        </is>
      </c>
      <c r="Q3" s="53" t="inlineStr">
        <is>
          <t>ASME B1.20.3</t>
        </is>
      </c>
      <c r="R3" s="53" t="inlineStr">
        <is>
          <t>N/A (tapered thread seal)</t>
        </is>
      </c>
      <c r="S3" s="53" t="inlineStr">
        <is>
          <t>B</t>
        </is>
      </c>
      <c r="T3" s="53" t="inlineStr">
        <is>
          <t>Male 37 deg Flare (JIC)</t>
        </is>
      </c>
      <c r="U3" s="53" t="n">
        <v>2</v>
      </c>
      <c r="V3" s="53" t="inlineStr">
        <is>
          <t>5/16-24</t>
        </is>
      </c>
      <c r="W3" s="53" t="inlineStr">
        <is>
          <t>UN/UNF-2A</t>
        </is>
      </c>
      <c r="X3" s="53" t="inlineStr">
        <is>
          <t>SAE J514 / J514-1</t>
        </is>
      </c>
      <c r="Y3" s="53" t="n">
        <v>37</v>
      </c>
      <c r="Z3" s="53" t="n">
        <v>1.11</v>
      </c>
      <c r="AA3" s="53" t="n">
        <v>0.44</v>
      </c>
      <c r="AB3" s="53" t="n">
        <v>0.06</v>
      </c>
      <c r="AC3" s="53" t="n">
        <v>0.19</v>
      </c>
      <c r="AD3" s="54" t="n"/>
      <c r="AE3" s="55" t="n">
        <v>0.4375</v>
      </c>
      <c r="AF3" s="53" t="n">
        <v>0</v>
      </c>
      <c r="AG3" s="53" t="n">
        <v>0.125</v>
      </c>
      <c r="AH3" s="53" t="inlineStr">
        <is>
          <t>1/8</t>
        </is>
      </c>
      <c r="AI3" s="54" t="n"/>
      <c r="AJ3" s="54" t="n"/>
      <c r="AK3" s="54" t="n"/>
      <c r="AL3" s="54" t="n"/>
      <c r="AM3" s="54" t="n"/>
      <c r="AN3" s="53" t="inlineStr">
        <is>
          <t>psi</t>
        </is>
      </c>
      <c r="AO3" s="54" t="n"/>
      <c r="AP3" s="54" t="n"/>
      <c r="AQ3" s="52">
        <f>SUBSTITUTE(A3,"/","_")</f>
        <v/>
      </c>
      <c r="AR3" s="52">
        <f>AQ3&amp;".pdf"</f>
        <v/>
      </c>
      <c r="AS3" s="52">
        <f>AQ3&amp;".step"</f>
        <v/>
      </c>
      <c r="AT3" s="53" t="inlineStr">
        <is>
          <t>VERIFIED</t>
        </is>
      </c>
      <c r="AU3" s="53" t="inlineStr">
        <is>
          <t>MATCH</t>
        </is>
      </c>
      <c r="AV3" s="53" t="inlineStr">
        <is>
          <t>L: Air-Way vs Parker Cat4300. Hex: 2+ independent sources agree.</t>
        </is>
      </c>
      <c r="AW3" s="53" t="inlineStr">
        <is>
          <t>Material/finish/pressure NOT published by Air-Way or OMi - awaiting client input</t>
        </is>
      </c>
      <c r="AX3" s="37" t="inlineStr">
        <is>
          <t>7/16</t>
        </is>
      </c>
      <c r="AY3" s="37" t="inlineStr">
        <is>
          <t>7/16</t>
        </is>
      </c>
      <c r="AZ3" s="37" t="inlineStr">
        <is>
          <t>7/16</t>
        </is>
      </c>
      <c r="BA3" s="45" t="inlineStr">
        <is>
          <t>AGREE</t>
        </is>
      </c>
      <c r="BB3" s="37" t="n">
        <v>1.11</v>
      </c>
      <c r="BC3" s="45" t="inlineStr">
        <is>
          <t>MATCH</t>
        </is>
      </c>
      <c r="BD3" s="45" t="inlineStr">
        <is>
          <t>Y</t>
        </is>
      </c>
      <c r="BE3" s="45" t="inlineStr">
        <is>
          <t>BUILD</t>
        </is>
      </c>
    </row>
    <row r="4" ht="15" customHeight="1" s="35">
      <c r="A4" s="52">
        <f>D4&amp;"-"&amp;TEXT(U4,"00")&amp;"-"&amp;TEXT(N4,"00")</f>
        <v/>
      </c>
      <c r="B4" s="53" t="inlineStr">
        <is>
          <t>2404-3-2</t>
        </is>
      </c>
      <c r="C4" s="52">
        <f>A4</f>
        <v/>
      </c>
      <c r="D4" s="53" t="inlineStr">
        <is>
          <t>2404</t>
        </is>
      </c>
      <c r="E4" s="53" t="n">
        <v>64</v>
      </c>
      <c r="F4" s="53" t="inlineStr">
        <is>
          <t>https://parts.air-way.com/hydraulic-fittings/jic-and-beaded-hose-fittings/straight/2404-male-connector-series-64</t>
        </is>
      </c>
      <c r="G4" s="52">
        <f>"Male Connector, "&amp;T4&amp;" x "&amp;M4&amp;", "&amp;V4&amp;" x "&amp;O4</f>
        <v/>
      </c>
      <c r="H4" s="53" t="inlineStr">
        <is>
          <t>JIC 37 &amp; Beaded Hose</t>
        </is>
      </c>
      <c r="I4" s="53" t="inlineStr">
        <is>
          <t>Carbon Steel</t>
        </is>
      </c>
      <c r="J4" s="53" t="inlineStr">
        <is>
          <t>Straight</t>
        </is>
      </c>
      <c r="K4" s="53" t="n">
        <v>2</v>
      </c>
      <c r="L4" s="53" t="inlineStr">
        <is>
          <t>A</t>
        </is>
      </c>
      <c r="M4" s="53" t="inlineStr">
        <is>
          <t>Male Pipe NPTF</t>
        </is>
      </c>
      <c r="N4" s="53" t="n">
        <v>2</v>
      </c>
      <c r="O4" s="53" t="inlineStr">
        <is>
          <t>1/8-27</t>
        </is>
      </c>
      <c r="P4" s="53" t="inlineStr">
        <is>
          <t>NPTF Dryseal</t>
        </is>
      </c>
      <c r="Q4" s="53" t="inlineStr">
        <is>
          <t>ASME B1.20.3</t>
        </is>
      </c>
      <c r="R4" s="53" t="inlineStr">
        <is>
          <t>N/A (tapered thread seal)</t>
        </is>
      </c>
      <c r="S4" s="53" t="inlineStr">
        <is>
          <t>B</t>
        </is>
      </c>
      <c r="T4" s="53" t="inlineStr">
        <is>
          <t>Male 37 deg Flare (JIC)</t>
        </is>
      </c>
      <c r="U4" s="53" t="n">
        <v>3</v>
      </c>
      <c r="V4" s="53" t="inlineStr">
        <is>
          <t>3/8-24</t>
        </is>
      </c>
      <c r="W4" s="53" t="inlineStr">
        <is>
          <t>UN/UNF-2A</t>
        </is>
      </c>
      <c r="X4" s="53" t="inlineStr">
        <is>
          <t>SAE J514 / J514-1</t>
        </is>
      </c>
      <c r="Y4" s="53" t="n">
        <v>37</v>
      </c>
      <c r="Z4" s="53" t="n">
        <v>1.14</v>
      </c>
      <c r="AA4" s="53" t="n">
        <v>0.44</v>
      </c>
      <c r="AB4" s="53" t="n">
        <v>0.13</v>
      </c>
      <c r="AC4" s="53" t="n">
        <v>0.19</v>
      </c>
      <c r="AD4" s="54" t="n"/>
      <c r="AE4" s="55" t="n">
        <v>0.4375</v>
      </c>
      <c r="AF4" s="53" t="n">
        <v>0</v>
      </c>
      <c r="AG4" s="53" t="n">
        <v>0.1875</v>
      </c>
      <c r="AH4" s="53" t="inlineStr">
        <is>
          <t>3/16</t>
        </is>
      </c>
      <c r="AI4" s="54" t="n"/>
      <c r="AJ4" s="54" t="n"/>
      <c r="AK4" s="54" t="n"/>
      <c r="AL4" s="54" t="n"/>
      <c r="AM4" s="54" t="n"/>
      <c r="AN4" s="53" t="inlineStr">
        <is>
          <t>psi</t>
        </is>
      </c>
      <c r="AO4" s="54" t="n"/>
      <c r="AP4" s="54" t="n"/>
      <c r="AQ4" s="52">
        <f>SUBSTITUTE(A4,"/","_")</f>
        <v/>
      </c>
      <c r="AR4" s="52">
        <f>AQ4&amp;".pdf"</f>
        <v/>
      </c>
      <c r="AS4" s="52">
        <f>AQ4&amp;".step"</f>
        <v/>
      </c>
      <c r="AT4" s="53" t="inlineStr">
        <is>
          <t>VERIFIED</t>
        </is>
      </c>
      <c r="AU4" s="53" t="inlineStr">
        <is>
          <t>MATCH</t>
        </is>
      </c>
      <c r="AV4" s="53" t="inlineStr">
        <is>
          <t>L: Air-Way vs Parker Cat4300. Hex: 2+ independent sources agree.</t>
        </is>
      </c>
      <c r="AW4" s="53" t="inlineStr">
        <is>
          <t>Material/finish/pressure NOT published by Air-Way or OMi - awaiting client input</t>
        </is>
      </c>
      <c r="AX4" s="37" t="inlineStr">
        <is>
          <t>7/16</t>
        </is>
      </c>
      <c r="AY4" s="37" t="inlineStr">
        <is>
          <t>7/16</t>
        </is>
      </c>
      <c r="AZ4" s="37" t="inlineStr">
        <is>
          <t>7/16</t>
        </is>
      </c>
      <c r="BA4" s="45" t="inlineStr">
        <is>
          <t>AGREE</t>
        </is>
      </c>
      <c r="BB4" s="37" t="n">
        <v>1.14</v>
      </c>
      <c r="BC4" s="45" t="inlineStr">
        <is>
          <t>MATCH</t>
        </is>
      </c>
      <c r="BD4" s="45" t="inlineStr">
        <is>
          <t>Y</t>
        </is>
      </c>
      <c r="BE4" s="45" t="inlineStr">
        <is>
          <t>BUILD</t>
        </is>
      </c>
    </row>
    <row r="5" ht="15" customHeight="1" s="35">
      <c r="A5" s="52">
        <f>D5&amp;"-"&amp;TEXT(U5,"00")&amp;"-"&amp;TEXT(N5,"00")</f>
        <v/>
      </c>
      <c r="B5" s="53" t="inlineStr">
        <is>
          <t>2404-4-2</t>
        </is>
      </c>
      <c r="C5" s="52">
        <f>A5</f>
        <v/>
      </c>
      <c r="D5" s="53" t="inlineStr">
        <is>
          <t>2404</t>
        </is>
      </c>
      <c r="E5" s="53" t="n">
        <v>64</v>
      </c>
      <c r="F5" s="53" t="inlineStr">
        <is>
          <t>https://parts.air-way.com/hydraulic-fittings/jic-and-beaded-hose-fittings/straight/2404-male-connector-series-64</t>
        </is>
      </c>
      <c r="G5" s="52">
        <f>"Male Connector, "&amp;T5&amp;" x "&amp;M5&amp;", "&amp;V5&amp;" x "&amp;O5</f>
        <v/>
      </c>
      <c r="H5" s="53" t="inlineStr">
        <is>
          <t>JIC 37 &amp; Beaded Hose</t>
        </is>
      </c>
      <c r="I5" s="53" t="inlineStr">
        <is>
          <t>Carbon Steel</t>
        </is>
      </c>
      <c r="J5" s="53" t="inlineStr">
        <is>
          <t>Straight</t>
        </is>
      </c>
      <c r="K5" s="53" t="n">
        <v>2</v>
      </c>
      <c r="L5" s="53" t="inlineStr">
        <is>
          <t>A</t>
        </is>
      </c>
      <c r="M5" s="53" t="inlineStr">
        <is>
          <t>Male Pipe NPTF</t>
        </is>
      </c>
      <c r="N5" s="53" t="n">
        <v>2</v>
      </c>
      <c r="O5" s="53" t="inlineStr">
        <is>
          <t>1/8-27</t>
        </is>
      </c>
      <c r="P5" s="53" t="inlineStr">
        <is>
          <t>NPTF Dryseal</t>
        </is>
      </c>
      <c r="Q5" s="53" t="inlineStr">
        <is>
          <t>ASME B1.20.3</t>
        </is>
      </c>
      <c r="R5" s="53" t="inlineStr">
        <is>
          <t>N/A (tapered thread seal)</t>
        </is>
      </c>
      <c r="S5" s="53" t="inlineStr">
        <is>
          <t>B</t>
        </is>
      </c>
      <c r="T5" s="53" t="inlineStr">
        <is>
          <t>Male 37 deg Flare (JIC)</t>
        </is>
      </c>
      <c r="U5" s="53" t="n">
        <v>4</v>
      </c>
      <c r="V5" s="53" t="inlineStr">
        <is>
          <t>7/16-20</t>
        </is>
      </c>
      <c r="W5" s="53" t="inlineStr">
        <is>
          <t>UN/UNF-2A</t>
        </is>
      </c>
      <c r="X5" s="53" t="inlineStr">
        <is>
          <t>SAE J514 / J514-1</t>
        </is>
      </c>
      <c r="Y5" s="53" t="n">
        <v>37</v>
      </c>
      <c r="Z5" s="53" t="n">
        <v>1.22</v>
      </c>
      <c r="AA5" s="53" t="n">
        <v>0.5</v>
      </c>
      <c r="AB5" s="53" t="n">
        <v>0.17</v>
      </c>
      <c r="AC5" s="53" t="n">
        <v>0.19</v>
      </c>
      <c r="AD5" s="54" t="n"/>
      <c r="AE5" s="54" t="n">
        <v>0.5</v>
      </c>
      <c r="AF5" s="53" t="n">
        <v>0</v>
      </c>
      <c r="AG5" s="53" t="n">
        <v>0.25</v>
      </c>
      <c r="AH5" s="53" t="inlineStr">
        <is>
          <t>1/4</t>
        </is>
      </c>
      <c r="AI5" s="54" t="n"/>
      <c r="AJ5" s="54" t="n"/>
      <c r="AK5" s="54" t="n"/>
      <c r="AL5" s="54" t="n"/>
      <c r="AM5" s="54" t="n"/>
      <c r="AN5" s="53" t="inlineStr">
        <is>
          <t>psi</t>
        </is>
      </c>
      <c r="AO5" s="54" t="n"/>
      <c r="AP5" s="54" t="n"/>
      <c r="AQ5" s="52">
        <f>SUBSTITUTE(A5,"/","_")</f>
        <v/>
      </c>
      <c r="AR5" s="52">
        <f>AQ5&amp;".pdf"</f>
        <v/>
      </c>
      <c r="AS5" s="52">
        <f>AQ5&amp;".step"</f>
        <v/>
      </c>
      <c r="AT5" s="53" t="inlineStr">
        <is>
          <t>ASSUMED</t>
        </is>
      </c>
      <c r="AU5" s="53" t="inlineStr">
        <is>
          <t>MATCH (L only)</t>
        </is>
      </c>
      <c r="AV5" s="53" t="inlineStr">
        <is>
          <t>Hex from Parker Cat4300 only - single source, not cross-checked.</t>
        </is>
      </c>
      <c r="AW5" s="53" t="inlineStr">
        <is>
          <t>Material/finish/pressure NOT published by Air-Way or OMi - awaiting client input</t>
        </is>
      </c>
      <c r="AX5" s="37" t="inlineStr">
        <is>
          <t>1/2</t>
        </is>
      </c>
      <c r="AY5" s="37" t="n"/>
      <c r="AZ5" s="37" t="n"/>
      <c r="BA5" s="44" t="inlineStr">
        <is>
          <t>SINGLE SOURCE</t>
        </is>
      </c>
      <c r="BB5" s="37" t="n">
        <v>1.22</v>
      </c>
      <c r="BC5" s="45" t="inlineStr">
        <is>
          <t>MATCH</t>
        </is>
      </c>
      <c r="BD5" s="45" t="inlineStr">
        <is>
          <t>Y</t>
        </is>
      </c>
      <c r="BE5" s="45" t="inlineStr">
        <is>
          <t>BUILD</t>
        </is>
      </c>
    </row>
    <row r="6" ht="15" customHeight="1" s="35">
      <c r="A6" s="52">
        <f>D6&amp;"-"&amp;TEXT(U6,"00")&amp;"-"&amp;TEXT(N6,"00")</f>
        <v/>
      </c>
      <c r="B6" s="53" t="inlineStr">
        <is>
          <t>2404-4-4</t>
        </is>
      </c>
      <c r="C6" s="52">
        <f>A6</f>
        <v/>
      </c>
      <c r="D6" s="53" t="inlineStr">
        <is>
          <t>2404</t>
        </is>
      </c>
      <c r="E6" s="53" t="n">
        <v>64</v>
      </c>
      <c r="F6" s="53" t="inlineStr">
        <is>
          <t>https://parts.air-way.com/hydraulic-fittings/jic-and-beaded-hose-fittings/straight/2404-male-connector-series-64</t>
        </is>
      </c>
      <c r="G6" s="52">
        <f>"Male Connector, "&amp;T6&amp;" x "&amp;M6&amp;", "&amp;V6&amp;" x "&amp;O6</f>
        <v/>
      </c>
      <c r="H6" s="53" t="inlineStr">
        <is>
          <t>JIC 37 &amp; Beaded Hose</t>
        </is>
      </c>
      <c r="I6" s="53" t="inlineStr">
        <is>
          <t>Carbon Steel</t>
        </is>
      </c>
      <c r="J6" s="53" t="inlineStr">
        <is>
          <t>Straight</t>
        </is>
      </c>
      <c r="K6" s="53" t="n">
        <v>2</v>
      </c>
      <c r="L6" s="53" t="inlineStr">
        <is>
          <t>A</t>
        </is>
      </c>
      <c r="M6" s="53" t="inlineStr">
        <is>
          <t>Male Pipe NPTF</t>
        </is>
      </c>
      <c r="N6" s="53" t="n">
        <v>4</v>
      </c>
      <c r="O6" s="53" t="inlineStr">
        <is>
          <t>1/4-18</t>
        </is>
      </c>
      <c r="P6" s="53" t="inlineStr">
        <is>
          <t>NPTF Dryseal</t>
        </is>
      </c>
      <c r="Q6" s="53" t="inlineStr">
        <is>
          <t>ASME B1.20.3</t>
        </is>
      </c>
      <c r="R6" s="53" t="inlineStr">
        <is>
          <t>N/A (tapered thread seal)</t>
        </is>
      </c>
      <c r="S6" s="53" t="inlineStr">
        <is>
          <t>B</t>
        </is>
      </c>
      <c r="T6" s="53" t="inlineStr">
        <is>
          <t>Male 37 deg Flare (JIC)</t>
        </is>
      </c>
      <c r="U6" s="53" t="n">
        <v>4</v>
      </c>
      <c r="V6" s="53" t="inlineStr">
        <is>
          <t>7/16-20</t>
        </is>
      </c>
      <c r="W6" s="53" t="inlineStr">
        <is>
          <t>UN/UNF-2A</t>
        </is>
      </c>
      <c r="X6" s="53" t="inlineStr">
        <is>
          <t>SAE J514 / J514-1</t>
        </is>
      </c>
      <c r="Y6" s="53" t="n">
        <v>37</v>
      </c>
      <c r="Z6" s="53" t="n">
        <v>1.42</v>
      </c>
      <c r="AA6" s="53" t="n">
        <v>0.5600000000000001</v>
      </c>
      <c r="AB6" s="53" t="n">
        <v>0.17</v>
      </c>
      <c r="AC6" s="53" t="n">
        <v>0.28</v>
      </c>
      <c r="AD6" s="54" t="n"/>
      <c r="AE6" s="55" t="n">
        <v>0.5625</v>
      </c>
      <c r="AF6" s="53" t="n">
        <v>0</v>
      </c>
      <c r="AG6" s="53" t="n">
        <v>0.25</v>
      </c>
      <c r="AH6" s="53" t="inlineStr">
        <is>
          <t>1/4</t>
        </is>
      </c>
      <c r="AI6" s="54" t="n"/>
      <c r="AJ6" s="54" t="n"/>
      <c r="AK6" s="54" t="n"/>
      <c r="AL6" s="54" t="n"/>
      <c r="AM6" s="54" t="n"/>
      <c r="AN6" s="53" t="inlineStr">
        <is>
          <t>psi</t>
        </is>
      </c>
      <c r="AO6" s="54" t="n"/>
      <c r="AP6" s="54" t="n"/>
      <c r="AQ6" s="52">
        <f>SUBSTITUTE(A6,"/","_")</f>
        <v/>
      </c>
      <c r="AR6" s="52">
        <f>AQ6&amp;".pdf"</f>
        <v/>
      </c>
      <c r="AS6" s="52">
        <f>AQ6&amp;".step"</f>
        <v/>
      </c>
      <c r="AT6" s="53" t="inlineStr">
        <is>
          <t>VERIFIED</t>
        </is>
      </c>
      <c r="AU6" s="53" t="inlineStr">
        <is>
          <t>MATCH</t>
        </is>
      </c>
      <c r="AV6" s="53" t="inlineStr">
        <is>
          <t>L: Air-Way vs Parker Cat4300. Hex: 2+ independent sources agree.</t>
        </is>
      </c>
      <c r="AW6" s="53" t="inlineStr">
        <is>
          <t>Material/finish/pressure NOT published by Air-Way or OMi - awaiting client input</t>
        </is>
      </c>
      <c r="AX6" s="37" t="inlineStr">
        <is>
          <t>9/16</t>
        </is>
      </c>
      <c r="AY6" s="37" t="inlineStr">
        <is>
          <t>9/16</t>
        </is>
      </c>
      <c r="AZ6" s="37" t="inlineStr">
        <is>
          <t>9/16</t>
        </is>
      </c>
      <c r="BA6" s="45" t="inlineStr">
        <is>
          <t>AGREE</t>
        </is>
      </c>
      <c r="BB6" s="37" t="n">
        <v>1.42</v>
      </c>
      <c r="BC6" s="45" t="inlineStr">
        <is>
          <t>MATCH</t>
        </is>
      </c>
      <c r="BD6" s="45" t="inlineStr">
        <is>
          <t>Y</t>
        </is>
      </c>
      <c r="BE6" s="45" t="inlineStr">
        <is>
          <t>BUILD</t>
        </is>
      </c>
    </row>
    <row r="7" ht="15" customHeight="1" s="35">
      <c r="A7" s="52">
        <f>D7&amp;"-"&amp;TEXT(U7,"00")&amp;"-"&amp;TEXT(N7,"00")</f>
        <v/>
      </c>
      <c r="B7" s="53" t="inlineStr">
        <is>
          <t>2404-4-6</t>
        </is>
      </c>
      <c r="C7" s="52">
        <f>A7</f>
        <v/>
      </c>
      <c r="D7" s="53" t="inlineStr">
        <is>
          <t>2404</t>
        </is>
      </c>
      <c r="E7" s="53" t="n">
        <v>64</v>
      </c>
      <c r="F7" s="53" t="inlineStr">
        <is>
          <t>https://parts.air-way.com/hydraulic-fittings/jic-and-beaded-hose-fittings/straight/2404-male-connector-series-64</t>
        </is>
      </c>
      <c r="G7" s="52">
        <f>"Male Connector, "&amp;T7&amp;" x "&amp;M7&amp;", "&amp;V7&amp;" x "&amp;O7</f>
        <v/>
      </c>
      <c r="H7" s="53" t="inlineStr">
        <is>
          <t>JIC 37 &amp; Beaded Hose</t>
        </is>
      </c>
      <c r="I7" s="53" t="inlineStr">
        <is>
          <t>Carbon Steel</t>
        </is>
      </c>
      <c r="J7" s="53" t="inlineStr">
        <is>
          <t>Straight</t>
        </is>
      </c>
      <c r="K7" s="53" t="n">
        <v>2</v>
      </c>
      <c r="L7" s="53" t="inlineStr">
        <is>
          <t>A</t>
        </is>
      </c>
      <c r="M7" s="53" t="inlineStr">
        <is>
          <t>Male Pipe NPTF</t>
        </is>
      </c>
      <c r="N7" s="53" t="n">
        <v>6</v>
      </c>
      <c r="O7" s="53" t="inlineStr">
        <is>
          <t>3/8-18</t>
        </is>
      </c>
      <c r="P7" s="53" t="inlineStr">
        <is>
          <t>NPTF Dryseal</t>
        </is>
      </c>
      <c r="Q7" s="53" t="inlineStr">
        <is>
          <t>ASME B1.20.3</t>
        </is>
      </c>
      <c r="R7" s="53" t="inlineStr">
        <is>
          <t>N/A (tapered thread seal)</t>
        </is>
      </c>
      <c r="S7" s="53" t="inlineStr">
        <is>
          <t>B</t>
        </is>
      </c>
      <c r="T7" s="53" t="inlineStr">
        <is>
          <t>Male 37 deg Flare (JIC)</t>
        </is>
      </c>
      <c r="U7" s="53" t="n">
        <v>4</v>
      </c>
      <c r="V7" s="53" t="inlineStr">
        <is>
          <t>7/16-20</t>
        </is>
      </c>
      <c r="W7" s="53" t="inlineStr">
        <is>
          <t>UN/UNF-2A</t>
        </is>
      </c>
      <c r="X7" s="53" t="inlineStr">
        <is>
          <t>SAE J514 / J514-1</t>
        </is>
      </c>
      <c r="Y7" s="53" t="n">
        <v>37</v>
      </c>
      <c r="Z7" s="53" t="n">
        <v>1.42</v>
      </c>
      <c r="AA7" s="53" t="n">
        <v>0.75</v>
      </c>
      <c r="AB7" s="53" t="n">
        <v>0.17</v>
      </c>
      <c r="AC7" s="53" t="n">
        <v>0.41</v>
      </c>
      <c r="AD7" s="54" t="n"/>
      <c r="AE7" s="54" t="n"/>
      <c r="AF7" s="53" t="n">
        <v>0</v>
      </c>
      <c r="AG7" s="53" t="n">
        <v>0.25</v>
      </c>
      <c r="AH7" s="53" t="inlineStr">
        <is>
          <t>1/4</t>
        </is>
      </c>
      <c r="AI7" s="54" t="n"/>
      <c r="AJ7" s="54" t="n"/>
      <c r="AK7" s="54" t="n"/>
      <c r="AL7" s="54" t="n"/>
      <c r="AM7" s="54" t="n"/>
      <c r="AN7" s="53" t="inlineStr">
        <is>
          <t>psi</t>
        </is>
      </c>
      <c r="AO7" s="54" t="n"/>
      <c r="AP7" s="54" t="n"/>
      <c r="AQ7" s="52">
        <f>SUBSTITUTE(A7,"/","_")</f>
        <v/>
      </c>
      <c r="AR7" s="52">
        <f>AQ7&amp;".pdf"</f>
        <v/>
      </c>
      <c r="AS7" s="52">
        <f>AQ7&amp;".step"</f>
        <v/>
      </c>
      <c r="AT7" s="53" t="inlineStr">
        <is>
          <t>MISSING</t>
        </is>
      </c>
      <c r="AU7" s="53" t="inlineStr">
        <is>
          <t>MATCH</t>
        </is>
      </c>
      <c r="AV7" s="53" t="inlineStr">
        <is>
          <t>SAE J514 JIC dash/thread chart (gageref.com), cross-checked vs source page</t>
        </is>
      </c>
      <c r="AW7" s="53" t="inlineStr">
        <is>
          <t>Material/finish/pressure NOT published by Air-Way or OMi - awaiting client input</t>
        </is>
      </c>
      <c r="AX7" s="37" t="n"/>
      <c r="AY7" s="37" t="n"/>
      <c r="AZ7" s="37" t="n"/>
      <c r="BA7" s="44" t="inlineStr">
        <is>
          <t>NO DATA</t>
        </is>
      </c>
      <c r="BB7" s="37" t="n"/>
      <c r="BC7" s="44" t="inlineStr">
        <is>
          <t>NO DATA</t>
        </is>
      </c>
      <c r="BD7" s="45" t="inlineStr">
        <is>
          <t>Y</t>
        </is>
      </c>
      <c r="BE7" s="45" t="inlineStr">
        <is>
          <t>BUILD</t>
        </is>
      </c>
    </row>
    <row r="8" ht="15" customHeight="1" s="35">
      <c r="A8" s="52">
        <f>D8&amp;"-"&amp;TEXT(U8,"00")&amp;"-"&amp;TEXT(N8,"00")</f>
        <v/>
      </c>
      <c r="B8" s="53" t="inlineStr">
        <is>
          <t>2404-4-8</t>
        </is>
      </c>
      <c r="C8" s="52">
        <f>A8</f>
        <v/>
      </c>
      <c r="D8" s="53" t="inlineStr">
        <is>
          <t>2404</t>
        </is>
      </c>
      <c r="E8" s="53" t="n">
        <v>64</v>
      </c>
      <c r="F8" s="53" t="inlineStr">
        <is>
          <t>https://parts.air-way.com/hydraulic-fittings/jic-and-beaded-hose-fittings/straight/2404-male-connector-series-64</t>
        </is>
      </c>
      <c r="G8" s="52">
        <f>"Male Connector, "&amp;T8&amp;" x "&amp;M8&amp;", "&amp;V8&amp;" x "&amp;O8</f>
        <v/>
      </c>
      <c r="H8" s="53" t="inlineStr">
        <is>
          <t>JIC 37 &amp; Beaded Hose</t>
        </is>
      </c>
      <c r="I8" s="53" t="inlineStr">
        <is>
          <t>Carbon Steel</t>
        </is>
      </c>
      <c r="J8" s="53" t="inlineStr">
        <is>
          <t>Straight</t>
        </is>
      </c>
      <c r="K8" s="53" t="n">
        <v>2</v>
      </c>
      <c r="L8" s="53" t="inlineStr">
        <is>
          <t>A</t>
        </is>
      </c>
      <c r="M8" s="53" t="inlineStr">
        <is>
          <t>Male Pipe NPTF</t>
        </is>
      </c>
      <c r="N8" s="53" t="n">
        <v>8</v>
      </c>
      <c r="O8" s="53" t="inlineStr">
        <is>
          <t>1/2-14</t>
        </is>
      </c>
      <c r="P8" s="53" t="inlineStr">
        <is>
          <t>NPTF Dryseal</t>
        </is>
      </c>
      <c r="Q8" s="53" t="inlineStr">
        <is>
          <t>ASME B1.20.3</t>
        </is>
      </c>
      <c r="R8" s="53" t="inlineStr">
        <is>
          <t>N/A (tapered thread seal)</t>
        </is>
      </c>
      <c r="S8" s="53" t="inlineStr">
        <is>
          <t>B</t>
        </is>
      </c>
      <c r="T8" s="53" t="inlineStr">
        <is>
          <t>Male 37 deg Flare (JIC)</t>
        </is>
      </c>
      <c r="U8" s="53" t="n">
        <v>4</v>
      </c>
      <c r="V8" s="53" t="inlineStr">
        <is>
          <t>7/16-20</t>
        </is>
      </c>
      <c r="W8" s="53" t="inlineStr">
        <is>
          <t>UN/UNF-2A</t>
        </is>
      </c>
      <c r="X8" s="53" t="inlineStr">
        <is>
          <t>SAE J514 / J514-1</t>
        </is>
      </c>
      <c r="Y8" s="53" t="n">
        <v>37</v>
      </c>
      <c r="Z8" s="53" t="n">
        <v>1.68</v>
      </c>
      <c r="AA8" s="53" t="n">
        <v>0.88</v>
      </c>
      <c r="AB8" s="53" t="n">
        <v>0.17</v>
      </c>
      <c r="AC8" s="53" t="n">
        <v>0.53</v>
      </c>
      <c r="AD8" s="54" t="n"/>
      <c r="AE8" s="54" t="n"/>
      <c r="AF8" s="53" t="n">
        <v>0</v>
      </c>
      <c r="AG8" s="53" t="n">
        <v>0.25</v>
      </c>
      <c r="AH8" s="53" t="inlineStr">
        <is>
          <t>1/4</t>
        </is>
      </c>
      <c r="AI8" s="54" t="n"/>
      <c r="AJ8" s="54" t="n"/>
      <c r="AK8" s="54" t="n"/>
      <c r="AL8" s="54" t="n"/>
      <c r="AM8" s="54" t="n"/>
      <c r="AN8" s="53" t="inlineStr">
        <is>
          <t>psi</t>
        </is>
      </c>
      <c r="AO8" s="54" t="n"/>
      <c r="AP8" s="54" t="n"/>
      <c r="AQ8" s="52">
        <f>SUBSTITUTE(A8,"/","_")</f>
        <v/>
      </c>
      <c r="AR8" s="52">
        <f>AQ8&amp;".pdf"</f>
        <v/>
      </c>
      <c r="AS8" s="52">
        <f>AQ8&amp;".step"</f>
        <v/>
      </c>
      <c r="AT8" s="53" t="inlineStr">
        <is>
          <t>MISSING</t>
        </is>
      </c>
      <c r="AU8" s="53" t="inlineStr">
        <is>
          <t>MATCH</t>
        </is>
      </c>
      <c r="AV8" s="53" t="inlineStr">
        <is>
          <t>SAE J514 JIC dash/thread chart (gageref.com), cross-checked vs source page</t>
        </is>
      </c>
      <c r="AW8" s="53" t="inlineStr">
        <is>
          <t>Material/finish/pressure NOT published by Air-Way or OMi - awaiting client input</t>
        </is>
      </c>
      <c r="AX8" s="37" t="n"/>
      <c r="AY8" s="37" t="n"/>
      <c r="AZ8" s="37" t="n"/>
      <c r="BA8" s="44" t="inlineStr">
        <is>
          <t>NO DATA</t>
        </is>
      </c>
      <c r="BB8" s="37" t="n"/>
      <c r="BC8" s="44" t="inlineStr">
        <is>
          <t>NO DATA</t>
        </is>
      </c>
      <c r="BD8" s="45" t="inlineStr">
        <is>
          <t>Y</t>
        </is>
      </c>
      <c r="BE8" s="45" t="inlineStr">
        <is>
          <t>BUILD</t>
        </is>
      </c>
    </row>
    <row r="9" ht="15" customHeight="1" s="35">
      <c r="A9" s="52">
        <f>D9&amp;"-"&amp;TEXT(U9,"00")&amp;"-"&amp;TEXT(N9,"00")</f>
        <v/>
      </c>
      <c r="B9" s="53" t="inlineStr">
        <is>
          <t>2404-4-12</t>
        </is>
      </c>
      <c r="C9" s="52">
        <f>A9</f>
        <v/>
      </c>
      <c r="D9" s="53" t="inlineStr">
        <is>
          <t>2404</t>
        </is>
      </c>
      <c r="E9" s="53" t="n">
        <v>64</v>
      </c>
      <c r="F9" s="53" t="inlineStr">
        <is>
          <t>https://parts.air-way.com/hydraulic-fittings/jic-and-beaded-hose-fittings/straight/2404-male-connector-series-64</t>
        </is>
      </c>
      <c r="G9" s="52">
        <f>"Male Connector, "&amp;T9&amp;" x "&amp;M9&amp;", "&amp;V9&amp;" x "&amp;O9</f>
        <v/>
      </c>
      <c r="H9" s="53" t="inlineStr">
        <is>
          <t>JIC 37 &amp; Beaded Hose</t>
        </is>
      </c>
      <c r="I9" s="53" t="inlineStr">
        <is>
          <t>Carbon Steel</t>
        </is>
      </c>
      <c r="J9" s="53" t="inlineStr">
        <is>
          <t>Straight</t>
        </is>
      </c>
      <c r="K9" s="53" t="n">
        <v>2</v>
      </c>
      <c r="L9" s="53" t="inlineStr">
        <is>
          <t>A</t>
        </is>
      </c>
      <c r="M9" s="53" t="inlineStr">
        <is>
          <t>Male Pipe NPTF</t>
        </is>
      </c>
      <c r="N9" s="53" t="n">
        <v>12</v>
      </c>
      <c r="O9" s="53" t="inlineStr">
        <is>
          <t>3/4-14</t>
        </is>
      </c>
      <c r="P9" s="53" t="inlineStr">
        <is>
          <t>NPTF Dryseal</t>
        </is>
      </c>
      <c r="Q9" s="53" t="inlineStr">
        <is>
          <t>ASME B1.20.3</t>
        </is>
      </c>
      <c r="R9" s="53" t="inlineStr">
        <is>
          <t>N/A (tapered thread seal)</t>
        </is>
      </c>
      <c r="S9" s="53" t="inlineStr">
        <is>
          <t>B</t>
        </is>
      </c>
      <c r="T9" s="53" t="inlineStr">
        <is>
          <t>Male 37 deg Flare (JIC)</t>
        </is>
      </c>
      <c r="U9" s="53" t="n">
        <v>4</v>
      </c>
      <c r="V9" s="53" t="inlineStr">
        <is>
          <t>7/16-20</t>
        </is>
      </c>
      <c r="W9" s="53" t="inlineStr">
        <is>
          <t>UN/UNF-2A</t>
        </is>
      </c>
      <c r="X9" s="53" t="inlineStr">
        <is>
          <t>SAE J514 / J514-1</t>
        </is>
      </c>
      <c r="Y9" s="53" t="n">
        <v>37</v>
      </c>
      <c r="Z9" s="53" t="n">
        <v>1.75</v>
      </c>
      <c r="AA9" s="53" t="n">
        <v>1.13</v>
      </c>
      <c r="AB9" s="53" t="n">
        <v>0.17</v>
      </c>
      <c r="AC9" s="53" t="n">
        <v>0.72</v>
      </c>
      <c r="AD9" s="54" t="n"/>
      <c r="AE9" s="54" t="n"/>
      <c r="AF9" s="53" t="n">
        <v>0</v>
      </c>
      <c r="AG9" s="53" t="n">
        <v>0.25</v>
      </c>
      <c r="AH9" s="53" t="inlineStr">
        <is>
          <t>1/4</t>
        </is>
      </c>
      <c r="AI9" s="54" t="n"/>
      <c r="AJ9" s="54" t="n"/>
      <c r="AK9" s="54" t="n"/>
      <c r="AL9" s="54" t="n"/>
      <c r="AM9" s="54" t="n"/>
      <c r="AN9" s="53" t="inlineStr">
        <is>
          <t>psi</t>
        </is>
      </c>
      <c r="AO9" s="54" t="n"/>
      <c r="AP9" s="54" t="n"/>
      <c r="AQ9" s="52">
        <f>SUBSTITUTE(A9,"/","_")</f>
        <v/>
      </c>
      <c r="AR9" s="52">
        <f>AQ9&amp;".pdf"</f>
        <v/>
      </c>
      <c r="AS9" s="52">
        <f>AQ9&amp;".step"</f>
        <v/>
      </c>
      <c r="AT9" s="53" t="inlineStr">
        <is>
          <t>MISSING</t>
        </is>
      </c>
      <c r="AU9" s="53" t="inlineStr">
        <is>
          <t>MATCH</t>
        </is>
      </c>
      <c r="AV9" s="53" t="inlineStr">
        <is>
          <t>SAE J514 JIC dash/thread chart (gageref.com), cross-checked vs source page</t>
        </is>
      </c>
      <c r="AW9" s="53" t="inlineStr">
        <is>
          <t>Material/finish/pressure NOT published by Air-Way or OMi - awaiting client input</t>
        </is>
      </c>
      <c r="AX9" s="37" t="n"/>
      <c r="AY9" s="37" t="n"/>
      <c r="AZ9" s="37" t="n"/>
      <c r="BA9" s="44" t="inlineStr">
        <is>
          <t>NO DATA</t>
        </is>
      </c>
      <c r="BB9" s="37" t="n"/>
      <c r="BC9" s="44" t="inlineStr">
        <is>
          <t>NO DATA</t>
        </is>
      </c>
      <c r="BD9" s="45" t="inlineStr">
        <is>
          <t>Y</t>
        </is>
      </c>
      <c r="BE9" s="45" t="inlineStr">
        <is>
          <t>BUILD</t>
        </is>
      </c>
    </row>
    <row r="10" ht="15" customHeight="1" s="35">
      <c r="A10" s="52">
        <f>D10&amp;"-"&amp;TEXT(U10,"00")&amp;"-"&amp;TEXT(N10,"00")</f>
        <v/>
      </c>
      <c r="B10" s="53" t="inlineStr">
        <is>
          <t>2404-5-2</t>
        </is>
      </c>
      <c r="C10" s="52">
        <f>A10</f>
        <v/>
      </c>
      <c r="D10" s="53" t="inlineStr">
        <is>
          <t>2404</t>
        </is>
      </c>
      <c r="E10" s="53" t="n">
        <v>64</v>
      </c>
      <c r="F10" s="53" t="inlineStr">
        <is>
          <t>https://parts.air-way.com/hydraulic-fittings/jic-and-beaded-hose-fittings/straight/2404-male-connector-series-64</t>
        </is>
      </c>
      <c r="G10" s="52">
        <f>"Male Connector, "&amp;T10&amp;" x "&amp;M10&amp;", "&amp;V10&amp;" x "&amp;O10</f>
        <v/>
      </c>
      <c r="H10" s="53" t="inlineStr">
        <is>
          <t>JIC 37 &amp; Beaded Hose</t>
        </is>
      </c>
      <c r="I10" s="53" t="inlineStr">
        <is>
          <t>Carbon Steel</t>
        </is>
      </c>
      <c r="J10" s="53" t="inlineStr">
        <is>
          <t>Straight</t>
        </is>
      </c>
      <c r="K10" s="53" t="n">
        <v>2</v>
      </c>
      <c r="L10" s="53" t="inlineStr">
        <is>
          <t>A</t>
        </is>
      </c>
      <c r="M10" s="53" t="inlineStr">
        <is>
          <t>Male Pipe NPTF</t>
        </is>
      </c>
      <c r="N10" s="53" t="n">
        <v>2</v>
      </c>
      <c r="O10" s="53" t="inlineStr">
        <is>
          <t>1/8-27</t>
        </is>
      </c>
      <c r="P10" s="53" t="inlineStr">
        <is>
          <t>NPTF Dryseal</t>
        </is>
      </c>
      <c r="Q10" s="53" t="inlineStr">
        <is>
          <t>ASME B1.20.3</t>
        </is>
      </c>
      <c r="R10" s="53" t="inlineStr">
        <is>
          <t>N/A (tapered thread seal)</t>
        </is>
      </c>
      <c r="S10" s="53" t="inlineStr">
        <is>
          <t>B</t>
        </is>
      </c>
      <c r="T10" s="53" t="inlineStr">
        <is>
          <t>Male 37 deg Flare (JIC)</t>
        </is>
      </c>
      <c r="U10" s="53" t="n">
        <v>5</v>
      </c>
      <c r="V10" s="53" t="inlineStr">
        <is>
          <t>1/2-20</t>
        </is>
      </c>
      <c r="W10" s="53" t="inlineStr">
        <is>
          <t>UN/UNF-2A</t>
        </is>
      </c>
      <c r="X10" s="53" t="inlineStr">
        <is>
          <t>SAE J514 / J514-1</t>
        </is>
      </c>
      <c r="Y10" s="53" t="n">
        <v>37</v>
      </c>
      <c r="Z10" s="53" t="n">
        <v>1.22</v>
      </c>
      <c r="AA10" s="53" t="n">
        <v>0.5600000000000001</v>
      </c>
      <c r="AB10" s="53" t="n">
        <v>0.23</v>
      </c>
      <c r="AC10" s="53" t="n">
        <v>0.19</v>
      </c>
      <c r="AD10" s="54" t="n"/>
      <c r="AE10" s="54" t="n">
        <v>0.5625</v>
      </c>
      <c r="AF10" s="53" t="n">
        <v>0</v>
      </c>
      <c r="AG10" s="53" t="n">
        <v>0.3125</v>
      </c>
      <c r="AH10" s="53" t="inlineStr">
        <is>
          <t>5/16</t>
        </is>
      </c>
      <c r="AI10" s="54" t="n"/>
      <c r="AJ10" s="54" t="n"/>
      <c r="AK10" s="54" t="n"/>
      <c r="AL10" s="54" t="n"/>
      <c r="AM10" s="54" t="n"/>
      <c r="AN10" s="53" t="inlineStr">
        <is>
          <t>psi</t>
        </is>
      </c>
      <c r="AO10" s="54" t="n"/>
      <c r="AP10" s="54" t="n"/>
      <c r="AQ10" s="52">
        <f>SUBSTITUTE(A10,"/","_")</f>
        <v/>
      </c>
      <c r="AR10" s="52">
        <f>AQ10&amp;".pdf"</f>
        <v/>
      </c>
      <c r="AS10" s="52">
        <f>AQ10&amp;".step"</f>
        <v/>
      </c>
      <c r="AT10" s="53" t="inlineStr">
        <is>
          <t>ASSUMED</t>
        </is>
      </c>
      <c r="AU10" s="53" t="inlineStr">
        <is>
          <t>MATCH (L only)</t>
        </is>
      </c>
      <c r="AV10" s="53" t="inlineStr">
        <is>
          <t>Hex from Parker Cat4300 only - single source, not cross-checked.</t>
        </is>
      </c>
      <c r="AW10" s="53" t="inlineStr">
        <is>
          <t>Material/finish/pressure NOT published by Air-Way or OMi - awaiting client input</t>
        </is>
      </c>
      <c r="AX10" s="37" t="inlineStr">
        <is>
          <t>9/16</t>
        </is>
      </c>
      <c r="AY10" s="37" t="n"/>
      <c r="AZ10" s="37" t="n"/>
      <c r="BA10" s="44" t="inlineStr">
        <is>
          <t>SINGLE SOURCE</t>
        </is>
      </c>
      <c r="BB10" s="37" t="n">
        <v>1.22</v>
      </c>
      <c r="BC10" s="45" t="inlineStr">
        <is>
          <t>MATCH</t>
        </is>
      </c>
      <c r="BD10" s="45" t="inlineStr">
        <is>
          <t>Y</t>
        </is>
      </c>
      <c r="BE10" s="45" t="inlineStr">
        <is>
          <t>BUILD</t>
        </is>
      </c>
    </row>
    <row r="11" ht="15" customHeight="1" s="35">
      <c r="A11" s="52">
        <f>D11&amp;"-"&amp;TEXT(U11,"00")&amp;"-"&amp;TEXT(N11,"00")</f>
        <v/>
      </c>
      <c r="B11" s="53" t="inlineStr">
        <is>
          <t>2404-5-4</t>
        </is>
      </c>
      <c r="C11" s="52">
        <f>A11</f>
        <v/>
      </c>
      <c r="D11" s="53" t="inlineStr">
        <is>
          <t>2404</t>
        </is>
      </c>
      <c r="E11" s="53" t="n">
        <v>64</v>
      </c>
      <c r="F11" s="53" t="inlineStr">
        <is>
          <t>https://parts.air-way.com/hydraulic-fittings/jic-and-beaded-hose-fittings/straight/2404-male-connector-series-64</t>
        </is>
      </c>
      <c r="G11" s="52">
        <f>"Male Connector, "&amp;T11&amp;" x "&amp;M11&amp;", "&amp;V11&amp;" x "&amp;O11</f>
        <v/>
      </c>
      <c r="H11" s="53" t="inlineStr">
        <is>
          <t>JIC 37 &amp; Beaded Hose</t>
        </is>
      </c>
      <c r="I11" s="53" t="inlineStr">
        <is>
          <t>Carbon Steel</t>
        </is>
      </c>
      <c r="J11" s="53" t="inlineStr">
        <is>
          <t>Straight</t>
        </is>
      </c>
      <c r="K11" s="53" t="n">
        <v>2</v>
      </c>
      <c r="L11" s="53" t="inlineStr">
        <is>
          <t>A</t>
        </is>
      </c>
      <c r="M11" s="53" t="inlineStr">
        <is>
          <t>Male Pipe NPTF</t>
        </is>
      </c>
      <c r="N11" s="53" t="n">
        <v>4</v>
      </c>
      <c r="O11" s="53" t="inlineStr">
        <is>
          <t>1/4-18</t>
        </is>
      </c>
      <c r="P11" s="53" t="inlineStr">
        <is>
          <t>NPTF Dryseal</t>
        </is>
      </c>
      <c r="Q11" s="53" t="inlineStr">
        <is>
          <t>ASME B1.20.3</t>
        </is>
      </c>
      <c r="R11" s="53" t="inlineStr">
        <is>
          <t>N/A (tapered thread seal)</t>
        </is>
      </c>
      <c r="S11" s="53" t="inlineStr">
        <is>
          <t>B</t>
        </is>
      </c>
      <c r="T11" s="53" t="inlineStr">
        <is>
          <t>Male 37 deg Flare (JIC)</t>
        </is>
      </c>
      <c r="U11" s="53" t="n">
        <v>5</v>
      </c>
      <c r="V11" s="53" t="inlineStr">
        <is>
          <t>1/2-20</t>
        </is>
      </c>
      <c r="W11" s="53" t="inlineStr">
        <is>
          <t>UN/UNF-2A</t>
        </is>
      </c>
      <c r="X11" s="53" t="inlineStr">
        <is>
          <t>SAE J514 / J514-1</t>
        </is>
      </c>
      <c r="Y11" s="53" t="n">
        <v>37</v>
      </c>
      <c r="Z11" s="53" t="n">
        <v>1.42</v>
      </c>
      <c r="AA11" s="53" t="n">
        <v>0.5600000000000001</v>
      </c>
      <c r="AB11" s="53" t="n">
        <v>0.23</v>
      </c>
      <c r="AC11" s="53" t="n">
        <v>0.28</v>
      </c>
      <c r="AD11" s="54" t="n"/>
      <c r="AE11" s="55" t="n">
        <v>0.5625</v>
      </c>
      <c r="AF11" s="53" t="n">
        <v>0</v>
      </c>
      <c r="AG11" s="53" t="n">
        <v>0.3125</v>
      </c>
      <c r="AH11" s="53" t="inlineStr">
        <is>
          <t>5/16</t>
        </is>
      </c>
      <c r="AI11" s="54" t="n"/>
      <c r="AJ11" s="54" t="n"/>
      <c r="AK11" s="54" t="n"/>
      <c r="AL11" s="54" t="n"/>
      <c r="AM11" s="54" t="n"/>
      <c r="AN11" s="53" t="inlineStr">
        <is>
          <t>psi</t>
        </is>
      </c>
      <c r="AO11" s="54" t="n"/>
      <c r="AP11" s="54" t="n"/>
      <c r="AQ11" s="52">
        <f>SUBSTITUTE(A11,"/","_")</f>
        <v/>
      </c>
      <c r="AR11" s="52">
        <f>AQ11&amp;".pdf"</f>
        <v/>
      </c>
      <c r="AS11" s="52">
        <f>AQ11&amp;".step"</f>
        <v/>
      </c>
      <c r="AT11" s="53" t="inlineStr">
        <is>
          <t>VERIFIED</t>
        </is>
      </c>
      <c r="AU11" s="53" t="inlineStr">
        <is>
          <t>MATCH</t>
        </is>
      </c>
      <c r="AV11" s="53" t="inlineStr">
        <is>
          <t>L: Air-Way vs Parker Cat4300. Hex: 2+ independent sources agree.</t>
        </is>
      </c>
      <c r="AW11" s="53" t="inlineStr">
        <is>
          <t>Material/finish/pressure NOT published by Air-Way or OMi - awaiting client input</t>
        </is>
      </c>
      <c r="AX11" s="37" t="inlineStr">
        <is>
          <t>9/16</t>
        </is>
      </c>
      <c r="AY11" s="37" t="inlineStr">
        <is>
          <t>9/16</t>
        </is>
      </c>
      <c r="AZ11" s="37" t="inlineStr">
        <is>
          <t>9/16</t>
        </is>
      </c>
      <c r="BA11" s="45" t="inlineStr">
        <is>
          <t>AGREE</t>
        </is>
      </c>
      <c r="BB11" s="37" t="n">
        <v>1.42</v>
      </c>
      <c r="BC11" s="45" t="inlineStr">
        <is>
          <t>MATCH</t>
        </is>
      </c>
      <c r="BD11" s="45" t="inlineStr">
        <is>
          <t>Y</t>
        </is>
      </c>
      <c r="BE11" s="45" t="inlineStr">
        <is>
          <t>BUILD</t>
        </is>
      </c>
    </row>
    <row r="12" ht="15" customHeight="1" s="35">
      <c r="A12" s="52">
        <f>D12&amp;"-"&amp;TEXT(U12,"00")&amp;"-"&amp;TEXT(N12,"00")</f>
        <v/>
      </c>
      <c r="B12" s="53" t="inlineStr">
        <is>
          <t>2404-5-6</t>
        </is>
      </c>
      <c r="C12" s="52">
        <f>A12</f>
        <v/>
      </c>
      <c r="D12" s="53" t="inlineStr">
        <is>
          <t>2404</t>
        </is>
      </c>
      <c r="E12" s="53" t="n">
        <v>64</v>
      </c>
      <c r="F12" s="53" t="inlineStr">
        <is>
          <t>https://parts.air-way.com/hydraulic-fittings/jic-and-beaded-hose-fittings/straight/2404-male-connector-series-64</t>
        </is>
      </c>
      <c r="G12" s="52">
        <f>"Male Connector, "&amp;T12&amp;" x "&amp;M12&amp;", "&amp;V12&amp;" x "&amp;O12</f>
        <v/>
      </c>
      <c r="H12" s="53" t="inlineStr">
        <is>
          <t>JIC 37 &amp; Beaded Hose</t>
        </is>
      </c>
      <c r="I12" s="53" t="inlineStr">
        <is>
          <t>Carbon Steel</t>
        </is>
      </c>
      <c r="J12" s="53" t="inlineStr">
        <is>
          <t>Straight</t>
        </is>
      </c>
      <c r="K12" s="53" t="n">
        <v>2</v>
      </c>
      <c r="L12" s="53" t="inlineStr">
        <is>
          <t>A</t>
        </is>
      </c>
      <c r="M12" s="53" t="inlineStr">
        <is>
          <t>Male Pipe NPTF</t>
        </is>
      </c>
      <c r="N12" s="53" t="n">
        <v>6</v>
      </c>
      <c r="O12" s="53" t="inlineStr">
        <is>
          <t>3/8-18</t>
        </is>
      </c>
      <c r="P12" s="53" t="inlineStr">
        <is>
          <t>NPTF Dryseal</t>
        </is>
      </c>
      <c r="Q12" s="53" t="inlineStr">
        <is>
          <t>ASME B1.20.3</t>
        </is>
      </c>
      <c r="R12" s="53" t="inlineStr">
        <is>
          <t>N/A (tapered thread seal)</t>
        </is>
      </c>
      <c r="S12" s="53" t="inlineStr">
        <is>
          <t>B</t>
        </is>
      </c>
      <c r="T12" s="53" t="inlineStr">
        <is>
          <t>Male 37 deg Flare (JIC)</t>
        </is>
      </c>
      <c r="U12" s="53" t="n">
        <v>5</v>
      </c>
      <c r="V12" s="53" t="inlineStr">
        <is>
          <t>1/2-20</t>
        </is>
      </c>
      <c r="W12" s="53" t="inlineStr">
        <is>
          <t>UN/UNF-2A</t>
        </is>
      </c>
      <c r="X12" s="53" t="inlineStr">
        <is>
          <t>SAE J514 / J514-1</t>
        </is>
      </c>
      <c r="Y12" s="53" t="n">
        <v>37</v>
      </c>
      <c r="Z12" s="53" t="n">
        <v>1.42</v>
      </c>
      <c r="AA12" s="53" t="n">
        <v>0.75</v>
      </c>
      <c r="AB12" s="53" t="n">
        <v>0.23</v>
      </c>
      <c r="AC12" s="53" t="n">
        <v>0.41</v>
      </c>
      <c r="AD12" s="54" t="n"/>
      <c r="AE12" s="54" t="n"/>
      <c r="AF12" s="53" t="n">
        <v>0</v>
      </c>
      <c r="AG12" s="53" t="n">
        <v>0.3125</v>
      </c>
      <c r="AH12" s="53" t="inlineStr">
        <is>
          <t>5/16</t>
        </is>
      </c>
      <c r="AI12" s="54" t="n"/>
      <c r="AJ12" s="54" t="n"/>
      <c r="AK12" s="54" t="n"/>
      <c r="AL12" s="54" t="n"/>
      <c r="AM12" s="54" t="n"/>
      <c r="AN12" s="53" t="inlineStr">
        <is>
          <t>psi</t>
        </is>
      </c>
      <c r="AO12" s="54" t="n"/>
      <c r="AP12" s="54" t="n"/>
      <c r="AQ12" s="52">
        <f>SUBSTITUTE(A12,"/","_")</f>
        <v/>
      </c>
      <c r="AR12" s="52">
        <f>AQ12&amp;".pdf"</f>
        <v/>
      </c>
      <c r="AS12" s="52">
        <f>AQ12&amp;".step"</f>
        <v/>
      </c>
      <c r="AT12" s="53" t="inlineStr">
        <is>
          <t>MISSING</t>
        </is>
      </c>
      <c r="AU12" s="53" t="inlineStr">
        <is>
          <t>MATCH</t>
        </is>
      </c>
      <c r="AV12" s="53" t="inlineStr">
        <is>
          <t>SAE J514 JIC dash/thread chart (gageref.com), cross-checked vs source page</t>
        </is>
      </c>
      <c r="AW12" s="53" t="inlineStr">
        <is>
          <t>Material/finish/pressure NOT published by Air-Way or OMi - awaiting client input</t>
        </is>
      </c>
      <c r="AX12" s="37" t="n"/>
      <c r="AY12" s="37" t="n"/>
      <c r="AZ12" s="37" t="n"/>
      <c r="BA12" s="44" t="inlineStr">
        <is>
          <t>NO DATA</t>
        </is>
      </c>
      <c r="BB12" s="37" t="n"/>
      <c r="BC12" s="44" t="inlineStr">
        <is>
          <t>NO DATA</t>
        </is>
      </c>
      <c r="BD12" s="45" t="inlineStr">
        <is>
          <t>Y</t>
        </is>
      </c>
      <c r="BE12" s="45" t="inlineStr">
        <is>
          <t>BUILD</t>
        </is>
      </c>
    </row>
    <row r="13" ht="15" customHeight="1" s="35">
      <c r="A13" s="52">
        <f>D13&amp;"-"&amp;TEXT(U13,"00")&amp;"-"&amp;TEXT(N13,"00")</f>
        <v/>
      </c>
      <c r="B13" s="53" t="inlineStr">
        <is>
          <t>2404-6-2</t>
        </is>
      </c>
      <c r="C13" s="52">
        <f>A13</f>
        <v/>
      </c>
      <c r="D13" s="53" t="inlineStr">
        <is>
          <t>2404</t>
        </is>
      </c>
      <c r="E13" s="53" t="n">
        <v>64</v>
      </c>
      <c r="F13" s="53" t="inlineStr">
        <is>
          <t>https://parts.air-way.com/hydraulic-fittings/jic-and-beaded-hose-fittings/straight/2404-male-connector-series-64</t>
        </is>
      </c>
      <c r="G13" s="52">
        <f>"Male Connector, "&amp;T13&amp;" x "&amp;M13&amp;", "&amp;V13&amp;" x "&amp;O13</f>
        <v/>
      </c>
      <c r="H13" s="53" t="inlineStr">
        <is>
          <t>JIC 37 &amp; Beaded Hose</t>
        </is>
      </c>
      <c r="I13" s="53" t="inlineStr">
        <is>
          <t>Carbon Steel</t>
        </is>
      </c>
      <c r="J13" s="53" t="inlineStr">
        <is>
          <t>Straight</t>
        </is>
      </c>
      <c r="K13" s="53" t="n">
        <v>2</v>
      </c>
      <c r="L13" s="53" t="inlineStr">
        <is>
          <t>A</t>
        </is>
      </c>
      <c r="M13" s="53" t="inlineStr">
        <is>
          <t>Male Pipe NPTF</t>
        </is>
      </c>
      <c r="N13" s="53" t="n">
        <v>2</v>
      </c>
      <c r="O13" s="53" t="inlineStr">
        <is>
          <t>1/8-27</t>
        </is>
      </c>
      <c r="P13" s="53" t="inlineStr">
        <is>
          <t>NPTF Dryseal</t>
        </is>
      </c>
      <c r="Q13" s="53" t="inlineStr">
        <is>
          <t>ASME B1.20.3</t>
        </is>
      </c>
      <c r="R13" s="53" t="inlineStr">
        <is>
          <t>N/A (tapered thread seal)</t>
        </is>
      </c>
      <c r="S13" s="53" t="inlineStr">
        <is>
          <t>B</t>
        </is>
      </c>
      <c r="T13" s="53" t="inlineStr">
        <is>
          <t>Male 37 deg Flare (JIC)</t>
        </is>
      </c>
      <c r="U13" s="53" t="n">
        <v>6</v>
      </c>
      <c r="V13" s="53" t="inlineStr">
        <is>
          <t>9/16-18</t>
        </is>
      </c>
      <c r="W13" s="53" t="inlineStr">
        <is>
          <t>UN/UNF-2A</t>
        </is>
      </c>
      <c r="X13" s="53" t="inlineStr">
        <is>
          <t>SAE J514 / J514-1</t>
        </is>
      </c>
      <c r="Y13" s="53" t="n">
        <v>37</v>
      </c>
      <c r="Z13" s="53" t="n">
        <v>1.24</v>
      </c>
      <c r="AA13" s="53" t="n">
        <v>0.63</v>
      </c>
      <c r="AB13" s="53" t="n">
        <v>0.3</v>
      </c>
      <c r="AC13" s="53" t="n">
        <v>0.19</v>
      </c>
      <c r="AD13" s="54" t="n"/>
      <c r="AE13" s="54" t="n"/>
      <c r="AF13" s="53" t="n">
        <v>0</v>
      </c>
      <c r="AG13" s="53" t="n">
        <v>0.375</v>
      </c>
      <c r="AH13" s="53" t="inlineStr">
        <is>
          <t>3/8</t>
        </is>
      </c>
      <c r="AI13" s="54" t="n"/>
      <c r="AJ13" s="54" t="n"/>
      <c r="AK13" s="54" t="n"/>
      <c r="AL13" s="54" t="n"/>
      <c r="AM13" s="54" t="n"/>
      <c r="AN13" s="53" t="inlineStr">
        <is>
          <t>psi</t>
        </is>
      </c>
      <c r="AO13" s="54" t="n"/>
      <c r="AP13" s="54" t="n"/>
      <c r="AQ13" s="52">
        <f>SUBSTITUTE(A13,"/","_")</f>
        <v/>
      </c>
      <c r="AR13" s="52">
        <f>AQ13&amp;".pdf"</f>
        <v/>
      </c>
      <c r="AS13" s="52">
        <f>AQ13&amp;".step"</f>
        <v/>
      </c>
      <c r="AT13" s="53" t="inlineStr">
        <is>
          <t>MISSING</t>
        </is>
      </c>
      <c r="AU13" s="53" t="inlineStr">
        <is>
          <t>MATCH</t>
        </is>
      </c>
      <c r="AV13" s="53" t="inlineStr">
        <is>
          <t>SAE J514 JIC dash/thread chart (gageref.com), cross-checked vs source page</t>
        </is>
      </c>
      <c r="AW13" s="53" t="inlineStr">
        <is>
          <t>Material/finish/pressure NOT published by Air-Way or OMi - awaiting client input</t>
        </is>
      </c>
      <c r="AX13" s="37" t="n"/>
      <c r="AY13" s="37" t="n"/>
      <c r="AZ13" s="37" t="n"/>
      <c r="BA13" s="44" t="inlineStr">
        <is>
          <t>NO DATA</t>
        </is>
      </c>
      <c r="BB13" s="37" t="n"/>
      <c r="BC13" s="44" t="inlineStr">
        <is>
          <t>NO DATA</t>
        </is>
      </c>
      <c r="BD13" s="45" t="inlineStr">
        <is>
          <t>Y</t>
        </is>
      </c>
      <c r="BE13" s="45" t="inlineStr">
        <is>
          <t>BUILD</t>
        </is>
      </c>
    </row>
    <row r="14" ht="15" customHeight="1" s="35">
      <c r="A14" s="52">
        <f>D14&amp;"-"&amp;TEXT(U14,"00")&amp;"-"&amp;TEXT(N14,"00")</f>
        <v/>
      </c>
      <c r="B14" s="53" t="inlineStr">
        <is>
          <t>2404-6-4</t>
        </is>
      </c>
      <c r="C14" s="52">
        <f>A14</f>
        <v/>
      </c>
      <c r="D14" s="53" t="inlineStr">
        <is>
          <t>2404</t>
        </is>
      </c>
      <c r="E14" s="53" t="n">
        <v>64</v>
      </c>
      <c r="F14" s="53" t="inlineStr">
        <is>
          <t>https://parts.air-way.com/hydraulic-fittings/jic-and-beaded-hose-fittings/straight/2404-male-connector-series-64</t>
        </is>
      </c>
      <c r="G14" s="52">
        <f>"Male Connector, "&amp;T14&amp;" x "&amp;M14&amp;", "&amp;V14&amp;" x "&amp;O14</f>
        <v/>
      </c>
      <c r="H14" s="53" t="inlineStr">
        <is>
          <t>JIC 37 &amp; Beaded Hose</t>
        </is>
      </c>
      <c r="I14" s="53" t="inlineStr">
        <is>
          <t>Carbon Steel</t>
        </is>
      </c>
      <c r="J14" s="53" t="inlineStr">
        <is>
          <t>Straight</t>
        </is>
      </c>
      <c r="K14" s="53" t="n">
        <v>2</v>
      </c>
      <c r="L14" s="53" t="inlineStr">
        <is>
          <t>A</t>
        </is>
      </c>
      <c r="M14" s="53" t="inlineStr">
        <is>
          <t>Male Pipe NPTF</t>
        </is>
      </c>
      <c r="N14" s="53" t="n">
        <v>4</v>
      </c>
      <c r="O14" s="53" t="inlineStr">
        <is>
          <t>1/4-18</t>
        </is>
      </c>
      <c r="P14" s="53" t="inlineStr">
        <is>
          <t>NPTF Dryseal</t>
        </is>
      </c>
      <c r="Q14" s="53" t="inlineStr">
        <is>
          <t>ASME B1.20.3</t>
        </is>
      </c>
      <c r="R14" s="53" t="inlineStr">
        <is>
          <t>N/A (tapered thread seal)</t>
        </is>
      </c>
      <c r="S14" s="53" t="inlineStr">
        <is>
          <t>B</t>
        </is>
      </c>
      <c r="T14" s="53" t="inlineStr">
        <is>
          <t>Male 37 deg Flare (JIC)</t>
        </is>
      </c>
      <c r="U14" s="53" t="n">
        <v>6</v>
      </c>
      <c r="V14" s="53" t="inlineStr">
        <is>
          <t>9/16-18</t>
        </is>
      </c>
      <c r="W14" s="53" t="inlineStr">
        <is>
          <t>UN/UNF-2A</t>
        </is>
      </c>
      <c r="X14" s="53" t="inlineStr">
        <is>
          <t>SAE J514 / J514-1</t>
        </is>
      </c>
      <c r="Y14" s="53" t="n">
        <v>37</v>
      </c>
      <c r="Z14" s="53" t="n">
        <v>1.43</v>
      </c>
      <c r="AA14" s="53" t="n">
        <v>0.63</v>
      </c>
      <c r="AB14" s="53" t="n">
        <v>0.3</v>
      </c>
      <c r="AC14" s="53" t="n">
        <v>0.28</v>
      </c>
      <c r="AD14" s="54" t="n"/>
      <c r="AE14" s="54" t="n">
        <v>0.625</v>
      </c>
      <c r="AF14" s="53" t="n">
        <v>0</v>
      </c>
      <c r="AG14" s="53" t="n">
        <v>0.375</v>
      </c>
      <c r="AH14" s="53" t="inlineStr">
        <is>
          <t>3/8</t>
        </is>
      </c>
      <c r="AI14" s="54" t="n"/>
      <c r="AJ14" s="54" t="n"/>
      <c r="AK14" s="54" t="n"/>
      <c r="AL14" s="54" t="n"/>
      <c r="AM14" s="54" t="n"/>
      <c r="AN14" s="53" t="inlineStr">
        <is>
          <t>psi</t>
        </is>
      </c>
      <c r="AO14" s="54" t="n"/>
      <c r="AP14" s="54" t="n"/>
      <c r="AQ14" s="52">
        <f>SUBSTITUTE(A14,"/","_")</f>
        <v/>
      </c>
      <c r="AR14" s="52">
        <f>AQ14&amp;".pdf"</f>
        <v/>
      </c>
      <c r="AS14" s="52">
        <f>AQ14&amp;".step"</f>
        <v/>
      </c>
      <c r="AT14" s="53" t="inlineStr">
        <is>
          <t>ASSUMED</t>
        </is>
      </c>
      <c r="AU14" s="53" t="inlineStr">
        <is>
          <t>MATCH (L only)</t>
        </is>
      </c>
      <c r="AV14" s="53" t="inlineStr">
        <is>
          <t>Hex from Parker Cat4300 only - single source, not cross-checked.</t>
        </is>
      </c>
      <c r="AW14" s="53" t="inlineStr">
        <is>
          <t>Material/finish/pressure NOT published by Air-Way or OMi - awaiting client input</t>
        </is>
      </c>
      <c r="AX14" s="37" t="inlineStr">
        <is>
          <t>5/8</t>
        </is>
      </c>
      <c r="AY14" s="37" t="n"/>
      <c r="AZ14" s="37" t="n"/>
      <c r="BA14" s="44" t="inlineStr">
        <is>
          <t>SINGLE SOURCE</t>
        </is>
      </c>
      <c r="BB14" s="37" t="n">
        <v>1.43</v>
      </c>
      <c r="BC14" s="45" t="inlineStr">
        <is>
          <t>MATCH</t>
        </is>
      </c>
      <c r="BD14" s="45" t="inlineStr">
        <is>
          <t>Y</t>
        </is>
      </c>
      <c r="BE14" s="45" t="inlineStr">
        <is>
          <t>BUILD</t>
        </is>
      </c>
    </row>
    <row r="15" ht="15" customHeight="1" s="35">
      <c r="A15" s="52">
        <f>D15&amp;"-"&amp;TEXT(U15,"00")&amp;"-"&amp;TEXT(N15,"00")</f>
        <v/>
      </c>
      <c r="B15" s="53" t="inlineStr">
        <is>
          <t>2404-6-6</t>
        </is>
      </c>
      <c r="C15" s="52">
        <f>A15</f>
        <v/>
      </c>
      <c r="D15" s="53" t="inlineStr">
        <is>
          <t>2404</t>
        </is>
      </c>
      <c r="E15" s="53" t="n">
        <v>64</v>
      </c>
      <c r="F15" s="53" t="inlineStr">
        <is>
          <t>https://parts.air-way.com/hydraulic-fittings/jic-and-beaded-hose-fittings/straight/2404-male-connector-series-64</t>
        </is>
      </c>
      <c r="G15" s="52">
        <f>"Male Connector, "&amp;T15&amp;" x "&amp;M15&amp;", "&amp;V15&amp;" x "&amp;O15</f>
        <v/>
      </c>
      <c r="H15" s="53" t="inlineStr">
        <is>
          <t>JIC 37 &amp; Beaded Hose</t>
        </is>
      </c>
      <c r="I15" s="53" t="inlineStr">
        <is>
          <t>Carbon Steel</t>
        </is>
      </c>
      <c r="J15" s="53" t="inlineStr">
        <is>
          <t>Straight</t>
        </is>
      </c>
      <c r="K15" s="53" t="n">
        <v>2</v>
      </c>
      <c r="L15" s="53" t="inlineStr">
        <is>
          <t>A</t>
        </is>
      </c>
      <c r="M15" s="53" t="inlineStr">
        <is>
          <t>Male Pipe NPTF</t>
        </is>
      </c>
      <c r="N15" s="53" t="n">
        <v>6</v>
      </c>
      <c r="O15" s="53" t="inlineStr">
        <is>
          <t>3/8-18</t>
        </is>
      </c>
      <c r="P15" s="53" t="inlineStr">
        <is>
          <t>NPTF Dryseal</t>
        </is>
      </c>
      <c r="Q15" s="53" t="inlineStr">
        <is>
          <t>ASME B1.20.3</t>
        </is>
      </c>
      <c r="R15" s="53" t="inlineStr">
        <is>
          <t>N/A (tapered thread seal)</t>
        </is>
      </c>
      <c r="S15" s="53" t="inlineStr">
        <is>
          <t>B</t>
        </is>
      </c>
      <c r="T15" s="53" t="inlineStr">
        <is>
          <t>Male 37 deg Flare (JIC)</t>
        </is>
      </c>
      <c r="U15" s="53" t="n">
        <v>6</v>
      </c>
      <c r="V15" s="53" t="inlineStr">
        <is>
          <t>9/16-18</t>
        </is>
      </c>
      <c r="W15" s="53" t="inlineStr">
        <is>
          <t>UN/UNF-2A</t>
        </is>
      </c>
      <c r="X15" s="53" t="inlineStr">
        <is>
          <t>SAE J514 / J514-1</t>
        </is>
      </c>
      <c r="Y15" s="53" t="n">
        <v>37</v>
      </c>
      <c r="Z15" s="53" t="n">
        <v>1.43</v>
      </c>
      <c r="AA15" s="53" t="n">
        <v>0.75</v>
      </c>
      <c r="AB15" s="53" t="n">
        <v>0.3</v>
      </c>
      <c r="AC15" s="53" t="n">
        <v>0.41</v>
      </c>
      <c r="AD15" s="54" t="n"/>
      <c r="AE15" s="55" t="n">
        <v>0.75</v>
      </c>
      <c r="AF15" s="53" t="n">
        <v>0</v>
      </c>
      <c r="AG15" s="53" t="n">
        <v>0.375</v>
      </c>
      <c r="AH15" s="53" t="inlineStr">
        <is>
          <t>3/8</t>
        </is>
      </c>
      <c r="AI15" s="54" t="n"/>
      <c r="AJ15" s="54" t="n"/>
      <c r="AK15" s="54" t="n"/>
      <c r="AL15" s="54" t="n"/>
      <c r="AM15" s="54" t="n"/>
      <c r="AN15" s="53" t="inlineStr">
        <is>
          <t>psi</t>
        </is>
      </c>
      <c r="AO15" s="54" t="n"/>
      <c r="AP15" s="54" t="n"/>
      <c r="AQ15" s="52">
        <f>SUBSTITUTE(A15,"/","_")</f>
        <v/>
      </c>
      <c r="AR15" s="52">
        <f>AQ15&amp;".pdf"</f>
        <v/>
      </c>
      <c r="AS15" s="52">
        <f>AQ15&amp;".step"</f>
        <v/>
      </c>
      <c r="AT15" s="53" t="inlineStr">
        <is>
          <t>VERIFIED</t>
        </is>
      </c>
      <c r="AU15" s="53" t="inlineStr">
        <is>
          <t>MATCH</t>
        </is>
      </c>
      <c r="AV15" s="53" t="inlineStr">
        <is>
          <t>L: Air-Way vs Parker Cat4300. Hex: 2+ independent sources agree.</t>
        </is>
      </c>
      <c r="AW15" s="53" t="inlineStr">
        <is>
          <t>Material/finish/pressure NOT published by Air-Way or OMi - awaiting client input</t>
        </is>
      </c>
      <c r="AX15" s="37" t="inlineStr">
        <is>
          <t>3/4</t>
        </is>
      </c>
      <c r="AY15" s="37" t="inlineStr">
        <is>
          <t>3/4</t>
        </is>
      </c>
      <c r="AZ15" s="37" t="inlineStr">
        <is>
          <t>3/4</t>
        </is>
      </c>
      <c r="BA15" s="45" t="inlineStr">
        <is>
          <t>AGREE</t>
        </is>
      </c>
      <c r="BB15" s="37" t="n">
        <v>1.43</v>
      </c>
      <c r="BC15" s="45" t="inlineStr">
        <is>
          <t>MATCH</t>
        </is>
      </c>
      <c r="BD15" s="45" t="inlineStr">
        <is>
          <t>Y</t>
        </is>
      </c>
      <c r="BE15" s="45" t="inlineStr">
        <is>
          <t>BUILD</t>
        </is>
      </c>
    </row>
    <row r="16" ht="15" customHeight="1" s="35">
      <c r="A16" s="52">
        <f>D16&amp;"-"&amp;TEXT(U16,"00")&amp;"-"&amp;TEXT(N16,"00")</f>
        <v/>
      </c>
      <c r="B16" s="53" t="inlineStr">
        <is>
          <t>2404-6-8</t>
        </is>
      </c>
      <c r="C16" s="52">
        <f>A16</f>
        <v/>
      </c>
      <c r="D16" s="53" t="inlineStr">
        <is>
          <t>2404</t>
        </is>
      </c>
      <c r="E16" s="53" t="n">
        <v>64</v>
      </c>
      <c r="F16" s="53" t="inlineStr">
        <is>
          <t>https://parts.air-way.com/hydraulic-fittings/jic-and-beaded-hose-fittings/straight/2404-male-connector-series-64</t>
        </is>
      </c>
      <c r="G16" s="52">
        <f>"Male Connector, "&amp;T16&amp;" x "&amp;M16&amp;", "&amp;V16&amp;" x "&amp;O16</f>
        <v/>
      </c>
      <c r="H16" s="53" t="inlineStr">
        <is>
          <t>JIC 37 &amp; Beaded Hose</t>
        </is>
      </c>
      <c r="I16" s="53" t="inlineStr">
        <is>
          <t>Carbon Steel</t>
        </is>
      </c>
      <c r="J16" s="53" t="inlineStr">
        <is>
          <t>Straight</t>
        </is>
      </c>
      <c r="K16" s="53" t="n">
        <v>2</v>
      </c>
      <c r="L16" s="53" t="inlineStr">
        <is>
          <t>A</t>
        </is>
      </c>
      <c r="M16" s="53" t="inlineStr">
        <is>
          <t>Male Pipe NPTF</t>
        </is>
      </c>
      <c r="N16" s="53" t="n">
        <v>8</v>
      </c>
      <c r="O16" s="53" t="inlineStr">
        <is>
          <t>1/2-14</t>
        </is>
      </c>
      <c r="P16" s="53" t="inlineStr">
        <is>
          <t>NPTF Dryseal</t>
        </is>
      </c>
      <c r="Q16" s="53" t="inlineStr">
        <is>
          <t>ASME B1.20.3</t>
        </is>
      </c>
      <c r="R16" s="53" t="inlineStr">
        <is>
          <t>N/A (tapered thread seal)</t>
        </is>
      </c>
      <c r="S16" s="53" t="inlineStr">
        <is>
          <t>B</t>
        </is>
      </c>
      <c r="T16" s="53" t="inlineStr">
        <is>
          <t>Male 37 deg Flare (JIC)</t>
        </is>
      </c>
      <c r="U16" s="53" t="n">
        <v>6</v>
      </c>
      <c r="V16" s="53" t="inlineStr">
        <is>
          <t>9/16-18</t>
        </is>
      </c>
      <c r="W16" s="53" t="inlineStr">
        <is>
          <t>UN/UNF-2A</t>
        </is>
      </c>
      <c r="X16" s="53" t="inlineStr">
        <is>
          <t>SAE J514 / J514-1</t>
        </is>
      </c>
      <c r="Y16" s="53" t="n">
        <v>37</v>
      </c>
      <c r="Z16" s="53" t="n">
        <v>1.69</v>
      </c>
      <c r="AA16" s="53" t="n">
        <v>0.88</v>
      </c>
      <c r="AB16" s="53" t="n">
        <v>0.3</v>
      </c>
      <c r="AC16" s="53" t="n">
        <v>0.53</v>
      </c>
      <c r="AD16" s="54" t="n"/>
      <c r="AE16" s="54" t="n"/>
      <c r="AF16" s="53" t="n">
        <v>0</v>
      </c>
      <c r="AG16" s="53" t="n">
        <v>0.375</v>
      </c>
      <c r="AH16" s="53" t="inlineStr">
        <is>
          <t>3/8</t>
        </is>
      </c>
      <c r="AI16" s="54" t="n"/>
      <c r="AJ16" s="54" t="n"/>
      <c r="AK16" s="54" t="n"/>
      <c r="AL16" s="54" t="n"/>
      <c r="AM16" s="54" t="n"/>
      <c r="AN16" s="53" t="inlineStr">
        <is>
          <t>psi</t>
        </is>
      </c>
      <c r="AO16" s="54" t="n"/>
      <c r="AP16" s="54" t="n"/>
      <c r="AQ16" s="52">
        <f>SUBSTITUTE(A16,"/","_")</f>
        <v/>
      </c>
      <c r="AR16" s="52">
        <f>AQ16&amp;".pdf"</f>
        <v/>
      </c>
      <c r="AS16" s="52">
        <f>AQ16&amp;".step"</f>
        <v/>
      </c>
      <c r="AT16" s="53" t="inlineStr">
        <is>
          <t>MISSING</t>
        </is>
      </c>
      <c r="AU16" s="53" t="inlineStr">
        <is>
          <t>MATCH</t>
        </is>
      </c>
      <c r="AV16" s="53" t="inlineStr">
        <is>
          <t>SAE J514 JIC dash/thread chart (gageref.com), cross-checked vs source page</t>
        </is>
      </c>
      <c r="AW16" s="53" t="inlineStr">
        <is>
          <t>Material/finish/pressure NOT published by Air-Way or OMi - awaiting client input</t>
        </is>
      </c>
      <c r="AX16" s="37" t="n"/>
      <c r="AY16" s="37" t="n"/>
      <c r="AZ16" s="37" t="n"/>
      <c r="BA16" s="44" t="inlineStr">
        <is>
          <t>NO DATA</t>
        </is>
      </c>
      <c r="BB16" s="37" t="n"/>
      <c r="BC16" s="44" t="inlineStr">
        <is>
          <t>NO DATA</t>
        </is>
      </c>
      <c r="BD16" s="45" t="inlineStr">
        <is>
          <t>Y</t>
        </is>
      </c>
      <c r="BE16" s="45" t="inlineStr">
        <is>
          <t>BUILD</t>
        </is>
      </c>
    </row>
    <row r="17" ht="15" customHeight="1" s="35">
      <c r="A17" s="52">
        <f>D17&amp;"-"&amp;TEXT(U17,"00")&amp;"-"&amp;TEXT(N17,"00")</f>
        <v/>
      </c>
      <c r="B17" s="53" t="inlineStr">
        <is>
          <t>2404-6-12</t>
        </is>
      </c>
      <c r="C17" s="52">
        <f>A17</f>
        <v/>
      </c>
      <c r="D17" s="53" t="inlineStr">
        <is>
          <t>2404</t>
        </is>
      </c>
      <c r="E17" s="53" t="n">
        <v>64</v>
      </c>
      <c r="F17" s="53" t="inlineStr">
        <is>
          <t>https://parts.air-way.com/hydraulic-fittings/jic-and-beaded-hose-fittings/straight/2404-male-connector-series-64</t>
        </is>
      </c>
      <c r="G17" s="52">
        <f>"Male Connector, "&amp;T17&amp;" x "&amp;M17&amp;", "&amp;V17&amp;" x "&amp;O17</f>
        <v/>
      </c>
      <c r="H17" s="53" t="inlineStr">
        <is>
          <t>JIC 37 &amp; Beaded Hose</t>
        </is>
      </c>
      <c r="I17" s="53" t="inlineStr">
        <is>
          <t>Carbon Steel</t>
        </is>
      </c>
      <c r="J17" s="53" t="inlineStr">
        <is>
          <t>Straight</t>
        </is>
      </c>
      <c r="K17" s="53" t="n">
        <v>2</v>
      </c>
      <c r="L17" s="53" t="inlineStr">
        <is>
          <t>A</t>
        </is>
      </c>
      <c r="M17" s="53" t="inlineStr">
        <is>
          <t>Male Pipe NPTF</t>
        </is>
      </c>
      <c r="N17" s="53" t="n">
        <v>12</v>
      </c>
      <c r="O17" s="53" t="inlineStr">
        <is>
          <t>3/4-14</t>
        </is>
      </c>
      <c r="P17" s="53" t="inlineStr">
        <is>
          <t>NPTF Dryseal</t>
        </is>
      </c>
      <c r="Q17" s="53" t="inlineStr">
        <is>
          <t>ASME B1.20.3</t>
        </is>
      </c>
      <c r="R17" s="53" t="inlineStr">
        <is>
          <t>N/A (tapered thread seal)</t>
        </is>
      </c>
      <c r="S17" s="53" t="inlineStr">
        <is>
          <t>B</t>
        </is>
      </c>
      <c r="T17" s="53" t="inlineStr">
        <is>
          <t>Male 37 deg Flare (JIC)</t>
        </is>
      </c>
      <c r="U17" s="53" t="n">
        <v>6</v>
      </c>
      <c r="V17" s="53" t="inlineStr">
        <is>
          <t>9/16-18</t>
        </is>
      </c>
      <c r="W17" s="53" t="inlineStr">
        <is>
          <t>UN/UNF-2A</t>
        </is>
      </c>
      <c r="X17" s="53" t="inlineStr">
        <is>
          <t>SAE J514 / J514-1</t>
        </is>
      </c>
      <c r="Y17" s="53" t="n">
        <v>37</v>
      </c>
      <c r="Z17" s="53" t="n">
        <v>1.75</v>
      </c>
      <c r="AA17" s="53" t="n">
        <v>1.13</v>
      </c>
      <c r="AB17" s="53" t="n">
        <v>0.3</v>
      </c>
      <c r="AC17" s="53" t="n">
        <v>0.72</v>
      </c>
      <c r="AD17" s="54" t="n"/>
      <c r="AE17" s="54" t="n"/>
      <c r="AF17" s="53" t="n">
        <v>0</v>
      </c>
      <c r="AG17" s="53" t="n">
        <v>0.375</v>
      </c>
      <c r="AH17" s="53" t="inlineStr">
        <is>
          <t>3/8</t>
        </is>
      </c>
      <c r="AI17" s="54" t="n"/>
      <c r="AJ17" s="54" t="n"/>
      <c r="AK17" s="54" t="n"/>
      <c r="AL17" s="54" t="n"/>
      <c r="AM17" s="54" t="n"/>
      <c r="AN17" s="53" t="inlineStr">
        <is>
          <t>psi</t>
        </is>
      </c>
      <c r="AO17" s="54" t="n"/>
      <c r="AP17" s="54" t="n"/>
      <c r="AQ17" s="52">
        <f>SUBSTITUTE(A17,"/","_")</f>
        <v/>
      </c>
      <c r="AR17" s="52">
        <f>AQ17&amp;".pdf"</f>
        <v/>
      </c>
      <c r="AS17" s="52">
        <f>AQ17&amp;".step"</f>
        <v/>
      </c>
      <c r="AT17" s="53" t="inlineStr">
        <is>
          <t>MISSING</t>
        </is>
      </c>
      <c r="AU17" s="53" t="inlineStr">
        <is>
          <t>MATCH</t>
        </is>
      </c>
      <c r="AV17" s="53" t="inlineStr">
        <is>
          <t>SAE J514 JIC dash/thread chart (gageref.com), cross-checked vs source page</t>
        </is>
      </c>
      <c r="AW17" s="53" t="inlineStr">
        <is>
          <t>Material/finish/pressure NOT published by Air-Way or OMi - awaiting client input</t>
        </is>
      </c>
      <c r="AX17" s="37" t="n"/>
      <c r="AY17" s="37" t="n"/>
      <c r="AZ17" s="37" t="n"/>
      <c r="BA17" s="44" t="inlineStr">
        <is>
          <t>NO DATA</t>
        </is>
      </c>
      <c r="BB17" s="37" t="n"/>
      <c r="BC17" s="44" t="inlineStr">
        <is>
          <t>NO DATA</t>
        </is>
      </c>
      <c r="BD17" s="45" t="inlineStr">
        <is>
          <t>Y</t>
        </is>
      </c>
      <c r="BE17" s="45" t="inlineStr">
        <is>
          <t>BUILD</t>
        </is>
      </c>
    </row>
    <row r="18" ht="15" customHeight="1" s="35">
      <c r="A18" s="52">
        <f>D18&amp;"-"&amp;TEXT(U18,"00")&amp;"-"&amp;TEXT(N18,"00")</f>
        <v/>
      </c>
      <c r="B18" s="53" t="inlineStr">
        <is>
          <t>2404-6-16</t>
        </is>
      </c>
      <c r="C18" s="52">
        <f>A18</f>
        <v/>
      </c>
      <c r="D18" s="53" t="inlineStr">
        <is>
          <t>2404</t>
        </is>
      </c>
      <c r="E18" s="53" t="n">
        <v>64</v>
      </c>
      <c r="F18" s="53" t="inlineStr">
        <is>
          <t>https://parts.air-way.com/hydraulic-fittings/jic-and-beaded-hose-fittings/straight/2404-male-connector-series-64</t>
        </is>
      </c>
      <c r="G18" s="52">
        <f>"Male Connector, "&amp;T18&amp;" x "&amp;M18&amp;", "&amp;V18&amp;" x "&amp;O18</f>
        <v/>
      </c>
      <c r="H18" s="53" t="inlineStr">
        <is>
          <t>JIC 37 &amp; Beaded Hose</t>
        </is>
      </c>
      <c r="I18" s="53" t="inlineStr">
        <is>
          <t>Carbon Steel</t>
        </is>
      </c>
      <c r="J18" s="53" t="inlineStr">
        <is>
          <t>Straight</t>
        </is>
      </c>
      <c r="K18" s="53" t="n">
        <v>2</v>
      </c>
      <c r="L18" s="53" t="inlineStr">
        <is>
          <t>A</t>
        </is>
      </c>
      <c r="M18" s="53" t="inlineStr">
        <is>
          <t>Male Pipe NPTF</t>
        </is>
      </c>
      <c r="N18" s="53" t="n">
        <v>16</v>
      </c>
      <c r="O18" s="53" t="inlineStr">
        <is>
          <t>1-11 1/2</t>
        </is>
      </c>
      <c r="P18" s="53" t="inlineStr">
        <is>
          <t>NPTF Dryseal</t>
        </is>
      </c>
      <c r="Q18" s="53" t="inlineStr">
        <is>
          <t>ASME B1.20.3</t>
        </is>
      </c>
      <c r="R18" s="53" t="inlineStr">
        <is>
          <t>N/A (tapered thread seal)</t>
        </is>
      </c>
      <c r="S18" s="53" t="inlineStr">
        <is>
          <t>B</t>
        </is>
      </c>
      <c r="T18" s="53" t="inlineStr">
        <is>
          <t>Male 37 deg Flare (JIC)</t>
        </is>
      </c>
      <c r="U18" s="53" t="n">
        <v>6</v>
      </c>
      <c r="V18" s="53" t="inlineStr">
        <is>
          <t>9/16-18</t>
        </is>
      </c>
      <c r="W18" s="53" t="inlineStr">
        <is>
          <t>UN/UNF-2A</t>
        </is>
      </c>
      <c r="X18" s="53" t="inlineStr">
        <is>
          <t>SAE J514 / J514-1</t>
        </is>
      </c>
      <c r="Y18" s="53" t="n">
        <v>37</v>
      </c>
      <c r="Z18" s="53" t="n">
        <v>1.94</v>
      </c>
      <c r="AA18" s="53" t="n">
        <v>1.38</v>
      </c>
      <c r="AB18" s="53" t="n">
        <v>0.3</v>
      </c>
      <c r="AC18" s="53" t="n">
        <v>0.9399999999999999</v>
      </c>
      <c r="AD18" s="54" t="n"/>
      <c r="AE18" s="54" t="n"/>
      <c r="AF18" s="53" t="n">
        <v>0</v>
      </c>
      <c r="AG18" s="53" t="n">
        <v>0.375</v>
      </c>
      <c r="AH18" s="53" t="inlineStr">
        <is>
          <t>3/8</t>
        </is>
      </c>
      <c r="AI18" s="54" t="n"/>
      <c r="AJ18" s="54" t="n"/>
      <c r="AK18" s="54" t="n"/>
      <c r="AL18" s="54" t="n"/>
      <c r="AM18" s="54" t="n"/>
      <c r="AN18" s="53" t="inlineStr">
        <is>
          <t>psi</t>
        </is>
      </c>
      <c r="AO18" s="54" t="n"/>
      <c r="AP18" s="54" t="n"/>
      <c r="AQ18" s="52">
        <f>SUBSTITUTE(A18,"/","_")</f>
        <v/>
      </c>
      <c r="AR18" s="52">
        <f>AQ18&amp;".pdf"</f>
        <v/>
      </c>
      <c r="AS18" s="52">
        <f>AQ18&amp;".step"</f>
        <v/>
      </c>
      <c r="AT18" s="53" t="inlineStr">
        <is>
          <t>MISSING</t>
        </is>
      </c>
      <c r="AU18" s="53" t="inlineStr">
        <is>
          <t>MATCH</t>
        </is>
      </c>
      <c r="AV18" s="53" t="inlineStr">
        <is>
          <t>SAE J514 JIC dash/thread chart (gageref.com), cross-checked vs source page</t>
        </is>
      </c>
      <c r="AW18" s="53" t="inlineStr">
        <is>
          <t>Material/finish/pressure NOT published by Air-Way or OMi - awaiting client input</t>
        </is>
      </c>
      <c r="AX18" s="37" t="n"/>
      <c r="AY18" s="37" t="n"/>
      <c r="AZ18" s="37" t="n"/>
      <c r="BA18" s="44" t="inlineStr">
        <is>
          <t>NO DATA</t>
        </is>
      </c>
      <c r="BB18" s="37" t="n"/>
      <c r="BC18" s="44" t="inlineStr">
        <is>
          <t>NO DATA</t>
        </is>
      </c>
      <c r="BD18" s="45" t="inlineStr">
        <is>
          <t>Y</t>
        </is>
      </c>
      <c r="BE18" s="45" t="inlineStr">
        <is>
          <t>BUILD</t>
        </is>
      </c>
    </row>
    <row r="19" ht="15" customHeight="1" s="35">
      <c r="A19" s="52">
        <f>D19&amp;"-"&amp;TEXT(U19,"00")&amp;"-"&amp;TEXT(N19,"00")</f>
        <v/>
      </c>
      <c r="B19" s="53" t="inlineStr">
        <is>
          <t>2404-8-4</t>
        </is>
      </c>
      <c r="C19" s="52">
        <f>A19</f>
        <v/>
      </c>
      <c r="D19" s="53" t="inlineStr">
        <is>
          <t>2404</t>
        </is>
      </c>
      <c r="E19" s="53" t="n">
        <v>64</v>
      </c>
      <c r="F19" s="53" t="inlineStr">
        <is>
          <t>https://parts.air-way.com/hydraulic-fittings/jic-and-beaded-hose-fittings/straight/2404-male-connector-series-64</t>
        </is>
      </c>
      <c r="G19" s="52">
        <f>"Male Connector, "&amp;T19&amp;" x "&amp;M19&amp;", "&amp;V19&amp;" x "&amp;O19</f>
        <v/>
      </c>
      <c r="H19" s="53" t="inlineStr">
        <is>
          <t>JIC 37 &amp; Beaded Hose</t>
        </is>
      </c>
      <c r="I19" s="53" t="inlineStr">
        <is>
          <t>Carbon Steel</t>
        </is>
      </c>
      <c r="J19" s="53" t="inlineStr">
        <is>
          <t>Straight</t>
        </is>
      </c>
      <c r="K19" s="53" t="n">
        <v>2</v>
      </c>
      <c r="L19" s="53" t="inlineStr">
        <is>
          <t>A</t>
        </is>
      </c>
      <c r="M19" s="53" t="inlineStr">
        <is>
          <t>Male Pipe NPTF</t>
        </is>
      </c>
      <c r="N19" s="53" t="n">
        <v>4</v>
      </c>
      <c r="O19" s="53" t="inlineStr">
        <is>
          <t>1/4-18</t>
        </is>
      </c>
      <c r="P19" s="53" t="inlineStr">
        <is>
          <t>NPTF Dryseal</t>
        </is>
      </c>
      <c r="Q19" s="53" t="inlineStr">
        <is>
          <t>ASME B1.20.3</t>
        </is>
      </c>
      <c r="R19" s="53" t="inlineStr">
        <is>
          <t>N/A (tapered thread seal)</t>
        </is>
      </c>
      <c r="S19" s="53" t="inlineStr">
        <is>
          <t>B</t>
        </is>
      </c>
      <c r="T19" s="53" t="inlineStr">
        <is>
          <t>Male 37 deg Flare (JIC)</t>
        </is>
      </c>
      <c r="U19" s="53" t="n">
        <v>8</v>
      </c>
      <c r="V19" s="53" t="inlineStr">
        <is>
          <t>3/4-16</t>
        </is>
      </c>
      <c r="W19" s="53" t="inlineStr">
        <is>
          <t>UN/UNF-2A</t>
        </is>
      </c>
      <c r="X19" s="53" t="inlineStr">
        <is>
          <t>SAE J514 / J514-1</t>
        </is>
      </c>
      <c r="Y19" s="53" t="n">
        <v>37</v>
      </c>
      <c r="Z19" s="53" t="n">
        <v>1.53</v>
      </c>
      <c r="AA19" s="53" t="n">
        <v>0.8100000000000001</v>
      </c>
      <c r="AB19" s="53" t="n">
        <v>0.39</v>
      </c>
      <c r="AC19" s="53" t="n">
        <v>0.28</v>
      </c>
      <c r="AD19" s="54" t="n"/>
      <c r="AE19" s="54" t="n"/>
      <c r="AF19" s="53" t="n">
        <v>0</v>
      </c>
      <c r="AG19" s="53" t="n">
        <v>0.5</v>
      </c>
      <c r="AH19" s="53" t="inlineStr">
        <is>
          <t>1/2</t>
        </is>
      </c>
      <c r="AI19" s="54" t="n"/>
      <c r="AJ19" s="54" t="n"/>
      <c r="AK19" s="54" t="n"/>
      <c r="AL19" s="54" t="n"/>
      <c r="AM19" s="54" t="n"/>
      <c r="AN19" s="53" t="inlineStr">
        <is>
          <t>psi</t>
        </is>
      </c>
      <c r="AO19" s="54" t="n"/>
      <c r="AP19" s="54" t="n"/>
      <c r="AQ19" s="52">
        <f>SUBSTITUTE(A19,"/","_")</f>
        <v/>
      </c>
      <c r="AR19" s="52">
        <f>AQ19&amp;".pdf"</f>
        <v/>
      </c>
      <c r="AS19" s="52">
        <f>AQ19&amp;".step"</f>
        <v/>
      </c>
      <c r="AT19" s="53" t="inlineStr">
        <is>
          <t>MISSING</t>
        </is>
      </c>
      <c r="AU19" s="53" t="inlineStr">
        <is>
          <t>MATCH</t>
        </is>
      </c>
      <c r="AV19" s="53" t="inlineStr">
        <is>
          <t>SAE J514 JIC dash/thread chart (gageref.com), cross-checked vs source page</t>
        </is>
      </c>
      <c r="AW19" s="53" t="inlineStr">
        <is>
          <t>Material/finish/pressure NOT published by Air-Way or OMi - awaiting client input</t>
        </is>
      </c>
      <c r="AX19" s="37" t="n"/>
      <c r="AY19" s="37" t="n"/>
      <c r="AZ19" s="37" t="n"/>
      <c r="BA19" s="44" t="inlineStr">
        <is>
          <t>NO DATA</t>
        </is>
      </c>
      <c r="BB19" s="37" t="n"/>
      <c r="BC19" s="44" t="inlineStr">
        <is>
          <t>NO DATA</t>
        </is>
      </c>
      <c r="BD19" s="45" t="inlineStr">
        <is>
          <t>Y</t>
        </is>
      </c>
      <c r="BE19" s="45" t="inlineStr">
        <is>
          <t>BUILD</t>
        </is>
      </c>
    </row>
    <row r="20" ht="15" customHeight="1" s="35">
      <c r="A20" s="52">
        <f>D20&amp;"-"&amp;TEXT(U20,"00")&amp;"-"&amp;TEXT(N20,"00")</f>
        <v/>
      </c>
      <c r="B20" s="53" t="inlineStr">
        <is>
          <t>2404-8-6</t>
        </is>
      </c>
      <c r="C20" s="52">
        <f>A20</f>
        <v/>
      </c>
      <c r="D20" s="53" t="inlineStr">
        <is>
          <t>2404</t>
        </is>
      </c>
      <c r="E20" s="53" t="n">
        <v>64</v>
      </c>
      <c r="F20" s="53" t="inlineStr">
        <is>
          <t>https://parts.air-way.com/hydraulic-fittings/jic-and-beaded-hose-fittings/straight/2404-male-connector-series-64</t>
        </is>
      </c>
      <c r="G20" s="52">
        <f>"Male Connector, "&amp;T20&amp;" x "&amp;M20&amp;", "&amp;V20&amp;" x "&amp;O20</f>
        <v/>
      </c>
      <c r="H20" s="53" t="inlineStr">
        <is>
          <t>JIC 37 &amp; Beaded Hose</t>
        </is>
      </c>
      <c r="I20" s="53" t="inlineStr">
        <is>
          <t>Carbon Steel</t>
        </is>
      </c>
      <c r="J20" s="53" t="inlineStr">
        <is>
          <t>Straight</t>
        </is>
      </c>
      <c r="K20" s="53" t="n">
        <v>2</v>
      </c>
      <c r="L20" s="53" t="inlineStr">
        <is>
          <t>A</t>
        </is>
      </c>
      <c r="M20" s="53" t="inlineStr">
        <is>
          <t>Male Pipe NPTF</t>
        </is>
      </c>
      <c r="N20" s="53" t="n">
        <v>6</v>
      </c>
      <c r="O20" s="53" t="inlineStr">
        <is>
          <t>3/8-18</t>
        </is>
      </c>
      <c r="P20" s="53" t="inlineStr">
        <is>
          <t>NPTF Dryseal</t>
        </is>
      </c>
      <c r="Q20" s="53" t="inlineStr">
        <is>
          <t>ASME B1.20.3</t>
        </is>
      </c>
      <c r="R20" s="53" t="inlineStr">
        <is>
          <t>N/A (tapered thread seal)</t>
        </is>
      </c>
      <c r="S20" s="53" t="inlineStr">
        <is>
          <t>B</t>
        </is>
      </c>
      <c r="T20" s="53" t="inlineStr">
        <is>
          <t>Male 37 deg Flare (JIC)</t>
        </is>
      </c>
      <c r="U20" s="53" t="n">
        <v>8</v>
      </c>
      <c r="V20" s="53" t="inlineStr">
        <is>
          <t>3/4-16</t>
        </is>
      </c>
      <c r="W20" s="53" t="inlineStr">
        <is>
          <t>UN/UNF-2A</t>
        </is>
      </c>
      <c r="X20" s="53" t="inlineStr">
        <is>
          <t>SAE J514 / J514-1</t>
        </is>
      </c>
      <c r="Y20" s="53" t="n">
        <v>37</v>
      </c>
      <c r="Z20" s="53" t="n">
        <v>1.53</v>
      </c>
      <c r="AA20" s="53" t="n">
        <v>0.8100000000000001</v>
      </c>
      <c r="AB20" s="53" t="n">
        <v>0.39</v>
      </c>
      <c r="AC20" s="53" t="n">
        <v>0.41</v>
      </c>
      <c r="AD20" s="54" t="n"/>
      <c r="AE20" s="54" t="n">
        <v>0.8125</v>
      </c>
      <c r="AF20" s="53" t="n">
        <v>0</v>
      </c>
      <c r="AG20" s="53" t="n">
        <v>0.5</v>
      </c>
      <c r="AH20" s="53" t="inlineStr">
        <is>
          <t>1/2</t>
        </is>
      </c>
      <c r="AI20" s="54" t="n"/>
      <c r="AJ20" s="54" t="n"/>
      <c r="AK20" s="54" t="n"/>
      <c r="AL20" s="54" t="n"/>
      <c r="AM20" s="54" t="n"/>
      <c r="AN20" s="53" t="inlineStr">
        <is>
          <t>psi</t>
        </is>
      </c>
      <c r="AO20" s="54" t="n"/>
      <c r="AP20" s="54" t="n"/>
      <c r="AQ20" s="52">
        <f>SUBSTITUTE(A20,"/","_")</f>
        <v/>
      </c>
      <c r="AR20" s="52">
        <f>AQ20&amp;".pdf"</f>
        <v/>
      </c>
      <c r="AS20" s="52">
        <f>AQ20&amp;".step"</f>
        <v/>
      </c>
      <c r="AT20" s="53" t="inlineStr">
        <is>
          <t>ASSUMED</t>
        </is>
      </c>
      <c r="AU20" s="53" t="inlineStr">
        <is>
          <t>MATCH (L only)</t>
        </is>
      </c>
      <c r="AV20" s="53" t="inlineStr">
        <is>
          <t>Hex from Parker Cat4300 only - single source, not cross-checked.</t>
        </is>
      </c>
      <c r="AW20" s="53" t="inlineStr">
        <is>
          <t>Material/finish/pressure NOT published by Air-Way or OMi - awaiting client input</t>
        </is>
      </c>
      <c r="AX20" s="37" t="inlineStr">
        <is>
          <t>13/16</t>
        </is>
      </c>
      <c r="AY20" s="37" t="n"/>
      <c r="AZ20" s="37" t="n"/>
      <c r="BA20" s="44" t="inlineStr">
        <is>
          <t>SINGLE SOURCE</t>
        </is>
      </c>
      <c r="BB20" s="37" t="n">
        <v>1.53</v>
      </c>
      <c r="BC20" s="45" t="inlineStr">
        <is>
          <t>MATCH</t>
        </is>
      </c>
      <c r="BD20" s="45" t="inlineStr">
        <is>
          <t>Y</t>
        </is>
      </c>
      <c r="BE20" s="45" t="inlineStr">
        <is>
          <t>BUILD</t>
        </is>
      </c>
    </row>
    <row r="21" ht="15" customHeight="1" s="35">
      <c r="A21" s="52">
        <f>D21&amp;"-"&amp;TEXT(U21,"00")&amp;"-"&amp;TEXT(N21,"00")</f>
        <v/>
      </c>
      <c r="B21" s="53" t="inlineStr">
        <is>
          <t>2404-8-8</t>
        </is>
      </c>
      <c r="C21" s="52">
        <f>A21</f>
        <v/>
      </c>
      <c r="D21" s="53" t="inlineStr">
        <is>
          <t>2404</t>
        </is>
      </c>
      <c r="E21" s="53" t="n">
        <v>64</v>
      </c>
      <c r="F21" s="53" t="inlineStr">
        <is>
          <t>https://parts.air-way.com/hydraulic-fittings/jic-and-beaded-hose-fittings/straight/2404-male-connector-series-64</t>
        </is>
      </c>
      <c r="G21" s="52">
        <f>"Male Connector, "&amp;T21&amp;" x "&amp;M21&amp;", "&amp;V21&amp;" x "&amp;O21</f>
        <v/>
      </c>
      <c r="H21" s="53" t="inlineStr">
        <is>
          <t>JIC 37 &amp; Beaded Hose</t>
        </is>
      </c>
      <c r="I21" s="53" t="inlineStr">
        <is>
          <t>Carbon Steel</t>
        </is>
      </c>
      <c r="J21" s="53" t="inlineStr">
        <is>
          <t>Straight</t>
        </is>
      </c>
      <c r="K21" s="53" t="n">
        <v>2</v>
      </c>
      <c r="L21" s="53" t="inlineStr">
        <is>
          <t>A</t>
        </is>
      </c>
      <c r="M21" s="53" t="inlineStr">
        <is>
          <t>Male Pipe NPTF</t>
        </is>
      </c>
      <c r="N21" s="53" t="n">
        <v>8</v>
      </c>
      <c r="O21" s="53" t="inlineStr">
        <is>
          <t>1/2-14</t>
        </is>
      </c>
      <c r="P21" s="53" t="inlineStr">
        <is>
          <t>NPTF Dryseal</t>
        </is>
      </c>
      <c r="Q21" s="53" t="inlineStr">
        <is>
          <t>ASME B1.20.3</t>
        </is>
      </c>
      <c r="R21" s="53" t="inlineStr">
        <is>
          <t>N/A (tapered thread seal)</t>
        </is>
      </c>
      <c r="S21" s="53" t="inlineStr">
        <is>
          <t>B</t>
        </is>
      </c>
      <c r="T21" s="53" t="inlineStr">
        <is>
          <t>Male 37 deg Flare (JIC)</t>
        </is>
      </c>
      <c r="U21" s="53" t="n">
        <v>8</v>
      </c>
      <c r="V21" s="53" t="inlineStr">
        <is>
          <t>3/4-16</t>
        </is>
      </c>
      <c r="W21" s="53" t="inlineStr">
        <is>
          <t>UN/UNF-2A</t>
        </is>
      </c>
      <c r="X21" s="53" t="inlineStr">
        <is>
          <t>SAE J514 / J514-1</t>
        </is>
      </c>
      <c r="Y21" s="53" t="n">
        <v>37</v>
      </c>
      <c r="Z21" s="53" t="n">
        <v>1.79</v>
      </c>
      <c r="AA21" s="53" t="n">
        <v>0.88</v>
      </c>
      <c r="AB21" s="53" t="n">
        <v>0.39</v>
      </c>
      <c r="AC21" s="53" t="n">
        <v>0.53</v>
      </c>
      <c r="AD21" s="54" t="n"/>
      <c r="AE21" s="54" t="n"/>
      <c r="AF21" s="53" t="n">
        <v>0</v>
      </c>
      <c r="AG21" s="53" t="n">
        <v>0.5</v>
      </c>
      <c r="AH21" s="53" t="inlineStr">
        <is>
          <t>1/2</t>
        </is>
      </c>
      <c r="AI21" s="54" t="n"/>
      <c r="AJ21" s="54" t="n"/>
      <c r="AK21" s="54" t="n"/>
      <c r="AL21" s="54" t="n"/>
      <c r="AM21" s="54" t="n"/>
      <c r="AN21" s="53" t="inlineStr">
        <is>
          <t>psi</t>
        </is>
      </c>
      <c r="AO21" s="54" t="n"/>
      <c r="AP21" s="54" t="n"/>
      <c r="AQ21" s="52">
        <f>SUBSTITUTE(A21,"/","_")</f>
        <v/>
      </c>
      <c r="AR21" s="52">
        <f>AQ21&amp;".pdf"</f>
        <v/>
      </c>
      <c r="AS21" s="52">
        <f>AQ21&amp;".step"</f>
        <v/>
      </c>
      <c r="AT21" s="53" t="inlineStr">
        <is>
          <t>MISSING</t>
        </is>
      </c>
      <c r="AU21" s="53" t="inlineStr">
        <is>
          <t>MATCH (L only)</t>
        </is>
      </c>
      <c r="AV21" s="53" t="inlineStr">
        <is>
          <t>L cross-checked vs Parker Cat4300; hex not multi-sourced.</t>
        </is>
      </c>
      <c r="AW21" s="53" t="inlineStr">
        <is>
          <t>Material/finish/pressure NOT published by Air-Way or OMi - awaiting client input</t>
        </is>
      </c>
      <c r="AX21" s="37" t="inlineStr">
        <is>
          <t>7/8</t>
        </is>
      </c>
      <c r="AY21" s="37" t="inlineStr">
        <is>
          <t>15/16</t>
        </is>
      </c>
      <c r="AZ21" s="37" t="inlineStr">
        <is>
          <t>7/8</t>
        </is>
      </c>
      <c r="BA21" s="47" t="inlineStr">
        <is>
          <t>CONFLICT</t>
        </is>
      </c>
      <c r="BB21" s="37" t="n">
        <v>1.79</v>
      </c>
      <c r="BC21" s="45" t="inlineStr">
        <is>
          <t>MATCH</t>
        </is>
      </c>
      <c r="BD21" s="45" t="inlineStr">
        <is>
          <t>Y</t>
        </is>
      </c>
      <c r="BE21" s="45" t="inlineStr">
        <is>
          <t>BUILD</t>
        </is>
      </c>
    </row>
    <row r="22" ht="15" customHeight="1" s="35">
      <c r="A22" s="52">
        <f>D22&amp;"-"&amp;TEXT(U22,"00")&amp;"-"&amp;TEXT(N22,"00")</f>
        <v/>
      </c>
      <c r="B22" s="53" t="inlineStr">
        <is>
          <t>2404-8-12</t>
        </is>
      </c>
      <c r="C22" s="52">
        <f>A22</f>
        <v/>
      </c>
      <c r="D22" s="53" t="inlineStr">
        <is>
          <t>2404</t>
        </is>
      </c>
      <c r="E22" s="53" t="n">
        <v>64</v>
      </c>
      <c r="F22" s="53" t="inlineStr">
        <is>
          <t>https://parts.air-way.com/hydraulic-fittings/jic-and-beaded-hose-fittings/straight/2404-male-connector-series-64</t>
        </is>
      </c>
      <c r="G22" s="52">
        <f>"Male Connector, "&amp;T22&amp;" x "&amp;M22&amp;", "&amp;V22&amp;" x "&amp;O22</f>
        <v/>
      </c>
      <c r="H22" s="53" t="inlineStr">
        <is>
          <t>JIC 37 &amp; Beaded Hose</t>
        </is>
      </c>
      <c r="I22" s="53" t="inlineStr">
        <is>
          <t>Carbon Steel</t>
        </is>
      </c>
      <c r="J22" s="53" t="inlineStr">
        <is>
          <t>Straight</t>
        </is>
      </c>
      <c r="K22" s="53" t="n">
        <v>2</v>
      </c>
      <c r="L22" s="53" t="inlineStr">
        <is>
          <t>A</t>
        </is>
      </c>
      <c r="M22" s="53" t="inlineStr">
        <is>
          <t>Male Pipe NPTF</t>
        </is>
      </c>
      <c r="N22" s="53" t="n">
        <v>12</v>
      </c>
      <c r="O22" s="53" t="inlineStr">
        <is>
          <t>3/4-14</t>
        </is>
      </c>
      <c r="P22" s="53" t="inlineStr">
        <is>
          <t>NPTF Dryseal</t>
        </is>
      </c>
      <c r="Q22" s="53" t="inlineStr">
        <is>
          <t>ASME B1.20.3</t>
        </is>
      </c>
      <c r="R22" s="53" t="inlineStr">
        <is>
          <t>N/A (tapered thread seal)</t>
        </is>
      </c>
      <c r="S22" s="53" t="inlineStr">
        <is>
          <t>B</t>
        </is>
      </c>
      <c r="T22" s="53" t="inlineStr">
        <is>
          <t>Male 37 deg Flare (JIC)</t>
        </is>
      </c>
      <c r="U22" s="53" t="n">
        <v>8</v>
      </c>
      <c r="V22" s="53" t="inlineStr">
        <is>
          <t>3/4-16</t>
        </is>
      </c>
      <c r="W22" s="53" t="inlineStr">
        <is>
          <t>UN/UNF-2A</t>
        </is>
      </c>
      <c r="X22" s="53" t="inlineStr">
        <is>
          <t>SAE J514 / J514-1</t>
        </is>
      </c>
      <c r="Y22" s="53" t="n">
        <v>37</v>
      </c>
      <c r="Z22" s="53" t="n">
        <v>1.85</v>
      </c>
      <c r="AA22" s="53" t="n">
        <v>1.13</v>
      </c>
      <c r="AB22" s="53" t="n">
        <v>0.39</v>
      </c>
      <c r="AC22" s="53" t="n">
        <v>0.72</v>
      </c>
      <c r="AD22" s="54" t="n"/>
      <c r="AE22" s="54" t="n"/>
      <c r="AF22" s="53" t="n">
        <v>0</v>
      </c>
      <c r="AG22" s="53" t="n">
        <v>0.5</v>
      </c>
      <c r="AH22" s="53" t="inlineStr">
        <is>
          <t>1/2</t>
        </is>
      </c>
      <c r="AI22" s="54" t="n"/>
      <c r="AJ22" s="54" t="n"/>
      <c r="AK22" s="54" t="n"/>
      <c r="AL22" s="54" t="n"/>
      <c r="AM22" s="54" t="n"/>
      <c r="AN22" s="53" t="inlineStr">
        <is>
          <t>psi</t>
        </is>
      </c>
      <c r="AO22" s="54" t="n"/>
      <c r="AP22" s="54" t="n"/>
      <c r="AQ22" s="52">
        <f>SUBSTITUTE(A22,"/","_")</f>
        <v/>
      </c>
      <c r="AR22" s="52">
        <f>AQ22&amp;".pdf"</f>
        <v/>
      </c>
      <c r="AS22" s="52">
        <f>AQ22&amp;".step"</f>
        <v/>
      </c>
      <c r="AT22" s="53" t="inlineStr">
        <is>
          <t>MISSING</t>
        </is>
      </c>
      <c r="AU22" s="53" t="inlineStr">
        <is>
          <t>MATCH</t>
        </is>
      </c>
      <c r="AV22" s="53" t="inlineStr">
        <is>
          <t>SAE J514 JIC dash/thread chart (gageref.com), cross-checked vs source page</t>
        </is>
      </c>
      <c r="AW22" s="53" t="inlineStr">
        <is>
          <t>Material/finish/pressure NOT published by Air-Way or OMi - awaiting client input</t>
        </is>
      </c>
      <c r="AX22" s="37" t="n"/>
      <c r="AY22" s="37" t="n"/>
      <c r="AZ22" s="37" t="n"/>
      <c r="BA22" s="44" t="inlineStr">
        <is>
          <t>NO DATA</t>
        </is>
      </c>
      <c r="BB22" s="37" t="n"/>
      <c r="BC22" s="44" t="inlineStr">
        <is>
          <t>NO DATA</t>
        </is>
      </c>
      <c r="BD22" s="45" t="inlineStr">
        <is>
          <t>Y</t>
        </is>
      </c>
      <c r="BE22" s="45" t="inlineStr">
        <is>
          <t>BUILD</t>
        </is>
      </c>
    </row>
    <row r="23" ht="15" customHeight="1" s="35">
      <c r="A23" s="52">
        <f>D23&amp;"-"&amp;TEXT(U23,"00")&amp;"-"&amp;TEXT(N23,"00")</f>
        <v/>
      </c>
      <c r="B23" s="53" t="inlineStr">
        <is>
          <t>2404-8-16</t>
        </is>
      </c>
      <c r="C23" s="52">
        <f>A23</f>
        <v/>
      </c>
      <c r="D23" s="53" t="inlineStr">
        <is>
          <t>2404</t>
        </is>
      </c>
      <c r="E23" s="53" t="n">
        <v>64</v>
      </c>
      <c r="F23" s="53" t="inlineStr">
        <is>
          <t>https://parts.air-way.com/hydraulic-fittings/jic-and-beaded-hose-fittings/straight/2404-male-connector-series-64</t>
        </is>
      </c>
      <c r="G23" s="52">
        <f>"Male Connector, "&amp;T23&amp;" x "&amp;M23&amp;", "&amp;V23&amp;" x "&amp;O23</f>
        <v/>
      </c>
      <c r="H23" s="53" t="inlineStr">
        <is>
          <t>JIC 37 &amp; Beaded Hose</t>
        </is>
      </c>
      <c r="I23" s="53" t="inlineStr">
        <is>
          <t>Carbon Steel</t>
        </is>
      </c>
      <c r="J23" s="53" t="inlineStr">
        <is>
          <t>Straight</t>
        </is>
      </c>
      <c r="K23" s="53" t="n">
        <v>2</v>
      </c>
      <c r="L23" s="53" t="inlineStr">
        <is>
          <t>A</t>
        </is>
      </c>
      <c r="M23" s="53" t="inlineStr">
        <is>
          <t>Male Pipe NPTF</t>
        </is>
      </c>
      <c r="N23" s="53" t="n">
        <v>16</v>
      </c>
      <c r="O23" s="53" t="inlineStr">
        <is>
          <t>1-11 1/2</t>
        </is>
      </c>
      <c r="P23" s="53" t="inlineStr">
        <is>
          <t>NPTF Dryseal</t>
        </is>
      </c>
      <c r="Q23" s="53" t="inlineStr">
        <is>
          <t>ASME B1.20.3</t>
        </is>
      </c>
      <c r="R23" s="53" t="inlineStr">
        <is>
          <t>N/A (tapered thread seal)</t>
        </is>
      </c>
      <c r="S23" s="53" t="inlineStr">
        <is>
          <t>B</t>
        </is>
      </c>
      <c r="T23" s="53" t="inlineStr">
        <is>
          <t>Male 37 deg Flare (JIC)</t>
        </is>
      </c>
      <c r="U23" s="53" t="n">
        <v>8</v>
      </c>
      <c r="V23" s="53" t="inlineStr">
        <is>
          <t>3/4-16</t>
        </is>
      </c>
      <c r="W23" s="53" t="inlineStr">
        <is>
          <t>UN/UNF-2A</t>
        </is>
      </c>
      <c r="X23" s="53" t="inlineStr">
        <is>
          <t>SAE J514 / J514-1</t>
        </is>
      </c>
      <c r="Y23" s="53" t="n">
        <v>37</v>
      </c>
      <c r="Z23" s="53" t="n">
        <v>2.05</v>
      </c>
      <c r="AA23" s="53" t="n">
        <v>1.38</v>
      </c>
      <c r="AB23" s="53" t="n">
        <v>0.39</v>
      </c>
      <c r="AC23" s="53" t="n">
        <v>0.9399999999999999</v>
      </c>
      <c r="AD23" s="54" t="n"/>
      <c r="AE23" s="54" t="n"/>
      <c r="AF23" s="53" t="n">
        <v>0</v>
      </c>
      <c r="AG23" s="53" t="n">
        <v>0.5</v>
      </c>
      <c r="AH23" s="53" t="inlineStr">
        <is>
          <t>1/2</t>
        </is>
      </c>
      <c r="AI23" s="54" t="n"/>
      <c r="AJ23" s="54" t="n"/>
      <c r="AK23" s="54" t="n"/>
      <c r="AL23" s="54" t="n"/>
      <c r="AM23" s="54" t="n"/>
      <c r="AN23" s="53" t="inlineStr">
        <is>
          <t>psi</t>
        </is>
      </c>
      <c r="AO23" s="54" t="n"/>
      <c r="AP23" s="54" t="n"/>
      <c r="AQ23" s="52">
        <f>SUBSTITUTE(A23,"/","_")</f>
        <v/>
      </c>
      <c r="AR23" s="52">
        <f>AQ23&amp;".pdf"</f>
        <v/>
      </c>
      <c r="AS23" s="52">
        <f>AQ23&amp;".step"</f>
        <v/>
      </c>
      <c r="AT23" s="53" t="inlineStr">
        <is>
          <t>MISSING</t>
        </is>
      </c>
      <c r="AU23" s="53" t="inlineStr">
        <is>
          <t>MATCH</t>
        </is>
      </c>
      <c r="AV23" s="53" t="inlineStr">
        <is>
          <t>SAE J514 JIC dash/thread chart (gageref.com), cross-checked vs source page</t>
        </is>
      </c>
      <c r="AW23" s="53" t="inlineStr">
        <is>
          <t>Material/finish/pressure NOT published by Air-Way or OMi - awaiting client input</t>
        </is>
      </c>
      <c r="AX23" s="37" t="n"/>
      <c r="AY23" s="37" t="n"/>
      <c r="AZ23" s="37" t="n"/>
      <c r="BA23" s="44" t="inlineStr">
        <is>
          <t>NO DATA</t>
        </is>
      </c>
      <c r="BB23" s="37" t="n"/>
      <c r="BC23" s="44" t="inlineStr">
        <is>
          <t>NO DATA</t>
        </is>
      </c>
      <c r="BD23" s="45" t="inlineStr">
        <is>
          <t>Y</t>
        </is>
      </c>
      <c r="BE23" s="45" t="inlineStr">
        <is>
          <t>BUILD</t>
        </is>
      </c>
    </row>
    <row r="24" ht="15" customHeight="1" s="35">
      <c r="A24" s="52">
        <f>D24&amp;"-"&amp;TEXT(U24,"00")&amp;"-"&amp;TEXT(N24,"00")</f>
        <v/>
      </c>
      <c r="B24" s="53" t="inlineStr">
        <is>
          <t>2404-10-4</t>
        </is>
      </c>
      <c r="C24" s="52">
        <f>A24</f>
        <v/>
      </c>
      <c r="D24" s="53" t="inlineStr">
        <is>
          <t>2404</t>
        </is>
      </c>
      <c r="E24" s="53" t="n">
        <v>64</v>
      </c>
      <c r="F24" s="53" t="inlineStr">
        <is>
          <t>https://parts.air-way.com/hydraulic-fittings/jic-and-beaded-hose-fittings/straight/2404-male-connector-series-64</t>
        </is>
      </c>
      <c r="G24" s="52">
        <f>"Male Connector, "&amp;T24&amp;" x "&amp;M24&amp;", "&amp;V24&amp;" x "&amp;O24</f>
        <v/>
      </c>
      <c r="H24" s="53" t="inlineStr">
        <is>
          <t>JIC 37 &amp; Beaded Hose</t>
        </is>
      </c>
      <c r="I24" s="53" t="inlineStr">
        <is>
          <t>Carbon Steel</t>
        </is>
      </c>
      <c r="J24" s="53" t="inlineStr">
        <is>
          <t>Straight</t>
        </is>
      </c>
      <c r="K24" s="53" t="n">
        <v>2</v>
      </c>
      <c r="L24" s="53" t="inlineStr">
        <is>
          <t>A</t>
        </is>
      </c>
      <c r="M24" s="53" t="inlineStr">
        <is>
          <t>Male Pipe NPTF</t>
        </is>
      </c>
      <c r="N24" s="53" t="n">
        <v>4</v>
      </c>
      <c r="O24" s="53" t="inlineStr">
        <is>
          <t>1/4-18</t>
        </is>
      </c>
      <c r="P24" s="53" t="inlineStr">
        <is>
          <t>NPTF Dryseal</t>
        </is>
      </c>
      <c r="Q24" s="53" t="inlineStr">
        <is>
          <t>ASME B1.20.3</t>
        </is>
      </c>
      <c r="R24" s="53" t="inlineStr">
        <is>
          <t>N/A (tapered thread seal)</t>
        </is>
      </c>
      <c r="S24" s="53" t="inlineStr">
        <is>
          <t>B</t>
        </is>
      </c>
      <c r="T24" s="53" t="inlineStr">
        <is>
          <t>Male 37 deg Flare (JIC)</t>
        </is>
      </c>
      <c r="U24" s="53" t="n">
        <v>10</v>
      </c>
      <c r="V24" s="53" t="inlineStr">
        <is>
          <t>7/8-14</t>
        </is>
      </c>
      <c r="W24" s="53" t="inlineStr">
        <is>
          <t>UN/UNF-2A</t>
        </is>
      </c>
      <c r="X24" s="53" t="inlineStr">
        <is>
          <t>SAE J514 / J514-1</t>
        </is>
      </c>
      <c r="Y24" s="53" t="n">
        <v>37</v>
      </c>
      <c r="Z24" s="53" t="n">
        <v>1.7</v>
      </c>
      <c r="AA24" s="53" t="n">
        <v>0.9399999999999999</v>
      </c>
      <c r="AB24" s="53" t="n">
        <v>0.48</v>
      </c>
      <c r="AC24" s="53" t="n">
        <v>0.28</v>
      </c>
      <c r="AD24" s="54" t="n"/>
      <c r="AE24" s="54" t="n"/>
      <c r="AF24" s="53" t="n">
        <v>0</v>
      </c>
      <c r="AG24" s="53" t="n">
        <v>0.625</v>
      </c>
      <c r="AH24" s="53" t="inlineStr">
        <is>
          <t>5/8</t>
        </is>
      </c>
      <c r="AI24" s="54" t="n"/>
      <c r="AJ24" s="54" t="n"/>
      <c r="AK24" s="54" t="n"/>
      <c r="AL24" s="54" t="n"/>
      <c r="AM24" s="54" t="n"/>
      <c r="AN24" s="53" t="inlineStr">
        <is>
          <t>psi</t>
        </is>
      </c>
      <c r="AO24" s="54" t="n"/>
      <c r="AP24" s="54" t="n"/>
      <c r="AQ24" s="52">
        <f>SUBSTITUTE(A24,"/","_")</f>
        <v/>
      </c>
      <c r="AR24" s="52">
        <f>AQ24&amp;".pdf"</f>
        <v/>
      </c>
      <c r="AS24" s="52">
        <f>AQ24&amp;".step"</f>
        <v/>
      </c>
      <c r="AT24" s="53" t="inlineStr">
        <is>
          <t>MISSING</t>
        </is>
      </c>
      <c r="AU24" s="53" t="inlineStr">
        <is>
          <t>MATCH</t>
        </is>
      </c>
      <c r="AV24" s="53" t="inlineStr">
        <is>
          <t>SAE J514 JIC dash/thread chart (gageref.com), cross-checked vs source page</t>
        </is>
      </c>
      <c r="AW24" s="53" t="inlineStr">
        <is>
          <t>Material/finish/pressure NOT published by Air-Way or OMi - awaiting client input</t>
        </is>
      </c>
      <c r="AX24" s="37" t="n"/>
      <c r="AY24" s="37" t="n"/>
      <c r="AZ24" s="37" t="n"/>
      <c r="BA24" s="44" t="inlineStr">
        <is>
          <t>NO DATA</t>
        </is>
      </c>
      <c r="BB24" s="37" t="n"/>
      <c r="BC24" s="44" t="inlineStr">
        <is>
          <t>NO DATA</t>
        </is>
      </c>
      <c r="BD24" s="45" t="inlineStr">
        <is>
          <t>Y</t>
        </is>
      </c>
      <c r="BE24" s="45" t="inlineStr">
        <is>
          <t>BUILD</t>
        </is>
      </c>
    </row>
    <row r="25" ht="15" customHeight="1" s="35">
      <c r="A25" s="52">
        <f>D25&amp;"-"&amp;TEXT(U25,"00")&amp;"-"&amp;TEXT(N25,"00")</f>
        <v/>
      </c>
      <c r="B25" s="53" t="inlineStr">
        <is>
          <t>2404-10-6</t>
        </is>
      </c>
      <c r="C25" s="52">
        <f>A25</f>
        <v/>
      </c>
      <c r="D25" s="53" t="inlineStr">
        <is>
          <t>2404</t>
        </is>
      </c>
      <c r="E25" s="53" t="n">
        <v>64</v>
      </c>
      <c r="F25" s="53" t="inlineStr">
        <is>
          <t>https://parts.air-way.com/hydraulic-fittings/jic-and-beaded-hose-fittings/straight/2404-male-connector-series-64</t>
        </is>
      </c>
      <c r="G25" s="52">
        <f>"Male Connector, "&amp;T25&amp;" x "&amp;M25&amp;", "&amp;V25&amp;" x "&amp;O25</f>
        <v/>
      </c>
      <c r="H25" s="53" t="inlineStr">
        <is>
          <t>JIC 37 &amp; Beaded Hose</t>
        </is>
      </c>
      <c r="I25" s="53" t="inlineStr">
        <is>
          <t>Carbon Steel</t>
        </is>
      </c>
      <c r="J25" s="53" t="inlineStr">
        <is>
          <t>Straight</t>
        </is>
      </c>
      <c r="K25" s="53" t="n">
        <v>2</v>
      </c>
      <c r="L25" s="53" t="inlineStr">
        <is>
          <t>A</t>
        </is>
      </c>
      <c r="M25" s="53" t="inlineStr">
        <is>
          <t>Male Pipe NPTF</t>
        </is>
      </c>
      <c r="N25" s="53" t="n">
        <v>6</v>
      </c>
      <c r="O25" s="53" t="inlineStr">
        <is>
          <t>3/8-18</t>
        </is>
      </c>
      <c r="P25" s="53" t="inlineStr">
        <is>
          <t>NPTF Dryseal</t>
        </is>
      </c>
      <c r="Q25" s="53" t="inlineStr">
        <is>
          <t>ASME B1.20.3</t>
        </is>
      </c>
      <c r="R25" s="53" t="inlineStr">
        <is>
          <t>N/A (tapered thread seal)</t>
        </is>
      </c>
      <c r="S25" s="53" t="inlineStr">
        <is>
          <t>B</t>
        </is>
      </c>
      <c r="T25" s="53" t="inlineStr">
        <is>
          <t>Male 37 deg Flare (JIC)</t>
        </is>
      </c>
      <c r="U25" s="53" t="n">
        <v>10</v>
      </c>
      <c r="V25" s="53" t="inlineStr">
        <is>
          <t>7/8-14</t>
        </is>
      </c>
      <c r="W25" s="53" t="inlineStr">
        <is>
          <t>UN/UNF-2A</t>
        </is>
      </c>
      <c r="X25" s="53" t="inlineStr">
        <is>
          <t>SAE J514 / J514-1</t>
        </is>
      </c>
      <c r="Y25" s="53" t="n">
        <v>37</v>
      </c>
      <c r="Z25" s="53" t="n">
        <v>1.7</v>
      </c>
      <c r="AA25" s="53" t="n">
        <v>0.9399999999999999</v>
      </c>
      <c r="AB25" s="53" t="n">
        <v>0.48</v>
      </c>
      <c r="AC25" s="53" t="n">
        <v>0.41</v>
      </c>
      <c r="AD25" s="54" t="n"/>
      <c r="AE25" s="54" t="n"/>
      <c r="AF25" s="53" t="n">
        <v>0</v>
      </c>
      <c r="AG25" s="53" t="n">
        <v>0.625</v>
      </c>
      <c r="AH25" s="53" t="inlineStr">
        <is>
          <t>5/8</t>
        </is>
      </c>
      <c r="AI25" s="54" t="n"/>
      <c r="AJ25" s="54" t="n"/>
      <c r="AK25" s="54" t="n"/>
      <c r="AL25" s="54" t="n"/>
      <c r="AM25" s="54" t="n"/>
      <c r="AN25" s="53" t="inlineStr">
        <is>
          <t>psi</t>
        </is>
      </c>
      <c r="AO25" s="54" t="n"/>
      <c r="AP25" s="54" t="n"/>
      <c r="AQ25" s="52">
        <f>SUBSTITUTE(A25,"/","_")</f>
        <v/>
      </c>
      <c r="AR25" s="52">
        <f>AQ25&amp;".pdf"</f>
        <v/>
      </c>
      <c r="AS25" s="52">
        <f>AQ25&amp;".step"</f>
        <v/>
      </c>
      <c r="AT25" s="53" t="inlineStr">
        <is>
          <t>MISSING</t>
        </is>
      </c>
      <c r="AU25" s="53" t="inlineStr">
        <is>
          <t>MATCH</t>
        </is>
      </c>
      <c r="AV25" s="53" t="inlineStr">
        <is>
          <t>SAE J514 JIC dash/thread chart (gageref.com), cross-checked vs source page</t>
        </is>
      </c>
      <c r="AW25" s="53" t="inlineStr">
        <is>
          <t>Material/finish/pressure NOT published by Air-Way or OMi - awaiting client input</t>
        </is>
      </c>
      <c r="AX25" s="37" t="n"/>
      <c r="AY25" s="37" t="n"/>
      <c r="AZ25" s="37" t="n"/>
      <c r="BA25" s="44" t="inlineStr">
        <is>
          <t>NO DATA</t>
        </is>
      </c>
      <c r="BB25" s="37" t="n"/>
      <c r="BC25" s="44" t="inlineStr">
        <is>
          <t>NO DATA</t>
        </is>
      </c>
      <c r="BD25" s="45" t="inlineStr">
        <is>
          <t>Y</t>
        </is>
      </c>
      <c r="BE25" s="45" t="inlineStr">
        <is>
          <t>BUILD</t>
        </is>
      </c>
    </row>
    <row r="26" ht="15" customHeight="1" s="35">
      <c r="A26" s="52">
        <f>D26&amp;"-"&amp;TEXT(U26,"00")&amp;"-"&amp;TEXT(N26,"00")</f>
        <v/>
      </c>
      <c r="B26" s="53" t="inlineStr">
        <is>
          <t>2404-10-8</t>
        </is>
      </c>
      <c r="C26" s="52">
        <f>A26</f>
        <v/>
      </c>
      <c r="D26" s="53" t="inlineStr">
        <is>
          <t>2404</t>
        </is>
      </c>
      <c r="E26" s="53" t="n">
        <v>64</v>
      </c>
      <c r="F26" s="53" t="inlineStr">
        <is>
          <t>https://parts.air-way.com/hydraulic-fittings/jic-and-beaded-hose-fittings/straight/2404-male-connector-series-64</t>
        </is>
      </c>
      <c r="G26" s="52">
        <f>"Male Connector, "&amp;T26&amp;" x "&amp;M26&amp;", "&amp;V26&amp;" x "&amp;O26</f>
        <v/>
      </c>
      <c r="H26" s="53" t="inlineStr">
        <is>
          <t>JIC 37 &amp; Beaded Hose</t>
        </is>
      </c>
      <c r="I26" s="53" t="inlineStr">
        <is>
          <t>Carbon Steel</t>
        </is>
      </c>
      <c r="J26" s="53" t="inlineStr">
        <is>
          <t>Straight</t>
        </is>
      </c>
      <c r="K26" s="53" t="n">
        <v>2</v>
      </c>
      <c r="L26" s="53" t="inlineStr">
        <is>
          <t>A</t>
        </is>
      </c>
      <c r="M26" s="53" t="inlineStr">
        <is>
          <t>Male Pipe NPTF</t>
        </is>
      </c>
      <c r="N26" s="53" t="n">
        <v>8</v>
      </c>
      <c r="O26" s="53" t="inlineStr">
        <is>
          <t>1/2-14</t>
        </is>
      </c>
      <c r="P26" s="53" t="inlineStr">
        <is>
          <t>NPTF Dryseal</t>
        </is>
      </c>
      <c r="Q26" s="53" t="inlineStr">
        <is>
          <t>ASME B1.20.3</t>
        </is>
      </c>
      <c r="R26" s="53" t="inlineStr">
        <is>
          <t>N/A (tapered thread seal)</t>
        </is>
      </c>
      <c r="S26" s="53" t="inlineStr">
        <is>
          <t>B</t>
        </is>
      </c>
      <c r="T26" s="53" t="inlineStr">
        <is>
          <t>Male 37 deg Flare (JIC)</t>
        </is>
      </c>
      <c r="U26" s="53" t="n">
        <v>10</v>
      </c>
      <c r="V26" s="53" t="inlineStr">
        <is>
          <t>7/8-14</t>
        </is>
      </c>
      <c r="W26" s="53" t="inlineStr">
        <is>
          <t>UN/UNF-2A</t>
        </is>
      </c>
      <c r="X26" s="53" t="inlineStr">
        <is>
          <t>SAE J514 / J514-1</t>
        </is>
      </c>
      <c r="Y26" s="53" t="n">
        <v>37</v>
      </c>
      <c r="Z26" s="53" t="n">
        <v>1.89</v>
      </c>
      <c r="AA26" s="53" t="n">
        <v>0.9399999999999999</v>
      </c>
      <c r="AB26" s="53" t="n">
        <v>0.48</v>
      </c>
      <c r="AC26" s="53" t="n">
        <v>0.53</v>
      </c>
      <c r="AD26" s="54" t="n"/>
      <c r="AE26" s="55" t="n">
        <v>0.9375</v>
      </c>
      <c r="AF26" s="53" t="n">
        <v>0</v>
      </c>
      <c r="AG26" s="53" t="n">
        <v>0.625</v>
      </c>
      <c r="AH26" s="53" t="inlineStr">
        <is>
          <t>5/8</t>
        </is>
      </c>
      <c r="AI26" s="54" t="n"/>
      <c r="AJ26" s="54" t="n"/>
      <c r="AK26" s="54" t="n"/>
      <c r="AL26" s="54" t="n"/>
      <c r="AM26" s="54" t="n"/>
      <c r="AN26" s="53" t="inlineStr">
        <is>
          <t>psi</t>
        </is>
      </c>
      <c r="AO26" s="54" t="n"/>
      <c r="AP26" s="54" t="n"/>
      <c r="AQ26" s="52">
        <f>SUBSTITUTE(A26,"/","_")</f>
        <v/>
      </c>
      <c r="AR26" s="52">
        <f>AQ26&amp;".pdf"</f>
        <v/>
      </c>
      <c r="AS26" s="52">
        <f>AQ26&amp;".step"</f>
        <v/>
      </c>
      <c r="AT26" s="53" t="inlineStr">
        <is>
          <t>VERIFIED</t>
        </is>
      </c>
      <c r="AU26" s="53" t="inlineStr">
        <is>
          <t>MATCH</t>
        </is>
      </c>
      <c r="AV26" s="53" t="inlineStr">
        <is>
          <t>L: Air-Way vs Parker Cat4300. Hex: 2+ independent sources agree.</t>
        </is>
      </c>
      <c r="AW26" s="53" t="inlineStr">
        <is>
          <t>Material/finish/pressure NOT published by Air-Way or OMi - awaiting client input</t>
        </is>
      </c>
      <c r="AX26" s="37" t="inlineStr">
        <is>
          <t>15/16</t>
        </is>
      </c>
      <c r="AY26" s="37" t="inlineStr">
        <is>
          <t>15/16</t>
        </is>
      </c>
      <c r="AZ26" s="37" t="inlineStr">
        <is>
          <t>15/16</t>
        </is>
      </c>
      <c r="BA26" s="45" t="inlineStr">
        <is>
          <t>AGREE</t>
        </is>
      </c>
      <c r="BB26" s="37" t="n">
        <v>1.89</v>
      </c>
      <c r="BC26" s="45" t="inlineStr">
        <is>
          <t>MATCH</t>
        </is>
      </c>
      <c r="BD26" s="45" t="inlineStr">
        <is>
          <t>Y</t>
        </is>
      </c>
      <c r="BE26" s="45" t="inlineStr">
        <is>
          <t>BUILD</t>
        </is>
      </c>
    </row>
    <row r="27" ht="15" customHeight="1" s="35">
      <c r="A27" s="52">
        <f>D27&amp;"-"&amp;TEXT(U27,"00")&amp;"-"&amp;TEXT(N27,"00")</f>
        <v/>
      </c>
      <c r="B27" s="53" t="inlineStr">
        <is>
          <t>2404-10-12</t>
        </is>
      </c>
      <c r="C27" s="52">
        <f>A27</f>
        <v/>
      </c>
      <c r="D27" s="53" t="inlineStr">
        <is>
          <t>2404</t>
        </is>
      </c>
      <c r="E27" s="53" t="n">
        <v>64</v>
      </c>
      <c r="F27" s="53" t="inlineStr">
        <is>
          <t>https://parts.air-way.com/hydraulic-fittings/jic-and-beaded-hose-fittings/straight/2404-male-connector-series-64</t>
        </is>
      </c>
      <c r="G27" s="52">
        <f>"Male Connector, "&amp;T27&amp;" x "&amp;M27&amp;", "&amp;V27&amp;" x "&amp;O27</f>
        <v/>
      </c>
      <c r="H27" s="53" t="inlineStr">
        <is>
          <t>JIC 37 &amp; Beaded Hose</t>
        </is>
      </c>
      <c r="I27" s="53" t="inlineStr">
        <is>
          <t>Carbon Steel</t>
        </is>
      </c>
      <c r="J27" s="53" t="inlineStr">
        <is>
          <t>Straight</t>
        </is>
      </c>
      <c r="K27" s="53" t="n">
        <v>2</v>
      </c>
      <c r="L27" s="53" t="inlineStr">
        <is>
          <t>A</t>
        </is>
      </c>
      <c r="M27" s="53" t="inlineStr">
        <is>
          <t>Male Pipe NPTF</t>
        </is>
      </c>
      <c r="N27" s="53" t="n">
        <v>12</v>
      </c>
      <c r="O27" s="53" t="inlineStr">
        <is>
          <t>3/4-14</t>
        </is>
      </c>
      <c r="P27" s="53" t="inlineStr">
        <is>
          <t>NPTF Dryseal</t>
        </is>
      </c>
      <c r="Q27" s="53" t="inlineStr">
        <is>
          <t>ASME B1.20.3</t>
        </is>
      </c>
      <c r="R27" s="53" t="inlineStr">
        <is>
          <t>N/A (tapered thread seal)</t>
        </is>
      </c>
      <c r="S27" s="53" t="inlineStr">
        <is>
          <t>B</t>
        </is>
      </c>
      <c r="T27" s="53" t="inlineStr">
        <is>
          <t>Male 37 deg Flare (JIC)</t>
        </is>
      </c>
      <c r="U27" s="53" t="n">
        <v>10</v>
      </c>
      <c r="V27" s="53" t="inlineStr">
        <is>
          <t>7/8-14</t>
        </is>
      </c>
      <c r="W27" s="53" t="inlineStr">
        <is>
          <t>UN/UNF-2A</t>
        </is>
      </c>
      <c r="X27" s="53" t="inlineStr">
        <is>
          <t>SAE J514 / J514-1</t>
        </is>
      </c>
      <c r="Y27" s="53" t="n">
        <v>37</v>
      </c>
      <c r="Z27" s="53" t="n">
        <v>1.95</v>
      </c>
      <c r="AA27" s="53" t="n">
        <v>1.13</v>
      </c>
      <c r="AB27" s="53" t="n">
        <v>0.48</v>
      </c>
      <c r="AC27" s="53" t="n">
        <v>0.72</v>
      </c>
      <c r="AD27" s="54" t="n"/>
      <c r="AE27" s="54" t="n">
        <v>1.125</v>
      </c>
      <c r="AF27" s="53" t="n">
        <v>0</v>
      </c>
      <c r="AG27" s="53" t="n">
        <v>0.625</v>
      </c>
      <c r="AH27" s="53" t="inlineStr">
        <is>
          <t>5/8</t>
        </is>
      </c>
      <c r="AI27" s="54" t="n"/>
      <c r="AJ27" s="54" t="n"/>
      <c r="AK27" s="54" t="n"/>
      <c r="AL27" s="54" t="n"/>
      <c r="AM27" s="54" t="n"/>
      <c r="AN27" s="53" t="inlineStr">
        <is>
          <t>psi</t>
        </is>
      </c>
      <c r="AO27" s="54" t="n"/>
      <c r="AP27" s="54" t="n"/>
      <c r="AQ27" s="52">
        <f>SUBSTITUTE(A27,"/","_")</f>
        <v/>
      </c>
      <c r="AR27" s="52">
        <f>AQ27&amp;".pdf"</f>
        <v/>
      </c>
      <c r="AS27" s="52">
        <f>AQ27&amp;".step"</f>
        <v/>
      </c>
      <c r="AT27" s="53" t="inlineStr">
        <is>
          <t>ASSUMED</t>
        </is>
      </c>
      <c r="AU27" s="53" t="inlineStr">
        <is>
          <t>MATCH (L only)</t>
        </is>
      </c>
      <c r="AV27" s="53" t="inlineStr">
        <is>
          <t>Hex from Parker Cat4300 only - single source, not cross-checked.</t>
        </is>
      </c>
      <c r="AW27" s="53" t="inlineStr">
        <is>
          <t>Material/finish/pressure NOT published by Air-Way or OMi - awaiting client input</t>
        </is>
      </c>
      <c r="AX27" s="37" t="inlineStr">
        <is>
          <t>1 1/8</t>
        </is>
      </c>
      <c r="AY27" s="37" t="n"/>
      <c r="AZ27" s="37" t="n"/>
      <c r="BA27" s="44" t="inlineStr">
        <is>
          <t>SINGLE SOURCE</t>
        </is>
      </c>
      <c r="BB27" s="37" t="n">
        <v>1.95</v>
      </c>
      <c r="BC27" s="45" t="inlineStr">
        <is>
          <t>MATCH</t>
        </is>
      </c>
      <c r="BD27" s="45" t="inlineStr">
        <is>
          <t>Y</t>
        </is>
      </c>
      <c r="BE27" s="45" t="inlineStr">
        <is>
          <t>BUILD</t>
        </is>
      </c>
    </row>
    <row r="28" ht="15" customHeight="1" s="35">
      <c r="A28" s="52">
        <f>D28&amp;"-"&amp;TEXT(U28,"00")&amp;"-"&amp;TEXT(N28,"00")</f>
        <v/>
      </c>
      <c r="B28" s="53" t="inlineStr">
        <is>
          <t>2404-10-16</t>
        </is>
      </c>
      <c r="C28" s="52">
        <f>A28</f>
        <v/>
      </c>
      <c r="D28" s="53" t="inlineStr">
        <is>
          <t>2404</t>
        </is>
      </c>
      <c r="E28" s="53" t="n">
        <v>64</v>
      </c>
      <c r="F28" s="53" t="inlineStr">
        <is>
          <t>https://parts.air-way.com/hydraulic-fittings/jic-and-beaded-hose-fittings/straight/2404-male-connector-series-64</t>
        </is>
      </c>
      <c r="G28" s="52">
        <f>"Male Connector, "&amp;T28&amp;" x "&amp;M28&amp;", "&amp;V28&amp;" x "&amp;O28</f>
        <v/>
      </c>
      <c r="H28" s="53" t="inlineStr">
        <is>
          <t>JIC 37 &amp; Beaded Hose</t>
        </is>
      </c>
      <c r="I28" s="53" t="inlineStr">
        <is>
          <t>Carbon Steel</t>
        </is>
      </c>
      <c r="J28" s="53" t="inlineStr">
        <is>
          <t>Straight</t>
        </is>
      </c>
      <c r="K28" s="53" t="n">
        <v>2</v>
      </c>
      <c r="L28" s="53" t="inlineStr">
        <is>
          <t>A</t>
        </is>
      </c>
      <c r="M28" s="53" t="inlineStr">
        <is>
          <t>Male Pipe NPTF</t>
        </is>
      </c>
      <c r="N28" s="53" t="n">
        <v>16</v>
      </c>
      <c r="O28" s="53" t="inlineStr">
        <is>
          <t>1-11 1/2</t>
        </is>
      </c>
      <c r="P28" s="53" t="inlineStr">
        <is>
          <t>NPTF Dryseal</t>
        </is>
      </c>
      <c r="Q28" s="53" t="inlineStr">
        <is>
          <t>ASME B1.20.3</t>
        </is>
      </c>
      <c r="R28" s="53" t="inlineStr">
        <is>
          <t>N/A (tapered thread seal)</t>
        </is>
      </c>
      <c r="S28" s="53" t="inlineStr">
        <is>
          <t>B</t>
        </is>
      </c>
      <c r="T28" s="53" t="inlineStr">
        <is>
          <t>Male 37 deg Flare (JIC)</t>
        </is>
      </c>
      <c r="U28" s="53" t="n">
        <v>10</v>
      </c>
      <c r="V28" s="53" t="inlineStr">
        <is>
          <t>7/8-14</t>
        </is>
      </c>
      <c r="W28" s="53" t="inlineStr">
        <is>
          <t>UN/UNF-2A</t>
        </is>
      </c>
      <c r="X28" s="53" t="inlineStr">
        <is>
          <t>SAE J514 / J514-1</t>
        </is>
      </c>
      <c r="Y28" s="53" t="n">
        <v>37</v>
      </c>
      <c r="Z28" s="53" t="n">
        <v>2.15</v>
      </c>
      <c r="AA28" s="53" t="n">
        <v>1.38</v>
      </c>
      <c r="AB28" s="53" t="n">
        <v>0.48</v>
      </c>
      <c r="AC28" s="53" t="n">
        <v>0.9399999999999999</v>
      </c>
      <c r="AD28" s="54" t="n"/>
      <c r="AE28" s="54" t="n"/>
      <c r="AF28" s="53" t="n">
        <v>0</v>
      </c>
      <c r="AG28" s="53" t="n">
        <v>0.625</v>
      </c>
      <c r="AH28" s="53" t="inlineStr">
        <is>
          <t>5/8</t>
        </is>
      </c>
      <c r="AI28" s="54" t="n"/>
      <c r="AJ28" s="54" t="n"/>
      <c r="AK28" s="54" t="n"/>
      <c r="AL28" s="54" t="n"/>
      <c r="AM28" s="54" t="n"/>
      <c r="AN28" s="53" t="inlineStr">
        <is>
          <t>psi</t>
        </is>
      </c>
      <c r="AO28" s="54" t="n"/>
      <c r="AP28" s="54" t="n"/>
      <c r="AQ28" s="52">
        <f>SUBSTITUTE(A28,"/","_")</f>
        <v/>
      </c>
      <c r="AR28" s="52">
        <f>AQ28&amp;".pdf"</f>
        <v/>
      </c>
      <c r="AS28" s="52">
        <f>AQ28&amp;".step"</f>
        <v/>
      </c>
      <c r="AT28" s="53" t="inlineStr">
        <is>
          <t>MISSING</t>
        </is>
      </c>
      <c r="AU28" s="53" t="inlineStr">
        <is>
          <t>MATCH</t>
        </is>
      </c>
      <c r="AV28" s="53" t="inlineStr">
        <is>
          <t>SAE J514 JIC dash/thread chart (gageref.com), cross-checked vs source page</t>
        </is>
      </c>
      <c r="AW28" s="53" t="inlineStr">
        <is>
          <t>Material/finish/pressure NOT published by Air-Way or OMi - awaiting client input</t>
        </is>
      </c>
      <c r="AX28" s="37" t="n"/>
      <c r="AY28" s="37" t="n"/>
      <c r="AZ28" s="37" t="n"/>
      <c r="BA28" s="44" t="inlineStr">
        <is>
          <t>NO DATA</t>
        </is>
      </c>
      <c r="BB28" s="37" t="n"/>
      <c r="BC28" s="44" t="inlineStr">
        <is>
          <t>NO DATA</t>
        </is>
      </c>
      <c r="BD28" s="45" t="inlineStr">
        <is>
          <t>Y</t>
        </is>
      </c>
      <c r="BE28" s="45" t="inlineStr">
        <is>
          <t>BUILD</t>
        </is>
      </c>
    </row>
    <row r="29" ht="15" customHeight="1" s="35">
      <c r="A29" s="52">
        <f>D29&amp;"-"&amp;TEXT(U29,"00")&amp;"-"&amp;TEXT(N29,"00")</f>
        <v/>
      </c>
      <c r="B29" s="53" t="inlineStr">
        <is>
          <t>2404-12-6</t>
        </is>
      </c>
      <c r="C29" s="52">
        <f>A29</f>
        <v/>
      </c>
      <c r="D29" s="53" t="inlineStr">
        <is>
          <t>2404</t>
        </is>
      </c>
      <c r="E29" s="53" t="n">
        <v>64</v>
      </c>
      <c r="F29" s="53" t="inlineStr">
        <is>
          <t>https://parts.air-way.com/hydraulic-fittings/jic-and-beaded-hose-fittings/straight/2404-male-connector-series-64</t>
        </is>
      </c>
      <c r="G29" s="52">
        <f>"Male Connector, "&amp;T29&amp;" x "&amp;M29&amp;", "&amp;V29&amp;" x "&amp;O29</f>
        <v/>
      </c>
      <c r="H29" s="53" t="inlineStr">
        <is>
          <t>JIC 37 &amp; Beaded Hose</t>
        </is>
      </c>
      <c r="I29" s="53" t="inlineStr">
        <is>
          <t>Carbon Steel</t>
        </is>
      </c>
      <c r="J29" s="53" t="inlineStr">
        <is>
          <t>Straight</t>
        </is>
      </c>
      <c r="K29" s="53" t="n">
        <v>2</v>
      </c>
      <c r="L29" s="53" t="inlineStr">
        <is>
          <t>A</t>
        </is>
      </c>
      <c r="M29" s="53" t="inlineStr">
        <is>
          <t>Male Pipe NPTF</t>
        </is>
      </c>
      <c r="N29" s="53" t="n">
        <v>6</v>
      </c>
      <c r="O29" s="53" t="inlineStr">
        <is>
          <t>3/8-18</t>
        </is>
      </c>
      <c r="P29" s="53" t="inlineStr">
        <is>
          <t>NPTF Dryseal</t>
        </is>
      </c>
      <c r="Q29" s="53" t="inlineStr">
        <is>
          <t>ASME B1.20.3</t>
        </is>
      </c>
      <c r="R29" s="53" t="inlineStr">
        <is>
          <t>N/A (tapered thread seal)</t>
        </is>
      </c>
      <c r="S29" s="53" t="inlineStr">
        <is>
          <t>B</t>
        </is>
      </c>
      <c r="T29" s="53" t="inlineStr">
        <is>
          <t>Male 37 deg Flare (JIC)</t>
        </is>
      </c>
      <c r="U29" s="53" t="n">
        <v>12</v>
      </c>
      <c r="V29" s="53" t="inlineStr">
        <is>
          <t>1 1/16-12</t>
        </is>
      </c>
      <c r="W29" s="53" t="inlineStr">
        <is>
          <t>UN/UNF-2A</t>
        </is>
      </c>
      <c r="X29" s="53" t="inlineStr">
        <is>
          <t>SAE J514 / J514-1</t>
        </is>
      </c>
      <c r="Y29" s="53" t="n">
        <v>37</v>
      </c>
      <c r="Z29" s="53" t="n">
        <v>1.87</v>
      </c>
      <c r="AA29" s="53" t="n">
        <v>1.13</v>
      </c>
      <c r="AB29" s="53" t="n">
        <v>0.61</v>
      </c>
      <c r="AC29" s="53" t="n">
        <v>0.41</v>
      </c>
      <c r="AD29" s="54" t="n"/>
      <c r="AE29" s="54" t="n"/>
      <c r="AF29" s="53" t="n">
        <v>0</v>
      </c>
      <c r="AG29" s="53" t="n">
        <v>0.75</v>
      </c>
      <c r="AH29" s="53" t="inlineStr">
        <is>
          <t>3/4</t>
        </is>
      </c>
      <c r="AI29" s="54" t="n"/>
      <c r="AJ29" s="54" t="n"/>
      <c r="AK29" s="54" t="n"/>
      <c r="AL29" s="54" t="n"/>
      <c r="AM29" s="54" t="n"/>
      <c r="AN29" s="53" t="inlineStr">
        <is>
          <t>psi</t>
        </is>
      </c>
      <c r="AO29" s="54" t="n"/>
      <c r="AP29" s="54" t="n"/>
      <c r="AQ29" s="52">
        <f>SUBSTITUTE(A29,"/","_")</f>
        <v/>
      </c>
      <c r="AR29" s="52">
        <f>AQ29&amp;".pdf"</f>
        <v/>
      </c>
      <c r="AS29" s="52">
        <f>AQ29&amp;".step"</f>
        <v/>
      </c>
      <c r="AT29" s="53" t="inlineStr">
        <is>
          <t>MISSING</t>
        </is>
      </c>
      <c r="AU29" s="53" t="inlineStr">
        <is>
          <t>MATCH</t>
        </is>
      </c>
      <c r="AV29" s="53" t="inlineStr">
        <is>
          <t>SAE J514 JIC dash/thread chart (gageref.com), cross-checked vs source page</t>
        </is>
      </c>
      <c r="AW29" s="53" t="inlineStr">
        <is>
          <t>Material/finish/pressure NOT published by Air-Way or OMi - awaiting client input</t>
        </is>
      </c>
      <c r="AX29" s="37" t="n"/>
      <c r="AY29" s="37" t="n"/>
      <c r="AZ29" s="37" t="n"/>
      <c r="BA29" s="44" t="inlineStr">
        <is>
          <t>NO DATA</t>
        </is>
      </c>
      <c r="BB29" s="37" t="n"/>
      <c r="BC29" s="44" t="inlineStr">
        <is>
          <t>NO DATA</t>
        </is>
      </c>
      <c r="BD29" s="45" t="inlineStr">
        <is>
          <t>Y</t>
        </is>
      </c>
      <c r="BE29" s="45" t="inlineStr">
        <is>
          <t>BUILD</t>
        </is>
      </c>
    </row>
    <row r="30" ht="15" customHeight="1" s="35">
      <c r="A30" s="52">
        <f>D30&amp;"-"&amp;TEXT(U30,"00")&amp;"-"&amp;TEXT(N30,"00")</f>
        <v/>
      </c>
      <c r="B30" s="53" t="inlineStr">
        <is>
          <t>2404-12-8</t>
        </is>
      </c>
      <c r="C30" s="52">
        <f>A30</f>
        <v/>
      </c>
      <c r="D30" s="53" t="inlineStr">
        <is>
          <t>2404</t>
        </is>
      </c>
      <c r="E30" s="53" t="n">
        <v>64</v>
      </c>
      <c r="F30" s="53" t="inlineStr">
        <is>
          <t>https://parts.air-way.com/hydraulic-fittings/jic-and-beaded-hose-fittings/straight/2404-male-connector-series-64</t>
        </is>
      </c>
      <c r="G30" s="52">
        <f>"Male Connector, "&amp;T30&amp;" x "&amp;M30&amp;", "&amp;V30&amp;" x "&amp;O30</f>
        <v/>
      </c>
      <c r="H30" s="53" t="inlineStr">
        <is>
          <t>JIC 37 &amp; Beaded Hose</t>
        </is>
      </c>
      <c r="I30" s="53" t="inlineStr">
        <is>
          <t>Carbon Steel</t>
        </is>
      </c>
      <c r="J30" s="53" t="inlineStr">
        <is>
          <t>Straight</t>
        </is>
      </c>
      <c r="K30" s="53" t="n">
        <v>2</v>
      </c>
      <c r="L30" s="53" t="inlineStr">
        <is>
          <t>A</t>
        </is>
      </c>
      <c r="M30" s="53" t="inlineStr">
        <is>
          <t>Male Pipe NPTF</t>
        </is>
      </c>
      <c r="N30" s="53" t="n">
        <v>8</v>
      </c>
      <c r="O30" s="53" t="inlineStr">
        <is>
          <t>1/2-14</t>
        </is>
      </c>
      <c r="P30" s="53" t="inlineStr">
        <is>
          <t>NPTF Dryseal</t>
        </is>
      </c>
      <c r="Q30" s="53" t="inlineStr">
        <is>
          <t>ASME B1.20.3</t>
        </is>
      </c>
      <c r="R30" s="53" t="inlineStr">
        <is>
          <t>N/A (tapered thread seal)</t>
        </is>
      </c>
      <c r="S30" s="53" t="inlineStr">
        <is>
          <t>B</t>
        </is>
      </c>
      <c r="T30" s="53" t="inlineStr">
        <is>
          <t>Male 37 deg Flare (JIC)</t>
        </is>
      </c>
      <c r="U30" s="53" t="n">
        <v>12</v>
      </c>
      <c r="V30" s="53" t="inlineStr">
        <is>
          <t>1 1/16-12</t>
        </is>
      </c>
      <c r="W30" s="53" t="inlineStr">
        <is>
          <t>UN/UNF-2A</t>
        </is>
      </c>
      <c r="X30" s="53" t="inlineStr">
        <is>
          <t>SAE J514 / J514-1</t>
        </is>
      </c>
      <c r="Y30" s="53" t="n">
        <v>37</v>
      </c>
      <c r="Z30" s="53" t="n">
        <v>2.06</v>
      </c>
      <c r="AA30" s="53" t="n">
        <v>1.13</v>
      </c>
      <c r="AB30" s="53" t="n">
        <v>0.61</v>
      </c>
      <c r="AC30" s="53" t="n">
        <v>0.53</v>
      </c>
      <c r="AD30" s="54" t="n"/>
      <c r="AE30" s="54" t="n">
        <v>1.125</v>
      </c>
      <c r="AF30" s="53" t="n">
        <v>0</v>
      </c>
      <c r="AG30" s="53" t="n">
        <v>0.75</v>
      </c>
      <c r="AH30" s="53" t="inlineStr">
        <is>
          <t>3/4</t>
        </is>
      </c>
      <c r="AI30" s="54" t="n"/>
      <c r="AJ30" s="54" t="n"/>
      <c r="AK30" s="54" t="n"/>
      <c r="AL30" s="54" t="n"/>
      <c r="AM30" s="54" t="n"/>
      <c r="AN30" s="53" t="inlineStr">
        <is>
          <t>psi</t>
        </is>
      </c>
      <c r="AO30" s="54" t="n"/>
      <c r="AP30" s="54" t="n"/>
      <c r="AQ30" s="52">
        <f>SUBSTITUTE(A30,"/","_")</f>
        <v/>
      </c>
      <c r="AR30" s="52">
        <f>AQ30&amp;".pdf"</f>
        <v/>
      </c>
      <c r="AS30" s="52">
        <f>AQ30&amp;".step"</f>
        <v/>
      </c>
      <c r="AT30" s="53" t="inlineStr">
        <is>
          <t>ASSUMED</t>
        </is>
      </c>
      <c r="AU30" s="53" t="inlineStr">
        <is>
          <t>MATCH (L only)</t>
        </is>
      </c>
      <c r="AV30" s="53" t="inlineStr">
        <is>
          <t>Hex from Parker Cat4300 only - single source, not cross-checked.</t>
        </is>
      </c>
      <c r="AW30" s="53" t="inlineStr">
        <is>
          <t>Material/finish/pressure NOT published by Air-Way or OMi - awaiting client input</t>
        </is>
      </c>
      <c r="AX30" s="37" t="inlineStr">
        <is>
          <t>1 1/8</t>
        </is>
      </c>
      <c r="AY30" s="37" t="n"/>
      <c r="AZ30" s="37" t="n"/>
      <c r="BA30" s="44" t="inlineStr">
        <is>
          <t>SINGLE SOURCE</t>
        </is>
      </c>
      <c r="BB30" s="37" t="n">
        <v>2.06</v>
      </c>
      <c r="BC30" s="45" t="inlineStr">
        <is>
          <t>MATCH</t>
        </is>
      </c>
      <c r="BD30" s="45" t="inlineStr">
        <is>
          <t>Y</t>
        </is>
      </c>
      <c r="BE30" s="45" t="inlineStr">
        <is>
          <t>BUILD</t>
        </is>
      </c>
    </row>
    <row r="31" ht="15" customHeight="1" s="35">
      <c r="A31" s="52">
        <f>D31&amp;"-"&amp;TEXT(U31,"00")&amp;"-"&amp;TEXT(N31,"00")</f>
        <v/>
      </c>
      <c r="B31" s="53" t="inlineStr">
        <is>
          <t>2404-12-12</t>
        </is>
      </c>
      <c r="C31" s="52">
        <f>A31</f>
        <v/>
      </c>
      <c r="D31" s="53" t="inlineStr">
        <is>
          <t>2404</t>
        </is>
      </c>
      <c r="E31" s="53" t="n">
        <v>64</v>
      </c>
      <c r="F31" s="53" t="inlineStr">
        <is>
          <t>https://parts.air-way.com/hydraulic-fittings/jic-and-beaded-hose-fittings/straight/2404-male-connector-series-64</t>
        </is>
      </c>
      <c r="G31" s="52">
        <f>"Male Connector, "&amp;T31&amp;" x "&amp;M31&amp;", "&amp;V31&amp;" x "&amp;O31</f>
        <v/>
      </c>
      <c r="H31" s="53" t="inlineStr">
        <is>
          <t>JIC 37 &amp; Beaded Hose</t>
        </is>
      </c>
      <c r="I31" s="53" t="inlineStr">
        <is>
          <t>Carbon Steel</t>
        </is>
      </c>
      <c r="J31" s="53" t="inlineStr">
        <is>
          <t>Straight</t>
        </is>
      </c>
      <c r="K31" s="53" t="n">
        <v>2</v>
      </c>
      <c r="L31" s="53" t="inlineStr">
        <is>
          <t>A</t>
        </is>
      </c>
      <c r="M31" s="53" t="inlineStr">
        <is>
          <t>Male Pipe NPTF</t>
        </is>
      </c>
      <c r="N31" s="53" t="n">
        <v>12</v>
      </c>
      <c r="O31" s="53" t="inlineStr">
        <is>
          <t>3/4-14</t>
        </is>
      </c>
      <c r="P31" s="53" t="inlineStr">
        <is>
          <t>NPTF Dryseal</t>
        </is>
      </c>
      <c r="Q31" s="53" t="inlineStr">
        <is>
          <t>ASME B1.20.3</t>
        </is>
      </c>
      <c r="R31" s="53" t="inlineStr">
        <is>
          <t>N/A (tapered thread seal)</t>
        </is>
      </c>
      <c r="S31" s="53" t="inlineStr">
        <is>
          <t>B</t>
        </is>
      </c>
      <c r="T31" s="53" t="inlineStr">
        <is>
          <t>Male 37 deg Flare (JIC)</t>
        </is>
      </c>
      <c r="U31" s="53" t="n">
        <v>12</v>
      </c>
      <c r="V31" s="53" t="inlineStr">
        <is>
          <t>1 1/16-12</t>
        </is>
      </c>
      <c r="W31" s="53" t="inlineStr">
        <is>
          <t>UN/UNF-2A</t>
        </is>
      </c>
      <c r="X31" s="53" t="inlineStr">
        <is>
          <t>SAE J514 / J514-1</t>
        </is>
      </c>
      <c r="Y31" s="53" t="n">
        <v>37</v>
      </c>
      <c r="Z31" s="53" t="n">
        <v>2.06</v>
      </c>
      <c r="AA31" s="53" t="n">
        <v>1.13</v>
      </c>
      <c r="AB31" s="53" t="n">
        <v>0.61</v>
      </c>
      <c r="AC31" s="53" t="n">
        <v>0.72</v>
      </c>
      <c r="AD31" s="54" t="n"/>
      <c r="AE31" s="55" t="n">
        <v>1.125</v>
      </c>
      <c r="AF31" s="53" t="n">
        <v>0</v>
      </c>
      <c r="AG31" s="53" t="n">
        <v>0.75</v>
      </c>
      <c r="AH31" s="53" t="inlineStr">
        <is>
          <t>3/4</t>
        </is>
      </c>
      <c r="AI31" s="54" t="n"/>
      <c r="AJ31" s="54" t="n"/>
      <c r="AK31" s="54" t="n"/>
      <c r="AL31" s="54" t="n"/>
      <c r="AM31" s="54" t="n"/>
      <c r="AN31" s="53" t="inlineStr">
        <is>
          <t>psi</t>
        </is>
      </c>
      <c r="AO31" s="54" t="n"/>
      <c r="AP31" s="54" t="n"/>
      <c r="AQ31" s="52">
        <f>SUBSTITUTE(A31,"/","_")</f>
        <v/>
      </c>
      <c r="AR31" s="52">
        <f>AQ31&amp;".pdf"</f>
        <v/>
      </c>
      <c r="AS31" s="52">
        <f>AQ31&amp;".step"</f>
        <v/>
      </c>
      <c r="AT31" s="53" t="inlineStr">
        <is>
          <t>VERIFIED</t>
        </is>
      </c>
      <c r="AU31" s="53" t="inlineStr">
        <is>
          <t>MATCH</t>
        </is>
      </c>
      <c r="AV31" s="53" t="inlineStr">
        <is>
          <t>L: Air-Way vs Parker Cat4300. Hex: 2+ independent sources agree.</t>
        </is>
      </c>
      <c r="AW31" s="53" t="inlineStr">
        <is>
          <t>Material/finish/pressure NOT published by Air-Way or OMi - awaiting client input</t>
        </is>
      </c>
      <c r="AX31" s="37" t="inlineStr">
        <is>
          <t>1 1/8</t>
        </is>
      </c>
      <c r="AY31" s="37" t="inlineStr">
        <is>
          <t>1 1/8</t>
        </is>
      </c>
      <c r="AZ31" s="37" t="n"/>
      <c r="BA31" s="45" t="inlineStr">
        <is>
          <t>AGREE</t>
        </is>
      </c>
      <c r="BB31" s="37" t="n">
        <v>2.06</v>
      </c>
      <c r="BC31" s="45" t="inlineStr">
        <is>
          <t>MATCH</t>
        </is>
      </c>
      <c r="BD31" s="45" t="inlineStr">
        <is>
          <t>Y</t>
        </is>
      </c>
      <c r="BE31" s="45" t="inlineStr">
        <is>
          <t>BUILD</t>
        </is>
      </c>
    </row>
    <row r="32" ht="15" customHeight="1" s="35">
      <c r="A32" s="52">
        <f>D32&amp;"-"&amp;TEXT(U32,"00")&amp;"-"&amp;TEXT(N32,"00")</f>
        <v/>
      </c>
      <c r="B32" s="53" t="inlineStr">
        <is>
          <t>2404-12-16</t>
        </is>
      </c>
      <c r="C32" s="52">
        <f>A32</f>
        <v/>
      </c>
      <c r="D32" s="53" t="inlineStr">
        <is>
          <t>2404</t>
        </is>
      </c>
      <c r="E32" s="53" t="n">
        <v>64</v>
      </c>
      <c r="F32" s="53" t="inlineStr">
        <is>
          <t>https://parts.air-way.com/hydraulic-fittings/jic-and-beaded-hose-fittings/straight/2404-male-connector-series-64</t>
        </is>
      </c>
      <c r="G32" s="52">
        <f>"Male Connector, "&amp;T32&amp;" x "&amp;M32&amp;", "&amp;V32&amp;" x "&amp;O32</f>
        <v/>
      </c>
      <c r="H32" s="53" t="inlineStr">
        <is>
          <t>JIC 37 &amp; Beaded Hose</t>
        </is>
      </c>
      <c r="I32" s="53" t="inlineStr">
        <is>
          <t>Carbon Steel</t>
        </is>
      </c>
      <c r="J32" s="53" t="inlineStr">
        <is>
          <t>Straight</t>
        </is>
      </c>
      <c r="K32" s="53" t="n">
        <v>2</v>
      </c>
      <c r="L32" s="53" t="inlineStr">
        <is>
          <t>A</t>
        </is>
      </c>
      <c r="M32" s="53" t="inlineStr">
        <is>
          <t>Male Pipe NPTF</t>
        </is>
      </c>
      <c r="N32" s="53" t="n">
        <v>16</v>
      </c>
      <c r="O32" s="53" t="inlineStr">
        <is>
          <t>1-11 1/2</t>
        </is>
      </c>
      <c r="P32" s="53" t="inlineStr">
        <is>
          <t>NPTF Dryseal</t>
        </is>
      </c>
      <c r="Q32" s="53" t="inlineStr">
        <is>
          <t>ASME B1.20.3</t>
        </is>
      </c>
      <c r="R32" s="53" t="inlineStr">
        <is>
          <t>N/A (tapered thread seal)</t>
        </is>
      </c>
      <c r="S32" s="53" t="inlineStr">
        <is>
          <t>B</t>
        </is>
      </c>
      <c r="T32" s="53" t="inlineStr">
        <is>
          <t>Male 37 deg Flare (JIC)</t>
        </is>
      </c>
      <c r="U32" s="53" t="n">
        <v>12</v>
      </c>
      <c r="V32" s="53" t="inlineStr">
        <is>
          <t>1 1/16-12</t>
        </is>
      </c>
      <c r="W32" s="53" t="inlineStr">
        <is>
          <t>UN/UNF-2A</t>
        </is>
      </c>
      <c r="X32" s="53" t="inlineStr">
        <is>
          <t>SAE J514 / J514-1</t>
        </is>
      </c>
      <c r="Y32" s="53" t="n">
        <v>37</v>
      </c>
      <c r="Z32" s="53" t="n">
        <v>2.25</v>
      </c>
      <c r="AA32" s="53" t="n">
        <v>1.38</v>
      </c>
      <c r="AB32" s="53" t="n">
        <v>0.61</v>
      </c>
      <c r="AC32" s="53" t="n">
        <v>0.9399999999999999</v>
      </c>
      <c r="AD32" s="54" t="n"/>
      <c r="AE32" s="54" t="n">
        <v>1.375</v>
      </c>
      <c r="AF32" s="53" t="n">
        <v>0</v>
      </c>
      <c r="AG32" s="53" t="n">
        <v>0.75</v>
      </c>
      <c r="AH32" s="53" t="inlineStr">
        <is>
          <t>3/4</t>
        </is>
      </c>
      <c r="AI32" s="54" t="n"/>
      <c r="AJ32" s="54" t="n"/>
      <c r="AK32" s="54" t="n"/>
      <c r="AL32" s="54" t="n"/>
      <c r="AM32" s="54" t="n"/>
      <c r="AN32" s="53" t="inlineStr">
        <is>
          <t>psi</t>
        </is>
      </c>
      <c r="AO32" s="54" t="n"/>
      <c r="AP32" s="54" t="n"/>
      <c r="AQ32" s="52">
        <f>SUBSTITUTE(A32,"/","_")</f>
        <v/>
      </c>
      <c r="AR32" s="52">
        <f>AQ32&amp;".pdf"</f>
        <v/>
      </c>
      <c r="AS32" s="52">
        <f>AQ32&amp;".step"</f>
        <v/>
      </c>
      <c r="AT32" s="53" t="inlineStr">
        <is>
          <t>ASSUMED</t>
        </is>
      </c>
      <c r="AU32" s="53" t="inlineStr">
        <is>
          <t>MATCH (L only)</t>
        </is>
      </c>
      <c r="AV32" s="53" t="inlineStr">
        <is>
          <t>Hex from Parker Cat4300 only - single source, not cross-checked.</t>
        </is>
      </c>
      <c r="AW32" s="53" t="inlineStr">
        <is>
          <t>Material/finish/pressure NOT published by Air-Way or OMi - awaiting client input</t>
        </is>
      </c>
      <c r="AX32" s="37" t="inlineStr">
        <is>
          <t>1 3/8</t>
        </is>
      </c>
      <c r="AY32" s="37" t="n"/>
      <c r="AZ32" s="37" t="n"/>
      <c r="BA32" s="44" t="inlineStr">
        <is>
          <t>SINGLE SOURCE</t>
        </is>
      </c>
      <c r="BB32" s="37" t="n">
        <v>2.25</v>
      </c>
      <c r="BC32" s="45" t="inlineStr">
        <is>
          <t>MATCH</t>
        </is>
      </c>
      <c r="BD32" s="45" t="inlineStr">
        <is>
          <t>Y</t>
        </is>
      </c>
      <c r="BE32" s="45" t="inlineStr">
        <is>
          <t>BUILD</t>
        </is>
      </c>
    </row>
    <row r="33" ht="15" customHeight="1" s="35">
      <c r="A33" s="52">
        <f>D33&amp;"-"&amp;TEXT(U33,"00")&amp;"-"&amp;TEXT(N33,"00")</f>
        <v/>
      </c>
      <c r="B33" s="53" t="inlineStr">
        <is>
          <t>2404-12-20</t>
        </is>
      </c>
      <c r="C33" s="52">
        <f>A33</f>
        <v/>
      </c>
      <c r="D33" s="53" t="inlineStr">
        <is>
          <t>2404</t>
        </is>
      </c>
      <c r="E33" s="53" t="n">
        <v>64</v>
      </c>
      <c r="F33" s="53" t="inlineStr">
        <is>
          <t>https://parts.air-way.com/hydraulic-fittings/jic-and-beaded-hose-fittings/straight/2404-male-connector-series-64</t>
        </is>
      </c>
      <c r="G33" s="52">
        <f>"Male Connector, "&amp;T33&amp;" x "&amp;M33&amp;", "&amp;V33&amp;" x "&amp;O33</f>
        <v/>
      </c>
      <c r="H33" s="53" t="inlineStr">
        <is>
          <t>JIC 37 &amp; Beaded Hose</t>
        </is>
      </c>
      <c r="I33" s="53" t="inlineStr">
        <is>
          <t>Carbon Steel</t>
        </is>
      </c>
      <c r="J33" s="53" t="inlineStr">
        <is>
          <t>Straight</t>
        </is>
      </c>
      <c r="K33" s="53" t="n">
        <v>2</v>
      </c>
      <c r="L33" s="53" t="inlineStr">
        <is>
          <t>A</t>
        </is>
      </c>
      <c r="M33" s="53" t="inlineStr">
        <is>
          <t>Male Pipe NPTF</t>
        </is>
      </c>
      <c r="N33" s="53" t="n">
        <v>20</v>
      </c>
      <c r="O33" s="53" t="inlineStr">
        <is>
          <t>1 1/4-11 1/2</t>
        </is>
      </c>
      <c r="P33" s="53" t="inlineStr">
        <is>
          <t>NPTF Dryseal</t>
        </is>
      </c>
      <c r="Q33" s="53" t="inlineStr">
        <is>
          <t>ASME B1.20.3</t>
        </is>
      </c>
      <c r="R33" s="53" t="inlineStr">
        <is>
          <t>N/A (tapered thread seal)</t>
        </is>
      </c>
      <c r="S33" s="53" t="inlineStr">
        <is>
          <t>B</t>
        </is>
      </c>
      <c r="T33" s="53" t="inlineStr">
        <is>
          <t>Male 37 deg Flare (JIC)</t>
        </is>
      </c>
      <c r="U33" s="53" t="n">
        <v>12</v>
      </c>
      <c r="V33" s="53" t="inlineStr">
        <is>
          <t>1 1/16-12</t>
        </is>
      </c>
      <c r="W33" s="53" t="inlineStr">
        <is>
          <t>UN/UNF-2A</t>
        </is>
      </c>
      <c r="X33" s="53" t="inlineStr">
        <is>
          <t>SAE J514 / J514-1</t>
        </is>
      </c>
      <c r="Y33" s="53" t="n">
        <v>37</v>
      </c>
      <c r="Z33" s="53" t="n">
        <v>2.36</v>
      </c>
      <c r="AA33" s="53" t="n">
        <v>1.69</v>
      </c>
      <c r="AB33" s="53" t="n">
        <v>0.61</v>
      </c>
      <c r="AC33" s="53" t="n">
        <v>1.25</v>
      </c>
      <c r="AD33" s="54" t="n"/>
      <c r="AE33" s="54" t="n"/>
      <c r="AF33" s="53" t="n">
        <v>0</v>
      </c>
      <c r="AG33" s="53" t="n">
        <v>0.75</v>
      </c>
      <c r="AH33" s="53" t="inlineStr">
        <is>
          <t>3/4</t>
        </is>
      </c>
      <c r="AI33" s="54" t="n"/>
      <c r="AJ33" s="54" t="n"/>
      <c r="AK33" s="54" t="n"/>
      <c r="AL33" s="54" t="n"/>
      <c r="AM33" s="54" t="n"/>
      <c r="AN33" s="53" t="inlineStr">
        <is>
          <t>psi</t>
        </is>
      </c>
      <c r="AO33" s="54" t="n"/>
      <c r="AP33" s="54" t="n"/>
      <c r="AQ33" s="52">
        <f>SUBSTITUTE(A33,"/","_")</f>
        <v/>
      </c>
      <c r="AR33" s="52">
        <f>AQ33&amp;".pdf"</f>
        <v/>
      </c>
      <c r="AS33" s="52">
        <f>AQ33&amp;".step"</f>
        <v/>
      </c>
      <c r="AT33" s="53" t="inlineStr">
        <is>
          <t>MISSING</t>
        </is>
      </c>
      <c r="AU33" s="53" t="inlineStr">
        <is>
          <t>MATCH</t>
        </is>
      </c>
      <c r="AV33" s="53" t="inlineStr">
        <is>
          <t>SAE J514 JIC dash/thread chart (gageref.com), cross-checked vs source page</t>
        </is>
      </c>
      <c r="AW33" s="53" t="inlineStr">
        <is>
          <t>Material/finish/pressure NOT published by Air-Way or OMi - awaiting client input</t>
        </is>
      </c>
      <c r="AX33" s="37" t="n"/>
      <c r="AY33" s="37" t="n"/>
      <c r="AZ33" s="37" t="n"/>
      <c r="BA33" s="44" t="inlineStr">
        <is>
          <t>NO DATA</t>
        </is>
      </c>
      <c r="BB33" s="37" t="n"/>
      <c r="BC33" s="44" t="inlineStr">
        <is>
          <t>NO DATA</t>
        </is>
      </c>
      <c r="BD33" s="45" t="inlineStr">
        <is>
          <t>Y</t>
        </is>
      </c>
      <c r="BE33" s="45" t="inlineStr">
        <is>
          <t>BUILD</t>
        </is>
      </c>
    </row>
    <row r="34" ht="15" customHeight="1" s="35">
      <c r="A34" s="52">
        <f>D34&amp;"-"&amp;TEXT(U34,"00")&amp;"-"&amp;TEXT(N34,"00")</f>
        <v/>
      </c>
      <c r="B34" s="53" t="inlineStr">
        <is>
          <t>2404-12-24</t>
        </is>
      </c>
      <c r="C34" s="52">
        <f>A34</f>
        <v/>
      </c>
      <c r="D34" s="53" t="inlineStr">
        <is>
          <t>2404</t>
        </is>
      </c>
      <c r="E34" s="53" t="n">
        <v>64</v>
      </c>
      <c r="F34" s="53" t="inlineStr">
        <is>
          <t>https://parts.air-way.com/hydraulic-fittings/jic-and-beaded-hose-fittings/straight/2404-male-connector-series-64</t>
        </is>
      </c>
      <c r="G34" s="52">
        <f>"Male Connector, "&amp;T34&amp;" x "&amp;M34&amp;", "&amp;V34&amp;" x "&amp;O34</f>
        <v/>
      </c>
      <c r="H34" s="53" t="inlineStr">
        <is>
          <t>JIC 37 &amp; Beaded Hose</t>
        </is>
      </c>
      <c r="I34" s="53" t="inlineStr">
        <is>
          <t>Carbon Steel</t>
        </is>
      </c>
      <c r="J34" s="53" t="inlineStr">
        <is>
          <t>Straight</t>
        </is>
      </c>
      <c r="K34" s="53" t="n">
        <v>2</v>
      </c>
      <c r="L34" s="53" t="inlineStr">
        <is>
          <t>A</t>
        </is>
      </c>
      <c r="M34" s="53" t="inlineStr">
        <is>
          <t>Male Pipe NPTF</t>
        </is>
      </c>
      <c r="N34" s="53" t="n">
        <v>24</v>
      </c>
      <c r="O34" s="53" t="inlineStr">
        <is>
          <t>1 1/2-11 1/2</t>
        </is>
      </c>
      <c r="P34" s="53" t="inlineStr">
        <is>
          <t>NPTF Dryseal</t>
        </is>
      </c>
      <c r="Q34" s="53" t="inlineStr">
        <is>
          <t>ASME B1.20.3</t>
        </is>
      </c>
      <c r="R34" s="53" t="inlineStr">
        <is>
          <t>N/A (tapered thread seal)</t>
        </is>
      </c>
      <c r="S34" s="53" t="inlineStr">
        <is>
          <t>B</t>
        </is>
      </c>
      <c r="T34" s="53" t="inlineStr">
        <is>
          <t>Male 37 deg Flare (JIC)</t>
        </is>
      </c>
      <c r="U34" s="53" t="n">
        <v>12</v>
      </c>
      <c r="V34" s="53" t="inlineStr">
        <is>
          <t>1 1/16-12</t>
        </is>
      </c>
      <c r="W34" s="53" t="inlineStr">
        <is>
          <t>UN/UNF-2A</t>
        </is>
      </c>
      <c r="X34" s="53" t="inlineStr">
        <is>
          <t>SAE J514 / J514-1</t>
        </is>
      </c>
      <c r="Y34" s="53" t="n">
        <v>37</v>
      </c>
      <c r="Z34" s="53" t="n">
        <v>2.46</v>
      </c>
      <c r="AA34" s="53" t="n">
        <v>2</v>
      </c>
      <c r="AB34" s="53" t="n">
        <v>0.61</v>
      </c>
      <c r="AC34" s="53" t="n">
        <v>1.5</v>
      </c>
      <c r="AD34" s="54" t="n"/>
      <c r="AE34" s="54" t="n"/>
      <c r="AF34" s="53" t="n">
        <v>0</v>
      </c>
      <c r="AG34" s="53" t="n">
        <v>0.75</v>
      </c>
      <c r="AH34" s="53" t="inlineStr">
        <is>
          <t>3/4</t>
        </is>
      </c>
      <c r="AI34" s="54" t="n"/>
      <c r="AJ34" s="54" t="n"/>
      <c r="AK34" s="54" t="n"/>
      <c r="AL34" s="54" t="n"/>
      <c r="AM34" s="54" t="n"/>
      <c r="AN34" s="53" t="inlineStr">
        <is>
          <t>psi</t>
        </is>
      </c>
      <c r="AO34" s="54" t="n"/>
      <c r="AP34" s="54" t="n"/>
      <c r="AQ34" s="52">
        <f>SUBSTITUTE(A34,"/","_")</f>
        <v/>
      </c>
      <c r="AR34" s="52">
        <f>AQ34&amp;".pdf"</f>
        <v/>
      </c>
      <c r="AS34" s="52">
        <f>AQ34&amp;".step"</f>
        <v/>
      </c>
      <c r="AT34" s="53" t="inlineStr">
        <is>
          <t>MISSING</t>
        </is>
      </c>
      <c r="AU34" s="53" t="inlineStr">
        <is>
          <t>MATCH</t>
        </is>
      </c>
      <c r="AV34" s="53" t="inlineStr">
        <is>
          <t>SAE J514 JIC dash/thread chart (gageref.com), cross-checked vs source page</t>
        </is>
      </c>
      <c r="AW34" s="53" t="inlineStr">
        <is>
          <t>Material/finish/pressure NOT published by Air-Way or OMi - awaiting client input</t>
        </is>
      </c>
      <c r="AX34" s="37" t="n"/>
      <c r="AY34" s="37" t="n"/>
      <c r="AZ34" s="37" t="n"/>
      <c r="BA34" s="44" t="inlineStr">
        <is>
          <t>NO DATA</t>
        </is>
      </c>
      <c r="BB34" s="37" t="n"/>
      <c r="BC34" s="44" t="inlineStr">
        <is>
          <t>NO DATA</t>
        </is>
      </c>
      <c r="BD34" s="45" t="inlineStr">
        <is>
          <t>Y</t>
        </is>
      </c>
      <c r="BE34" s="45" t="inlineStr">
        <is>
          <t>BUILD</t>
        </is>
      </c>
    </row>
    <row r="35" ht="15" customHeight="1" s="35">
      <c r="A35" s="52">
        <f>D35&amp;"-"&amp;TEXT(U35,"00")&amp;"-"&amp;TEXT(N35,"00")</f>
        <v/>
      </c>
      <c r="B35" s="53" t="inlineStr">
        <is>
          <t>2404-14-8</t>
        </is>
      </c>
      <c r="C35" s="52">
        <f>A35</f>
        <v/>
      </c>
      <c r="D35" s="53" t="inlineStr">
        <is>
          <t>2404</t>
        </is>
      </c>
      <c r="E35" s="53" t="n">
        <v>64</v>
      </c>
      <c r="F35" s="53" t="inlineStr">
        <is>
          <t>https://parts.air-way.com/hydraulic-fittings/jic-and-beaded-hose-fittings/straight/2404-male-connector-series-64</t>
        </is>
      </c>
      <c r="G35" s="52">
        <f>"Male Connector, "&amp;T35&amp;" x "&amp;M35&amp;", "&amp;V35&amp;" x "&amp;O35</f>
        <v/>
      </c>
      <c r="H35" s="53" t="inlineStr">
        <is>
          <t>JIC 37 &amp; Beaded Hose</t>
        </is>
      </c>
      <c r="I35" s="53" t="inlineStr">
        <is>
          <t>Carbon Steel</t>
        </is>
      </c>
      <c r="J35" s="53" t="inlineStr">
        <is>
          <t>Straight</t>
        </is>
      </c>
      <c r="K35" s="53" t="n">
        <v>2</v>
      </c>
      <c r="L35" s="53" t="inlineStr">
        <is>
          <t>A</t>
        </is>
      </c>
      <c r="M35" s="53" t="inlineStr">
        <is>
          <t>Male Pipe NPTF</t>
        </is>
      </c>
      <c r="N35" s="53" t="n">
        <v>8</v>
      </c>
      <c r="O35" s="53" t="inlineStr">
        <is>
          <t>1/2-14</t>
        </is>
      </c>
      <c r="P35" s="53" t="inlineStr">
        <is>
          <t>NPTF Dryseal</t>
        </is>
      </c>
      <c r="Q35" s="53" t="inlineStr">
        <is>
          <t>ASME B1.20.3</t>
        </is>
      </c>
      <c r="R35" s="53" t="inlineStr">
        <is>
          <t>N/A (tapered thread seal)</t>
        </is>
      </c>
      <c r="S35" s="53" t="inlineStr">
        <is>
          <t>B</t>
        </is>
      </c>
      <c r="T35" s="53" t="inlineStr">
        <is>
          <t>Male 37 deg Flare (JIC)</t>
        </is>
      </c>
      <c r="U35" s="53" t="n">
        <v>14</v>
      </c>
      <c r="V35" s="53" t="inlineStr">
        <is>
          <t>1 3/16-12</t>
        </is>
      </c>
      <c r="W35" s="53" t="inlineStr">
        <is>
          <t>UN/UNF-2A</t>
        </is>
      </c>
      <c r="X35" s="53" t="inlineStr">
        <is>
          <t>SAE J514 / J514-1</t>
        </is>
      </c>
      <c r="Y35" s="53" t="n">
        <v>37</v>
      </c>
      <c r="Z35" s="53" t="n">
        <v>2.09</v>
      </c>
      <c r="AA35" s="53" t="n">
        <v>1.25</v>
      </c>
      <c r="AB35" s="53" t="n">
        <v>0.72</v>
      </c>
      <c r="AC35" s="53" t="n">
        <v>0.53</v>
      </c>
      <c r="AD35" s="54" t="n"/>
      <c r="AE35" s="54" t="n"/>
      <c r="AF35" s="53" t="n">
        <v>0</v>
      </c>
      <c r="AG35" s="53" t="n">
        <v>0.875</v>
      </c>
      <c r="AH35" s="53" t="inlineStr">
        <is>
          <t>7/8</t>
        </is>
      </c>
      <c r="AI35" s="54" t="n"/>
      <c r="AJ35" s="54" t="n"/>
      <c r="AK35" s="54" t="n"/>
      <c r="AL35" s="54" t="n"/>
      <c r="AM35" s="54" t="n"/>
      <c r="AN35" s="53" t="inlineStr">
        <is>
          <t>psi</t>
        </is>
      </c>
      <c r="AO35" s="54" t="n"/>
      <c r="AP35" s="54" t="n"/>
      <c r="AQ35" s="52">
        <f>SUBSTITUTE(A35,"/","_")</f>
        <v/>
      </c>
      <c r="AR35" s="52">
        <f>AQ35&amp;".pdf"</f>
        <v/>
      </c>
      <c r="AS35" s="52">
        <f>AQ35&amp;".step"</f>
        <v/>
      </c>
      <c r="AT35" s="53" t="inlineStr">
        <is>
          <t>MISSING</t>
        </is>
      </c>
      <c r="AU35" s="53" t="inlineStr">
        <is>
          <t>MATCH</t>
        </is>
      </c>
      <c r="AV35" s="53" t="inlineStr">
        <is>
          <t>SAE J514 JIC dash/thread chart (gageref.com), cross-checked vs source page</t>
        </is>
      </c>
      <c r="AW35" s="53" t="inlineStr">
        <is>
          <t>NOT in the OMi carbon steel catalog - out of scope, do not model.</t>
        </is>
      </c>
      <c r="AX35" s="37" t="n"/>
      <c r="AY35" s="37" t="n"/>
      <c r="AZ35" s="37" t="n"/>
      <c r="BA35" s="44" t="inlineStr">
        <is>
          <t>NO DATA</t>
        </is>
      </c>
      <c r="BB35" s="37" t="n"/>
      <c r="BC35" s="44" t="inlineStr">
        <is>
          <t>NO DATA</t>
        </is>
      </c>
      <c r="BD35" s="47" t="inlineStr">
        <is>
          <t>N</t>
        </is>
      </c>
      <c r="BE35" s="47" t="inlineStr">
        <is>
          <t>DROP</t>
        </is>
      </c>
    </row>
    <row r="36" ht="15" customHeight="1" s="35">
      <c r="A36" s="52">
        <f>D36&amp;"-"&amp;TEXT(U36,"00")&amp;"-"&amp;TEXT(N36,"00")</f>
        <v/>
      </c>
      <c r="B36" s="53" t="inlineStr">
        <is>
          <t>2404-14-12</t>
        </is>
      </c>
      <c r="C36" s="52">
        <f>A36</f>
        <v/>
      </c>
      <c r="D36" s="53" t="inlineStr">
        <is>
          <t>2404</t>
        </is>
      </c>
      <c r="E36" s="53" t="n">
        <v>64</v>
      </c>
      <c r="F36" s="53" t="inlineStr">
        <is>
          <t>https://parts.air-way.com/hydraulic-fittings/jic-and-beaded-hose-fittings/straight/2404-male-connector-series-64</t>
        </is>
      </c>
      <c r="G36" s="52">
        <f>"Male Connector, "&amp;T36&amp;" x "&amp;M36&amp;", "&amp;V36&amp;" x "&amp;O36</f>
        <v/>
      </c>
      <c r="H36" s="53" t="inlineStr">
        <is>
          <t>JIC 37 &amp; Beaded Hose</t>
        </is>
      </c>
      <c r="I36" s="53" t="inlineStr">
        <is>
          <t>Carbon Steel</t>
        </is>
      </c>
      <c r="J36" s="53" t="inlineStr">
        <is>
          <t>Straight</t>
        </is>
      </c>
      <c r="K36" s="53" t="n">
        <v>2</v>
      </c>
      <c r="L36" s="53" t="inlineStr">
        <is>
          <t>A</t>
        </is>
      </c>
      <c r="M36" s="53" t="inlineStr">
        <is>
          <t>Male Pipe NPTF</t>
        </is>
      </c>
      <c r="N36" s="53" t="n">
        <v>12</v>
      </c>
      <c r="O36" s="53" t="inlineStr">
        <is>
          <t>3/4-14</t>
        </is>
      </c>
      <c r="P36" s="53" t="inlineStr">
        <is>
          <t>NPTF Dryseal</t>
        </is>
      </c>
      <c r="Q36" s="53" t="inlineStr">
        <is>
          <t>ASME B1.20.3</t>
        </is>
      </c>
      <c r="R36" s="53" t="inlineStr">
        <is>
          <t>N/A (tapered thread seal)</t>
        </is>
      </c>
      <c r="S36" s="53" t="inlineStr">
        <is>
          <t>B</t>
        </is>
      </c>
      <c r="T36" s="53" t="inlineStr">
        <is>
          <t>Male 37 deg Flare (JIC)</t>
        </is>
      </c>
      <c r="U36" s="53" t="n">
        <v>14</v>
      </c>
      <c r="V36" s="53" t="inlineStr">
        <is>
          <t>1 3/16-12</t>
        </is>
      </c>
      <c r="W36" s="53" t="inlineStr">
        <is>
          <t>UN/UNF-2A</t>
        </is>
      </c>
      <c r="X36" s="53" t="inlineStr">
        <is>
          <t>SAE J514 / J514-1</t>
        </is>
      </c>
      <c r="Y36" s="53" t="n">
        <v>37</v>
      </c>
      <c r="Z36" s="53" t="n">
        <v>2.09</v>
      </c>
      <c r="AA36" s="53" t="n">
        <v>1.25</v>
      </c>
      <c r="AB36" s="53" t="n">
        <v>0.72</v>
      </c>
      <c r="AC36" s="53" t="n">
        <v>0.72</v>
      </c>
      <c r="AD36" s="54" t="n"/>
      <c r="AE36" s="54" t="n"/>
      <c r="AF36" s="53" t="n">
        <v>0</v>
      </c>
      <c r="AG36" s="53" t="n">
        <v>0.875</v>
      </c>
      <c r="AH36" s="53" t="inlineStr">
        <is>
          <t>7/8</t>
        </is>
      </c>
      <c r="AI36" s="54" t="n"/>
      <c r="AJ36" s="54" t="n"/>
      <c r="AK36" s="54" t="n"/>
      <c r="AL36" s="54" t="n"/>
      <c r="AM36" s="54" t="n"/>
      <c r="AN36" s="53" t="inlineStr">
        <is>
          <t>psi</t>
        </is>
      </c>
      <c r="AO36" s="54" t="n"/>
      <c r="AP36" s="54" t="n"/>
      <c r="AQ36" s="52">
        <f>SUBSTITUTE(A36,"/","_")</f>
        <v/>
      </c>
      <c r="AR36" s="52">
        <f>AQ36&amp;".pdf"</f>
        <v/>
      </c>
      <c r="AS36" s="52">
        <f>AQ36&amp;".step"</f>
        <v/>
      </c>
      <c r="AT36" s="53" t="inlineStr">
        <is>
          <t>MISSING</t>
        </is>
      </c>
      <c r="AU36" s="53" t="inlineStr">
        <is>
          <t>MATCH</t>
        </is>
      </c>
      <c r="AV36" s="53" t="inlineStr">
        <is>
          <t>SAE J514 JIC dash/thread chart (gageref.com), cross-checked vs source page</t>
        </is>
      </c>
      <c r="AW36" s="53" t="inlineStr">
        <is>
          <t>NOT in the OMi carbon steel catalog - out of scope, do not model.</t>
        </is>
      </c>
      <c r="AX36" s="37" t="n"/>
      <c r="AY36" s="37" t="n"/>
      <c r="AZ36" s="37" t="n"/>
      <c r="BA36" s="44" t="inlineStr">
        <is>
          <t>NO DATA</t>
        </is>
      </c>
      <c r="BB36" s="37" t="n"/>
      <c r="BC36" s="44" t="inlineStr">
        <is>
          <t>NO DATA</t>
        </is>
      </c>
      <c r="BD36" s="47" t="inlineStr">
        <is>
          <t>N</t>
        </is>
      </c>
      <c r="BE36" s="47" t="inlineStr">
        <is>
          <t>DROP</t>
        </is>
      </c>
    </row>
    <row r="37" ht="15" customHeight="1" s="35">
      <c r="A37" s="52">
        <f>D37&amp;"-"&amp;TEXT(U37,"00")&amp;"-"&amp;TEXT(N37,"00")</f>
        <v/>
      </c>
      <c r="B37" s="53" t="inlineStr">
        <is>
          <t>2404-16-8</t>
        </is>
      </c>
      <c r="C37" s="52">
        <f>A37</f>
        <v/>
      </c>
      <c r="D37" s="53" t="inlineStr">
        <is>
          <t>2404</t>
        </is>
      </c>
      <c r="E37" s="53" t="n">
        <v>64</v>
      </c>
      <c r="F37" s="53" t="inlineStr">
        <is>
          <t>https://parts.air-way.com/hydraulic-fittings/jic-and-beaded-hose-fittings/straight/2404-male-connector-series-64</t>
        </is>
      </c>
      <c r="G37" s="52">
        <f>"Male Connector, "&amp;T37&amp;" x "&amp;M37&amp;", "&amp;V37&amp;" x "&amp;O37</f>
        <v/>
      </c>
      <c r="H37" s="53" t="inlineStr">
        <is>
          <t>JIC 37 &amp; Beaded Hose</t>
        </is>
      </c>
      <c r="I37" s="53" t="inlineStr">
        <is>
          <t>Carbon Steel</t>
        </is>
      </c>
      <c r="J37" s="53" t="inlineStr">
        <is>
          <t>Straight</t>
        </is>
      </c>
      <c r="K37" s="53" t="n">
        <v>2</v>
      </c>
      <c r="L37" s="53" t="inlineStr">
        <is>
          <t>A</t>
        </is>
      </c>
      <c r="M37" s="53" t="inlineStr">
        <is>
          <t>Male Pipe NPTF</t>
        </is>
      </c>
      <c r="N37" s="53" t="n">
        <v>8</v>
      </c>
      <c r="O37" s="53" t="inlineStr">
        <is>
          <t>1/2-14</t>
        </is>
      </c>
      <c r="P37" s="53" t="inlineStr">
        <is>
          <t>NPTF Dryseal</t>
        </is>
      </c>
      <c r="Q37" s="53" t="inlineStr">
        <is>
          <t>ASME B1.20.3</t>
        </is>
      </c>
      <c r="R37" s="53" t="inlineStr">
        <is>
          <t>N/A (tapered thread seal)</t>
        </is>
      </c>
      <c r="S37" s="53" t="inlineStr">
        <is>
          <t>B</t>
        </is>
      </c>
      <c r="T37" s="53" t="inlineStr">
        <is>
          <t>Male 37 deg Flare (JIC)</t>
        </is>
      </c>
      <c r="U37" s="53" t="n">
        <v>16</v>
      </c>
      <c r="V37" s="53" t="inlineStr">
        <is>
          <t>1 5/16-12</t>
        </is>
      </c>
      <c r="W37" s="53" t="inlineStr">
        <is>
          <t>UN/UNF-2A</t>
        </is>
      </c>
      <c r="X37" s="53" t="inlineStr">
        <is>
          <t>SAE J514 / J514-1</t>
        </is>
      </c>
      <c r="Y37" s="53" t="n">
        <v>37</v>
      </c>
      <c r="Z37" s="53" t="n">
        <v>2.11</v>
      </c>
      <c r="AA37" s="53" t="n">
        <v>1.38</v>
      </c>
      <c r="AB37" s="53" t="n">
        <v>0.84</v>
      </c>
      <c r="AC37" s="53" t="n">
        <v>0.53</v>
      </c>
      <c r="AD37" s="54" t="n"/>
      <c r="AE37" s="54" t="n">
        <v>1.375</v>
      </c>
      <c r="AF37" s="53" t="n">
        <v>0</v>
      </c>
      <c r="AG37" s="53" t="n">
        <v>1</v>
      </c>
      <c r="AH37" s="53" t="inlineStr">
        <is>
          <t>1</t>
        </is>
      </c>
      <c r="AI37" s="54" t="n"/>
      <c r="AJ37" s="54" t="n"/>
      <c r="AK37" s="54" t="n"/>
      <c r="AL37" s="54" t="n"/>
      <c r="AM37" s="54" t="n"/>
      <c r="AN37" s="53" t="inlineStr">
        <is>
          <t>psi</t>
        </is>
      </c>
      <c r="AO37" s="54" t="n"/>
      <c r="AP37" s="54" t="n"/>
      <c r="AQ37" s="52">
        <f>SUBSTITUTE(A37,"/","_")</f>
        <v/>
      </c>
      <c r="AR37" s="52">
        <f>AQ37&amp;".pdf"</f>
        <v/>
      </c>
      <c r="AS37" s="52">
        <f>AQ37&amp;".step"</f>
        <v/>
      </c>
      <c r="AT37" s="53" t="inlineStr">
        <is>
          <t>ASSUMED</t>
        </is>
      </c>
      <c r="AU37" s="53" t="inlineStr">
        <is>
          <t>MATCH (L only)</t>
        </is>
      </c>
      <c r="AV37" s="53" t="inlineStr">
        <is>
          <t>Hex from Parker Cat4300 only - single source, not cross-checked.</t>
        </is>
      </c>
      <c r="AW37" s="53" t="inlineStr">
        <is>
          <t>NOT in the OMi carbon steel catalog - out of scope, do not model.</t>
        </is>
      </c>
      <c r="AX37" s="37" t="inlineStr">
        <is>
          <t>1 3/8</t>
        </is>
      </c>
      <c r="AY37" s="37" t="n"/>
      <c r="AZ37" s="37" t="n"/>
      <c r="BA37" s="44" t="inlineStr">
        <is>
          <t>SINGLE SOURCE</t>
        </is>
      </c>
      <c r="BB37" s="37" t="n">
        <v>2.11</v>
      </c>
      <c r="BC37" s="45" t="inlineStr">
        <is>
          <t>MATCH</t>
        </is>
      </c>
      <c r="BD37" s="47" t="inlineStr">
        <is>
          <t>N</t>
        </is>
      </c>
      <c r="BE37" s="47" t="inlineStr">
        <is>
          <t>DROP</t>
        </is>
      </c>
    </row>
    <row r="38" ht="15" customHeight="1" s="35">
      <c r="A38" s="52">
        <f>D38&amp;"-"&amp;TEXT(U38,"00")&amp;"-"&amp;TEXT(N38,"00")</f>
        <v/>
      </c>
      <c r="B38" s="53" t="inlineStr">
        <is>
          <t>2404-16-12</t>
        </is>
      </c>
      <c r="C38" s="52">
        <f>A38</f>
        <v/>
      </c>
      <c r="D38" s="53" t="inlineStr">
        <is>
          <t>2404</t>
        </is>
      </c>
      <c r="E38" s="53" t="n">
        <v>64</v>
      </c>
      <c r="F38" s="53" t="inlineStr">
        <is>
          <t>https://parts.air-way.com/hydraulic-fittings/jic-and-beaded-hose-fittings/straight/2404-male-connector-series-64</t>
        </is>
      </c>
      <c r="G38" s="52">
        <f>"Male Connector, "&amp;T38&amp;" x "&amp;M38&amp;", "&amp;V38&amp;" x "&amp;O38</f>
        <v/>
      </c>
      <c r="H38" s="53" t="inlineStr">
        <is>
          <t>JIC 37 &amp; Beaded Hose</t>
        </is>
      </c>
      <c r="I38" s="53" t="inlineStr">
        <is>
          <t>Carbon Steel</t>
        </is>
      </c>
      <c r="J38" s="53" t="inlineStr">
        <is>
          <t>Straight</t>
        </is>
      </c>
      <c r="K38" s="53" t="n">
        <v>2</v>
      </c>
      <c r="L38" s="53" t="inlineStr">
        <is>
          <t>A</t>
        </is>
      </c>
      <c r="M38" s="53" t="inlineStr">
        <is>
          <t>Male Pipe NPTF</t>
        </is>
      </c>
      <c r="N38" s="53" t="n">
        <v>12</v>
      </c>
      <c r="O38" s="53" t="inlineStr">
        <is>
          <t>3/4-14</t>
        </is>
      </c>
      <c r="P38" s="53" t="inlineStr">
        <is>
          <t>NPTF Dryseal</t>
        </is>
      </c>
      <c r="Q38" s="53" t="inlineStr">
        <is>
          <t>ASME B1.20.3</t>
        </is>
      </c>
      <c r="R38" s="53" t="inlineStr">
        <is>
          <t>N/A (tapered thread seal)</t>
        </is>
      </c>
      <c r="S38" s="53" t="inlineStr">
        <is>
          <t>B</t>
        </is>
      </c>
      <c r="T38" s="53" t="inlineStr">
        <is>
          <t>Male 37 deg Flare (JIC)</t>
        </is>
      </c>
      <c r="U38" s="53" t="n">
        <v>16</v>
      </c>
      <c r="V38" s="53" t="inlineStr">
        <is>
          <t>1 5/16-12</t>
        </is>
      </c>
      <c r="W38" s="53" t="inlineStr">
        <is>
          <t>UN/UNF-2A</t>
        </is>
      </c>
      <c r="X38" s="53" t="inlineStr">
        <is>
          <t>SAE J514 / J514-1</t>
        </is>
      </c>
      <c r="Y38" s="53" t="n">
        <v>37</v>
      </c>
      <c r="Z38" s="53" t="n">
        <v>2.11</v>
      </c>
      <c r="AA38" s="53" t="n">
        <v>1.38</v>
      </c>
      <c r="AB38" s="53" t="n">
        <v>0.84</v>
      </c>
      <c r="AC38" s="53" t="n">
        <v>0.72</v>
      </c>
      <c r="AD38" s="54" t="n"/>
      <c r="AE38" s="54" t="n">
        <v>1.375</v>
      </c>
      <c r="AF38" s="53" t="n">
        <v>0</v>
      </c>
      <c r="AG38" s="53" t="n">
        <v>1</v>
      </c>
      <c r="AH38" s="53" t="inlineStr">
        <is>
          <t>1</t>
        </is>
      </c>
      <c r="AI38" s="54" t="n"/>
      <c r="AJ38" s="54" t="n"/>
      <c r="AK38" s="54" t="n"/>
      <c r="AL38" s="54" t="n"/>
      <c r="AM38" s="54" t="n"/>
      <c r="AN38" s="53" t="inlineStr">
        <is>
          <t>psi</t>
        </is>
      </c>
      <c r="AO38" s="54" t="n"/>
      <c r="AP38" s="54" t="n"/>
      <c r="AQ38" s="52">
        <f>SUBSTITUTE(A38,"/","_")</f>
        <v/>
      </c>
      <c r="AR38" s="52">
        <f>AQ38&amp;".pdf"</f>
        <v/>
      </c>
      <c r="AS38" s="52">
        <f>AQ38&amp;".step"</f>
        <v/>
      </c>
      <c r="AT38" s="53" t="inlineStr">
        <is>
          <t>ASSUMED</t>
        </is>
      </c>
      <c r="AU38" s="53" t="inlineStr">
        <is>
          <t>MATCH (L only)</t>
        </is>
      </c>
      <c r="AV38" s="53" t="inlineStr">
        <is>
          <t>Hex from Parker Cat4300 only - single source, not cross-checked.</t>
        </is>
      </c>
      <c r="AW38" s="53" t="inlineStr">
        <is>
          <t>Material/finish/pressure NOT published by Air-Way or OMi - awaiting client input</t>
        </is>
      </c>
      <c r="AX38" s="37" t="inlineStr">
        <is>
          <t>1 3/8</t>
        </is>
      </c>
      <c r="AY38" s="37" t="n"/>
      <c r="AZ38" s="37" t="n"/>
      <c r="BA38" s="44" t="inlineStr">
        <is>
          <t>SINGLE SOURCE</t>
        </is>
      </c>
      <c r="BB38" s="37" t="n">
        <v>2.11</v>
      </c>
      <c r="BC38" s="45" t="inlineStr">
        <is>
          <t>MATCH</t>
        </is>
      </c>
      <c r="BD38" s="45" t="inlineStr">
        <is>
          <t>Y</t>
        </is>
      </c>
      <c r="BE38" s="45" t="inlineStr">
        <is>
          <t>BUILD</t>
        </is>
      </c>
    </row>
    <row r="39" ht="15" customHeight="1" s="35">
      <c r="A39" s="52">
        <f>D39&amp;"-"&amp;TEXT(U39,"00")&amp;"-"&amp;TEXT(N39,"00")</f>
        <v/>
      </c>
      <c r="B39" s="53" t="inlineStr">
        <is>
          <t>2404-16-16</t>
        </is>
      </c>
      <c r="C39" s="52">
        <f>A39</f>
        <v/>
      </c>
      <c r="D39" s="53" t="inlineStr">
        <is>
          <t>2404</t>
        </is>
      </c>
      <c r="E39" s="53" t="n">
        <v>64</v>
      </c>
      <c r="F39" s="53" t="inlineStr">
        <is>
          <t>https://parts.air-way.com/hydraulic-fittings/jic-and-beaded-hose-fittings/straight/2404-male-connector-series-64</t>
        </is>
      </c>
      <c r="G39" s="52">
        <f>"Male Connector, "&amp;T39&amp;" x "&amp;M39&amp;", "&amp;V39&amp;" x "&amp;O39</f>
        <v/>
      </c>
      <c r="H39" s="53" t="inlineStr">
        <is>
          <t>JIC 37 &amp; Beaded Hose</t>
        </is>
      </c>
      <c r="I39" s="53" t="inlineStr">
        <is>
          <t>Carbon Steel</t>
        </is>
      </c>
      <c r="J39" s="53" t="inlineStr">
        <is>
          <t>Straight</t>
        </is>
      </c>
      <c r="K39" s="53" t="n">
        <v>2</v>
      </c>
      <c r="L39" s="53" t="inlineStr">
        <is>
          <t>A</t>
        </is>
      </c>
      <c r="M39" s="53" t="inlineStr">
        <is>
          <t>Male Pipe NPTF</t>
        </is>
      </c>
      <c r="N39" s="53" t="n">
        <v>16</v>
      </c>
      <c r="O39" s="53" t="inlineStr">
        <is>
          <t>1-11 1/2</t>
        </is>
      </c>
      <c r="P39" s="53" t="inlineStr">
        <is>
          <t>NPTF Dryseal</t>
        </is>
      </c>
      <c r="Q39" s="53" t="inlineStr">
        <is>
          <t>ASME B1.20.3</t>
        </is>
      </c>
      <c r="R39" s="53" t="inlineStr">
        <is>
          <t>N/A (tapered thread seal)</t>
        </is>
      </c>
      <c r="S39" s="53" t="inlineStr">
        <is>
          <t>B</t>
        </is>
      </c>
      <c r="T39" s="53" t="inlineStr">
        <is>
          <t>Male 37 deg Flare (JIC)</t>
        </is>
      </c>
      <c r="U39" s="53" t="n">
        <v>16</v>
      </c>
      <c r="V39" s="53" t="inlineStr">
        <is>
          <t>1 5/16-12</t>
        </is>
      </c>
      <c r="W39" s="53" t="inlineStr">
        <is>
          <t>UN/UNF-2A</t>
        </is>
      </c>
      <c r="X39" s="53" t="inlineStr">
        <is>
          <t>SAE J514 / J514-1</t>
        </is>
      </c>
      <c r="Y39" s="53" t="n">
        <v>37</v>
      </c>
      <c r="Z39" s="53" t="n">
        <v>2.3</v>
      </c>
      <c r="AA39" s="53" t="n">
        <v>1.38</v>
      </c>
      <c r="AB39" s="53" t="n">
        <v>0.84</v>
      </c>
      <c r="AC39" s="53" t="n">
        <v>0.9399999999999999</v>
      </c>
      <c r="AD39" s="54" t="n"/>
      <c r="AE39" s="55" t="n">
        <v>1.375</v>
      </c>
      <c r="AF39" s="53" t="n">
        <v>0</v>
      </c>
      <c r="AG39" s="53" t="n">
        <v>1</v>
      </c>
      <c r="AH39" s="53" t="inlineStr">
        <is>
          <t>1</t>
        </is>
      </c>
      <c r="AI39" s="54" t="n"/>
      <c r="AJ39" s="54" t="n"/>
      <c r="AK39" s="54" t="n"/>
      <c r="AL39" s="54" t="n"/>
      <c r="AM39" s="54" t="n"/>
      <c r="AN39" s="53" t="inlineStr">
        <is>
          <t>psi</t>
        </is>
      </c>
      <c r="AO39" s="54" t="n"/>
      <c r="AP39" s="54" t="n"/>
      <c r="AQ39" s="52">
        <f>SUBSTITUTE(A39,"/","_")</f>
        <v/>
      </c>
      <c r="AR39" s="52">
        <f>AQ39&amp;".pdf"</f>
        <v/>
      </c>
      <c r="AS39" s="52">
        <f>AQ39&amp;".step"</f>
        <v/>
      </c>
      <c r="AT39" s="53" t="inlineStr">
        <is>
          <t>VERIFIED</t>
        </is>
      </c>
      <c r="AU39" s="53" t="inlineStr">
        <is>
          <t>MATCH</t>
        </is>
      </c>
      <c r="AV39" s="53" t="inlineStr">
        <is>
          <t>L: Air-Way vs Parker Cat4300. Hex: 2+ independent sources agree.</t>
        </is>
      </c>
      <c r="AW39" s="53" t="inlineStr">
        <is>
          <t>Material/finish/pressure NOT published by Air-Way or OMi - awaiting client input</t>
        </is>
      </c>
      <c r="AX39" s="37" t="inlineStr">
        <is>
          <t>1 3/8</t>
        </is>
      </c>
      <c r="AY39" s="37" t="inlineStr">
        <is>
          <t>1 3/8</t>
        </is>
      </c>
      <c r="AZ39" s="37" t="inlineStr">
        <is>
          <t>1 3/8</t>
        </is>
      </c>
      <c r="BA39" s="45" t="inlineStr">
        <is>
          <t>AGREE</t>
        </is>
      </c>
      <c r="BB39" s="37" t="n">
        <v>2.3</v>
      </c>
      <c r="BC39" s="45" t="inlineStr">
        <is>
          <t>MATCH</t>
        </is>
      </c>
      <c r="BD39" s="45" t="inlineStr">
        <is>
          <t>Y</t>
        </is>
      </c>
      <c r="BE39" s="45" t="inlineStr">
        <is>
          <t>BUILD</t>
        </is>
      </c>
    </row>
    <row r="40" ht="15" customHeight="1" s="35">
      <c r="A40" s="52">
        <f>D40&amp;"-"&amp;TEXT(U40,"00")&amp;"-"&amp;TEXT(N40,"00")</f>
        <v/>
      </c>
      <c r="B40" s="53" t="inlineStr">
        <is>
          <t>2404-16-20</t>
        </is>
      </c>
      <c r="C40" s="52">
        <f>A40</f>
        <v/>
      </c>
      <c r="D40" s="53" t="inlineStr">
        <is>
          <t>2404</t>
        </is>
      </c>
      <c r="E40" s="53" t="n">
        <v>64</v>
      </c>
      <c r="F40" s="53" t="inlineStr">
        <is>
          <t>https://parts.air-way.com/hydraulic-fittings/jic-and-beaded-hose-fittings/straight/2404-male-connector-series-64</t>
        </is>
      </c>
      <c r="G40" s="52">
        <f>"Male Connector, "&amp;T40&amp;" x "&amp;M40&amp;", "&amp;V40&amp;" x "&amp;O40</f>
        <v/>
      </c>
      <c r="H40" s="53" t="inlineStr">
        <is>
          <t>JIC 37 &amp; Beaded Hose</t>
        </is>
      </c>
      <c r="I40" s="53" t="inlineStr">
        <is>
          <t>Carbon Steel</t>
        </is>
      </c>
      <c r="J40" s="53" t="inlineStr">
        <is>
          <t>Straight</t>
        </is>
      </c>
      <c r="K40" s="53" t="n">
        <v>2</v>
      </c>
      <c r="L40" s="53" t="inlineStr">
        <is>
          <t>A</t>
        </is>
      </c>
      <c r="M40" s="53" t="inlineStr">
        <is>
          <t>Male Pipe NPTF</t>
        </is>
      </c>
      <c r="N40" s="53" t="n">
        <v>20</v>
      </c>
      <c r="O40" s="53" t="inlineStr">
        <is>
          <t>1 1/4-11 1/2</t>
        </is>
      </c>
      <c r="P40" s="53" t="inlineStr">
        <is>
          <t>NPTF Dryseal</t>
        </is>
      </c>
      <c r="Q40" s="53" t="inlineStr">
        <is>
          <t>ASME B1.20.3</t>
        </is>
      </c>
      <c r="R40" s="53" t="inlineStr">
        <is>
          <t>N/A (tapered thread seal)</t>
        </is>
      </c>
      <c r="S40" s="53" t="inlineStr">
        <is>
          <t>B</t>
        </is>
      </c>
      <c r="T40" s="53" t="inlineStr">
        <is>
          <t>Male 37 deg Flare (JIC)</t>
        </is>
      </c>
      <c r="U40" s="53" t="n">
        <v>16</v>
      </c>
      <c r="V40" s="53" t="inlineStr">
        <is>
          <t>1 5/16-12</t>
        </is>
      </c>
      <c r="W40" s="53" t="inlineStr">
        <is>
          <t>UN/UNF-2A</t>
        </is>
      </c>
      <c r="X40" s="53" t="inlineStr">
        <is>
          <t>SAE J514 / J514-1</t>
        </is>
      </c>
      <c r="Y40" s="53" t="n">
        <v>37</v>
      </c>
      <c r="Z40" s="53" t="n">
        <v>2.4</v>
      </c>
      <c r="AA40" s="53" t="n">
        <v>1.69</v>
      </c>
      <c r="AB40" s="53" t="n">
        <v>0.84</v>
      </c>
      <c r="AC40" s="53" t="n">
        <v>1.25</v>
      </c>
      <c r="AD40" s="54" t="n"/>
      <c r="AE40" s="54" t="n">
        <v>1.6875</v>
      </c>
      <c r="AF40" s="53" t="n">
        <v>0</v>
      </c>
      <c r="AG40" s="53" t="n">
        <v>1</v>
      </c>
      <c r="AH40" s="53" t="inlineStr">
        <is>
          <t>1</t>
        </is>
      </c>
      <c r="AI40" s="54" t="n"/>
      <c r="AJ40" s="54" t="n"/>
      <c r="AK40" s="54" t="n"/>
      <c r="AL40" s="54" t="n"/>
      <c r="AM40" s="54" t="n"/>
      <c r="AN40" s="53" t="inlineStr">
        <is>
          <t>psi</t>
        </is>
      </c>
      <c r="AO40" s="54" t="n"/>
      <c r="AP40" s="54" t="n"/>
      <c r="AQ40" s="52">
        <f>SUBSTITUTE(A40,"/","_")</f>
        <v/>
      </c>
      <c r="AR40" s="52">
        <f>AQ40&amp;".pdf"</f>
        <v/>
      </c>
      <c r="AS40" s="52">
        <f>AQ40&amp;".step"</f>
        <v/>
      </c>
      <c r="AT40" s="53" t="inlineStr">
        <is>
          <t>ASSUMED</t>
        </is>
      </c>
      <c r="AU40" s="53" t="inlineStr">
        <is>
          <t>MATCH (L only)</t>
        </is>
      </c>
      <c r="AV40" s="53" t="inlineStr">
        <is>
          <t>Hex from Parker Cat4300 only - single source, not cross-checked.</t>
        </is>
      </c>
      <c r="AW40" s="53" t="inlineStr">
        <is>
          <t>Material/finish/pressure NOT published by Air-Way or OMi - awaiting client input</t>
        </is>
      </c>
      <c r="AX40" s="37" t="inlineStr">
        <is>
          <t>1 11/16</t>
        </is>
      </c>
      <c r="AY40" s="37" t="n"/>
      <c r="AZ40" s="37" t="n"/>
      <c r="BA40" s="44" t="inlineStr">
        <is>
          <t>SINGLE SOURCE</t>
        </is>
      </c>
      <c r="BB40" s="37" t="n">
        <v>2.4</v>
      </c>
      <c r="BC40" s="45" t="inlineStr">
        <is>
          <t>MATCH</t>
        </is>
      </c>
      <c r="BD40" s="45" t="inlineStr">
        <is>
          <t>Y</t>
        </is>
      </c>
      <c r="BE40" s="45" t="inlineStr">
        <is>
          <t>BUILD</t>
        </is>
      </c>
    </row>
    <row r="41" ht="15" customHeight="1" s="35">
      <c r="A41" s="52">
        <f>D41&amp;"-"&amp;TEXT(U41,"00")&amp;"-"&amp;TEXT(N41,"00")</f>
        <v/>
      </c>
      <c r="B41" s="53" t="inlineStr">
        <is>
          <t>2404-16-24</t>
        </is>
      </c>
      <c r="C41" s="52">
        <f>A41</f>
        <v/>
      </c>
      <c r="D41" s="53" t="inlineStr">
        <is>
          <t>2404</t>
        </is>
      </c>
      <c r="E41" s="53" t="n">
        <v>64</v>
      </c>
      <c r="F41" s="53" t="inlineStr">
        <is>
          <t>https://parts.air-way.com/hydraulic-fittings/jic-and-beaded-hose-fittings/straight/2404-male-connector-series-64</t>
        </is>
      </c>
      <c r="G41" s="52">
        <f>"Male Connector, "&amp;T41&amp;" x "&amp;M41&amp;", "&amp;V41&amp;" x "&amp;O41</f>
        <v/>
      </c>
      <c r="H41" s="53" t="inlineStr">
        <is>
          <t>JIC 37 &amp; Beaded Hose</t>
        </is>
      </c>
      <c r="I41" s="53" t="inlineStr">
        <is>
          <t>Carbon Steel</t>
        </is>
      </c>
      <c r="J41" s="53" t="inlineStr">
        <is>
          <t>Straight</t>
        </is>
      </c>
      <c r="K41" s="53" t="n">
        <v>2</v>
      </c>
      <c r="L41" s="53" t="inlineStr">
        <is>
          <t>A</t>
        </is>
      </c>
      <c r="M41" s="53" t="inlineStr">
        <is>
          <t>Male Pipe NPTF</t>
        </is>
      </c>
      <c r="N41" s="53" t="n">
        <v>24</v>
      </c>
      <c r="O41" s="53" t="inlineStr">
        <is>
          <t>1 1/2-11 1/2</t>
        </is>
      </c>
      <c r="P41" s="53" t="inlineStr">
        <is>
          <t>NPTF Dryseal</t>
        </is>
      </c>
      <c r="Q41" s="53" t="inlineStr">
        <is>
          <t>ASME B1.20.3</t>
        </is>
      </c>
      <c r="R41" s="53" t="inlineStr">
        <is>
          <t>N/A (tapered thread seal)</t>
        </is>
      </c>
      <c r="S41" s="53" t="inlineStr">
        <is>
          <t>B</t>
        </is>
      </c>
      <c r="T41" s="53" t="inlineStr">
        <is>
          <t>Male 37 deg Flare (JIC)</t>
        </is>
      </c>
      <c r="U41" s="53" t="n">
        <v>16</v>
      </c>
      <c r="V41" s="53" t="inlineStr">
        <is>
          <t>1 5/16-12</t>
        </is>
      </c>
      <c r="W41" s="53" t="inlineStr">
        <is>
          <t>UN/UNF-2A</t>
        </is>
      </c>
      <c r="X41" s="53" t="inlineStr">
        <is>
          <t>SAE J514 / J514-1</t>
        </is>
      </c>
      <c r="Y41" s="53" t="n">
        <v>37</v>
      </c>
      <c r="Z41" s="53" t="n">
        <v>2.51</v>
      </c>
      <c r="AA41" s="53" t="n">
        <v>2</v>
      </c>
      <c r="AB41" s="53" t="n">
        <v>0.84</v>
      </c>
      <c r="AC41" s="53" t="n">
        <v>1.5</v>
      </c>
      <c r="AD41" s="54" t="n"/>
      <c r="AE41" s="54" t="n">
        <v>2</v>
      </c>
      <c r="AF41" s="53" t="n">
        <v>0</v>
      </c>
      <c r="AG41" s="53" t="n">
        <v>1</v>
      </c>
      <c r="AH41" s="53" t="inlineStr">
        <is>
          <t>1</t>
        </is>
      </c>
      <c r="AI41" s="54" t="n"/>
      <c r="AJ41" s="54" t="n"/>
      <c r="AK41" s="54" t="n"/>
      <c r="AL41" s="54" t="n"/>
      <c r="AM41" s="54" t="n"/>
      <c r="AN41" s="53" t="inlineStr">
        <is>
          <t>psi</t>
        </is>
      </c>
      <c r="AO41" s="54" t="n"/>
      <c r="AP41" s="54" t="n"/>
      <c r="AQ41" s="52">
        <f>SUBSTITUTE(A41,"/","_")</f>
        <v/>
      </c>
      <c r="AR41" s="52">
        <f>AQ41&amp;".pdf"</f>
        <v/>
      </c>
      <c r="AS41" s="52">
        <f>AQ41&amp;".step"</f>
        <v/>
      </c>
      <c r="AT41" s="53" t="inlineStr">
        <is>
          <t>ASSUMED</t>
        </is>
      </c>
      <c r="AU41" s="53" t="inlineStr">
        <is>
          <t>MATCH</t>
        </is>
      </c>
      <c r="AV41" s="53" t="inlineStr">
        <is>
          <t>Hex from Parker Cat4300 only - single source, not cross-checked.</t>
        </is>
      </c>
      <c r="AW41" s="53" t="inlineStr">
        <is>
          <t>Material/finish/pressure NOT published by Air-Way or OMi - awaiting client input</t>
        </is>
      </c>
      <c r="AX41" s="37" t="inlineStr">
        <is>
          <t>2</t>
        </is>
      </c>
      <c r="AY41" s="37" t="n"/>
      <c r="AZ41" s="37" t="n"/>
      <c r="BA41" s="44" t="inlineStr">
        <is>
          <t>SINGLE SOURCE</t>
        </is>
      </c>
      <c r="BB41" s="37" t="n">
        <v>2.5</v>
      </c>
      <c r="BC41" s="47" t="inlineStr">
        <is>
          <t>DIVERGENT (2.51 vs 2.5)</t>
        </is>
      </c>
      <c r="BD41" s="45" t="inlineStr">
        <is>
          <t>Y</t>
        </is>
      </c>
      <c r="BE41" s="45" t="inlineStr">
        <is>
          <t>BUILD</t>
        </is>
      </c>
    </row>
    <row r="42" ht="15" customHeight="1" s="35">
      <c r="A42" s="52">
        <f>D42&amp;"-"&amp;TEXT(U42,"00")&amp;"-"&amp;TEXT(N42,"00")</f>
        <v/>
      </c>
      <c r="B42" s="53" t="inlineStr">
        <is>
          <t>2404-20-12</t>
        </is>
      </c>
      <c r="C42" s="52">
        <f>A42</f>
        <v/>
      </c>
      <c r="D42" s="53" t="inlineStr">
        <is>
          <t>2404</t>
        </is>
      </c>
      <c r="E42" s="53" t="n">
        <v>64</v>
      </c>
      <c r="F42" s="53" t="inlineStr">
        <is>
          <t>https://parts.air-way.com/hydraulic-fittings/jic-and-beaded-hose-fittings/straight/2404-male-connector-series-64</t>
        </is>
      </c>
      <c r="G42" s="52">
        <f>"Male Connector, "&amp;T42&amp;" x "&amp;M42&amp;", "&amp;V42&amp;" x "&amp;O42</f>
        <v/>
      </c>
      <c r="H42" s="53" t="inlineStr">
        <is>
          <t>JIC 37 &amp; Beaded Hose</t>
        </is>
      </c>
      <c r="I42" s="53" t="inlineStr">
        <is>
          <t>Carbon Steel</t>
        </is>
      </c>
      <c r="J42" s="53" t="inlineStr">
        <is>
          <t>Straight</t>
        </is>
      </c>
      <c r="K42" s="53" t="n">
        <v>2</v>
      </c>
      <c r="L42" s="53" t="inlineStr">
        <is>
          <t>A</t>
        </is>
      </c>
      <c r="M42" s="53" t="inlineStr">
        <is>
          <t>Male Pipe NPTF</t>
        </is>
      </c>
      <c r="N42" s="53" t="n">
        <v>12</v>
      </c>
      <c r="O42" s="53" t="inlineStr">
        <is>
          <t>3/4-14</t>
        </is>
      </c>
      <c r="P42" s="53" t="inlineStr">
        <is>
          <t>NPTF Dryseal</t>
        </is>
      </c>
      <c r="Q42" s="53" t="inlineStr">
        <is>
          <t>ASME B1.20.3</t>
        </is>
      </c>
      <c r="R42" s="53" t="inlineStr">
        <is>
          <t>N/A (tapered thread seal)</t>
        </is>
      </c>
      <c r="S42" s="53" t="inlineStr">
        <is>
          <t>B</t>
        </is>
      </c>
      <c r="T42" s="53" t="inlineStr">
        <is>
          <t>Male 37 deg Flare (JIC)</t>
        </is>
      </c>
      <c r="U42" s="53" t="n">
        <v>20</v>
      </c>
      <c r="V42" s="53" t="inlineStr">
        <is>
          <t>1 5/8-12</t>
        </is>
      </c>
      <c r="W42" s="53" t="inlineStr">
        <is>
          <t>UN/UNF-2A</t>
        </is>
      </c>
      <c r="X42" s="53" t="inlineStr">
        <is>
          <t>SAE J514 / J514-1</t>
        </is>
      </c>
      <c r="Y42" s="53" t="n">
        <v>37</v>
      </c>
      <c r="Z42" s="53" t="n">
        <v>2.23</v>
      </c>
      <c r="AA42" s="53" t="n">
        <v>1.69</v>
      </c>
      <c r="AB42" s="53" t="n">
        <v>1.08</v>
      </c>
      <c r="AC42" s="53" t="n">
        <v>0.72</v>
      </c>
      <c r="AD42" s="54" t="n"/>
      <c r="AE42" s="54" t="n"/>
      <c r="AF42" s="53" t="n">
        <v>0</v>
      </c>
      <c r="AG42" s="53" t="n">
        <v>1.25</v>
      </c>
      <c r="AH42" s="53" t="inlineStr">
        <is>
          <t>1 1/4</t>
        </is>
      </c>
      <c r="AI42" s="54" t="n"/>
      <c r="AJ42" s="54" t="n"/>
      <c r="AK42" s="54" t="n"/>
      <c r="AL42" s="54" t="n"/>
      <c r="AM42" s="54" t="n"/>
      <c r="AN42" s="53" t="inlineStr">
        <is>
          <t>psi</t>
        </is>
      </c>
      <c r="AO42" s="54" t="n"/>
      <c r="AP42" s="54" t="n"/>
      <c r="AQ42" s="52">
        <f>SUBSTITUTE(A42,"/","_")</f>
        <v/>
      </c>
      <c r="AR42" s="52">
        <f>AQ42&amp;".pdf"</f>
        <v/>
      </c>
      <c r="AS42" s="52">
        <f>AQ42&amp;".step"</f>
        <v/>
      </c>
      <c r="AT42" s="53" t="inlineStr">
        <is>
          <t>MISSING</t>
        </is>
      </c>
      <c r="AU42" s="53" t="inlineStr">
        <is>
          <t>MATCH</t>
        </is>
      </c>
      <c r="AV42" s="53" t="inlineStr">
        <is>
          <t>SAE J514 JIC dash/thread chart (gageref.com), cross-checked vs source page</t>
        </is>
      </c>
      <c r="AW42" s="53" t="inlineStr">
        <is>
          <t>Material/finish/pressure NOT published by Air-Way or OMi - awaiting client input</t>
        </is>
      </c>
      <c r="AX42" s="37" t="n"/>
      <c r="AY42" s="37" t="n"/>
      <c r="AZ42" s="37" t="n"/>
      <c r="BA42" s="44" t="inlineStr">
        <is>
          <t>NO DATA</t>
        </is>
      </c>
      <c r="BB42" s="37" t="n"/>
      <c r="BC42" s="44" t="inlineStr">
        <is>
          <t>NO DATA</t>
        </is>
      </c>
      <c r="BD42" s="45" t="inlineStr">
        <is>
          <t>Y</t>
        </is>
      </c>
      <c r="BE42" s="45" t="inlineStr">
        <is>
          <t>BUILD</t>
        </is>
      </c>
    </row>
    <row r="43" ht="15" customHeight="1" s="35">
      <c r="A43" s="52">
        <f>D43&amp;"-"&amp;TEXT(U43,"00")&amp;"-"&amp;TEXT(N43,"00")</f>
        <v/>
      </c>
      <c r="B43" s="53" t="inlineStr">
        <is>
          <t>2404-20-16</t>
        </is>
      </c>
      <c r="C43" s="52">
        <f>A43</f>
        <v/>
      </c>
      <c r="D43" s="53" t="inlineStr">
        <is>
          <t>2404</t>
        </is>
      </c>
      <c r="E43" s="53" t="n">
        <v>64</v>
      </c>
      <c r="F43" s="53" t="inlineStr">
        <is>
          <t>https://parts.air-way.com/hydraulic-fittings/jic-and-beaded-hose-fittings/straight/2404-male-connector-series-64</t>
        </is>
      </c>
      <c r="G43" s="52">
        <f>"Male Connector, "&amp;T43&amp;" x "&amp;M43&amp;", "&amp;V43&amp;" x "&amp;O43</f>
        <v/>
      </c>
      <c r="H43" s="53" t="inlineStr">
        <is>
          <t>JIC 37 &amp; Beaded Hose</t>
        </is>
      </c>
      <c r="I43" s="53" t="inlineStr">
        <is>
          <t>Carbon Steel</t>
        </is>
      </c>
      <c r="J43" s="53" t="inlineStr">
        <is>
          <t>Straight</t>
        </is>
      </c>
      <c r="K43" s="53" t="n">
        <v>2</v>
      </c>
      <c r="L43" s="53" t="inlineStr">
        <is>
          <t>A</t>
        </is>
      </c>
      <c r="M43" s="53" t="inlineStr">
        <is>
          <t>Male Pipe NPTF</t>
        </is>
      </c>
      <c r="N43" s="53" t="n">
        <v>16</v>
      </c>
      <c r="O43" s="53" t="inlineStr">
        <is>
          <t>1-11 1/2</t>
        </is>
      </c>
      <c r="P43" s="53" t="inlineStr">
        <is>
          <t>NPTF Dryseal</t>
        </is>
      </c>
      <c r="Q43" s="53" t="inlineStr">
        <is>
          <t>ASME B1.20.3</t>
        </is>
      </c>
      <c r="R43" s="53" t="inlineStr">
        <is>
          <t>N/A (tapered thread seal)</t>
        </is>
      </c>
      <c r="S43" s="53" t="inlineStr">
        <is>
          <t>B</t>
        </is>
      </c>
      <c r="T43" s="53" t="inlineStr">
        <is>
          <t>Male 37 deg Flare (JIC)</t>
        </is>
      </c>
      <c r="U43" s="53" t="n">
        <v>20</v>
      </c>
      <c r="V43" s="53" t="inlineStr">
        <is>
          <t>1 5/8-12</t>
        </is>
      </c>
      <c r="W43" s="53" t="inlineStr">
        <is>
          <t>UN/UNF-2A</t>
        </is>
      </c>
      <c r="X43" s="53" t="inlineStr">
        <is>
          <t>SAE J514 / J514-1</t>
        </is>
      </c>
      <c r="Y43" s="53" t="n">
        <v>37</v>
      </c>
      <c r="Z43" s="53" t="n">
        <v>2.42</v>
      </c>
      <c r="AA43" s="53" t="n">
        <v>1.69</v>
      </c>
      <c r="AB43" s="53" t="n">
        <v>1.08</v>
      </c>
      <c r="AC43" s="53" t="n">
        <v>0.9399999999999999</v>
      </c>
      <c r="AD43" s="54" t="n"/>
      <c r="AE43" s="54" t="n">
        <v>1.6875</v>
      </c>
      <c r="AF43" s="53" t="n">
        <v>0</v>
      </c>
      <c r="AG43" s="53" t="n">
        <v>1.25</v>
      </c>
      <c r="AH43" s="53" t="inlineStr">
        <is>
          <t>1 1/4</t>
        </is>
      </c>
      <c r="AI43" s="54" t="n"/>
      <c r="AJ43" s="54" t="n"/>
      <c r="AK43" s="54" t="n"/>
      <c r="AL43" s="54" t="n"/>
      <c r="AM43" s="54" t="n"/>
      <c r="AN43" s="53" t="inlineStr">
        <is>
          <t>psi</t>
        </is>
      </c>
      <c r="AO43" s="54" t="n"/>
      <c r="AP43" s="54" t="n"/>
      <c r="AQ43" s="52">
        <f>SUBSTITUTE(A43,"/","_")</f>
        <v/>
      </c>
      <c r="AR43" s="52">
        <f>AQ43&amp;".pdf"</f>
        <v/>
      </c>
      <c r="AS43" s="52">
        <f>AQ43&amp;".step"</f>
        <v/>
      </c>
      <c r="AT43" s="53" t="inlineStr">
        <is>
          <t>ASSUMED</t>
        </is>
      </c>
      <c r="AU43" s="53" t="inlineStr">
        <is>
          <t>MATCH (L only)</t>
        </is>
      </c>
      <c r="AV43" s="53" t="inlineStr">
        <is>
          <t>Hex from Parker Cat4300 only - single source, not cross-checked.</t>
        </is>
      </c>
      <c r="AW43" s="53" t="inlineStr">
        <is>
          <t>Material/finish/pressure NOT published by Air-Way or OMi - awaiting client input</t>
        </is>
      </c>
      <c r="AX43" s="37" t="inlineStr">
        <is>
          <t>1 11/16</t>
        </is>
      </c>
      <c r="AY43" s="37" t="n"/>
      <c r="AZ43" s="37" t="n"/>
      <c r="BA43" s="44" t="inlineStr">
        <is>
          <t>SINGLE SOURCE</t>
        </is>
      </c>
      <c r="BB43" s="37" t="n">
        <v>2.42</v>
      </c>
      <c r="BC43" s="45" t="inlineStr">
        <is>
          <t>MATCH</t>
        </is>
      </c>
      <c r="BD43" s="45" t="inlineStr">
        <is>
          <t>Y</t>
        </is>
      </c>
      <c r="BE43" s="45" t="inlineStr">
        <is>
          <t>BUILD</t>
        </is>
      </c>
    </row>
    <row r="44" ht="15" customHeight="1" s="35">
      <c r="A44" s="52">
        <f>D44&amp;"-"&amp;TEXT(U44,"00")&amp;"-"&amp;TEXT(N44,"00")</f>
        <v/>
      </c>
      <c r="B44" s="53" t="inlineStr">
        <is>
          <t>2404-20-20</t>
        </is>
      </c>
      <c r="C44" s="52">
        <f>A44</f>
        <v/>
      </c>
      <c r="D44" s="53" t="inlineStr">
        <is>
          <t>2404</t>
        </is>
      </c>
      <c r="E44" s="53" t="n">
        <v>64</v>
      </c>
      <c r="F44" s="53" t="inlineStr">
        <is>
          <t>https://parts.air-way.com/hydraulic-fittings/jic-and-beaded-hose-fittings/straight/2404-male-connector-series-64</t>
        </is>
      </c>
      <c r="G44" s="52">
        <f>"Male Connector, "&amp;T44&amp;" x "&amp;M44&amp;", "&amp;V44&amp;" x "&amp;O44</f>
        <v/>
      </c>
      <c r="H44" s="53" t="inlineStr">
        <is>
          <t>JIC 37 &amp; Beaded Hose</t>
        </is>
      </c>
      <c r="I44" s="53" t="inlineStr">
        <is>
          <t>Carbon Steel</t>
        </is>
      </c>
      <c r="J44" s="53" t="inlineStr">
        <is>
          <t>Straight</t>
        </is>
      </c>
      <c r="K44" s="53" t="n">
        <v>2</v>
      </c>
      <c r="L44" s="53" t="inlineStr">
        <is>
          <t>A</t>
        </is>
      </c>
      <c r="M44" s="53" t="inlineStr">
        <is>
          <t>Male Pipe NPTF</t>
        </is>
      </c>
      <c r="N44" s="53" t="n">
        <v>20</v>
      </c>
      <c r="O44" s="53" t="inlineStr">
        <is>
          <t>1 1/4-11 1/2</t>
        </is>
      </c>
      <c r="P44" s="53" t="inlineStr">
        <is>
          <t>NPTF Dryseal</t>
        </is>
      </c>
      <c r="Q44" s="53" t="inlineStr">
        <is>
          <t>ASME B1.20.3</t>
        </is>
      </c>
      <c r="R44" s="53" t="inlineStr">
        <is>
          <t>N/A (tapered thread seal)</t>
        </is>
      </c>
      <c r="S44" s="53" t="inlineStr">
        <is>
          <t>B</t>
        </is>
      </c>
      <c r="T44" s="53" t="inlineStr">
        <is>
          <t>Male 37 deg Flare (JIC)</t>
        </is>
      </c>
      <c r="U44" s="53" t="n">
        <v>20</v>
      </c>
      <c r="V44" s="53" t="inlineStr">
        <is>
          <t>1 5/8-12</t>
        </is>
      </c>
      <c r="W44" s="53" t="inlineStr">
        <is>
          <t>UN/UNF-2A</t>
        </is>
      </c>
      <c r="X44" s="53" t="inlineStr">
        <is>
          <t>SAE J514 / J514-1</t>
        </is>
      </c>
      <c r="Y44" s="53" t="n">
        <v>37</v>
      </c>
      <c r="Z44" s="53" t="n">
        <v>2.45</v>
      </c>
      <c r="AA44" s="53" t="n">
        <v>1.69</v>
      </c>
      <c r="AB44" s="53" t="n">
        <v>1.08</v>
      </c>
      <c r="AC44" s="53" t="n">
        <v>1.25</v>
      </c>
      <c r="AD44" s="54" t="n"/>
      <c r="AE44" s="55" t="n">
        <v>1.6875</v>
      </c>
      <c r="AF44" s="53" t="n">
        <v>0</v>
      </c>
      <c r="AG44" s="53" t="n">
        <v>1.25</v>
      </c>
      <c r="AH44" s="53" t="inlineStr">
        <is>
          <t>1 1/4</t>
        </is>
      </c>
      <c r="AI44" s="54" t="n"/>
      <c r="AJ44" s="54" t="n"/>
      <c r="AK44" s="54" t="n"/>
      <c r="AL44" s="54" t="n"/>
      <c r="AM44" s="54" t="n"/>
      <c r="AN44" s="53" t="inlineStr">
        <is>
          <t>psi</t>
        </is>
      </c>
      <c r="AO44" s="54" t="n"/>
      <c r="AP44" s="54" t="n"/>
      <c r="AQ44" s="52">
        <f>SUBSTITUTE(A44,"/","_")</f>
        <v/>
      </c>
      <c r="AR44" s="52">
        <f>AQ44&amp;".pdf"</f>
        <v/>
      </c>
      <c r="AS44" s="52">
        <f>AQ44&amp;".step"</f>
        <v/>
      </c>
      <c r="AT44" s="53" t="inlineStr">
        <is>
          <t>VERIFIED</t>
        </is>
      </c>
      <c r="AU44" s="53" t="inlineStr">
        <is>
          <t>MATCH</t>
        </is>
      </c>
      <c r="AV44" s="53" t="inlineStr">
        <is>
          <t>L: Air-Way vs Parker Cat4300. Hex: 2+ independent sources agree.</t>
        </is>
      </c>
      <c r="AW44" s="53" t="inlineStr">
        <is>
          <t>Material/finish/pressure NOT published by Air-Way or OMi - awaiting client input</t>
        </is>
      </c>
      <c r="AX44" s="37" t="inlineStr">
        <is>
          <t>1 11/16</t>
        </is>
      </c>
      <c r="AY44" s="37" t="inlineStr">
        <is>
          <t>1 11/16</t>
        </is>
      </c>
      <c r="AZ44" s="37" t="n"/>
      <c r="BA44" s="45" t="inlineStr">
        <is>
          <t>AGREE</t>
        </is>
      </c>
      <c r="BB44" s="37" t="n">
        <v>2.45</v>
      </c>
      <c r="BC44" s="45" t="inlineStr">
        <is>
          <t>MATCH</t>
        </is>
      </c>
      <c r="BD44" s="45" t="inlineStr">
        <is>
          <t>Y</t>
        </is>
      </c>
      <c r="BE44" s="45" t="inlineStr">
        <is>
          <t>BUILD</t>
        </is>
      </c>
    </row>
    <row r="45" ht="15" customHeight="1" s="35">
      <c r="A45" s="52">
        <f>D45&amp;"-"&amp;TEXT(U45,"00")&amp;"-"&amp;TEXT(N45,"00")</f>
        <v/>
      </c>
      <c r="B45" s="53" t="inlineStr">
        <is>
          <t>2404-20-24</t>
        </is>
      </c>
      <c r="C45" s="52">
        <f>A45</f>
        <v/>
      </c>
      <c r="D45" s="53" t="inlineStr">
        <is>
          <t>2404</t>
        </is>
      </c>
      <c r="E45" s="53" t="n">
        <v>64</v>
      </c>
      <c r="F45" s="53" t="inlineStr">
        <is>
          <t>https://parts.air-way.com/hydraulic-fittings/jic-and-beaded-hose-fittings/straight/2404-male-connector-series-64</t>
        </is>
      </c>
      <c r="G45" s="52">
        <f>"Male Connector, "&amp;T45&amp;" x "&amp;M45&amp;", "&amp;V45&amp;" x "&amp;O45</f>
        <v/>
      </c>
      <c r="H45" s="53" t="inlineStr">
        <is>
          <t>JIC 37 &amp; Beaded Hose</t>
        </is>
      </c>
      <c r="I45" s="53" t="inlineStr">
        <is>
          <t>Carbon Steel</t>
        </is>
      </c>
      <c r="J45" s="53" t="inlineStr">
        <is>
          <t>Straight</t>
        </is>
      </c>
      <c r="K45" s="53" t="n">
        <v>2</v>
      </c>
      <c r="L45" s="53" t="inlineStr">
        <is>
          <t>A</t>
        </is>
      </c>
      <c r="M45" s="53" t="inlineStr">
        <is>
          <t>Male Pipe NPTF</t>
        </is>
      </c>
      <c r="N45" s="53" t="n">
        <v>24</v>
      </c>
      <c r="O45" s="53" t="inlineStr">
        <is>
          <t>1 1/2-11 1/2</t>
        </is>
      </c>
      <c r="P45" s="53" t="inlineStr">
        <is>
          <t>NPTF Dryseal</t>
        </is>
      </c>
      <c r="Q45" s="53" t="inlineStr">
        <is>
          <t>ASME B1.20.3</t>
        </is>
      </c>
      <c r="R45" s="53" t="inlineStr">
        <is>
          <t>N/A (tapered thread seal)</t>
        </is>
      </c>
      <c r="S45" s="53" t="inlineStr">
        <is>
          <t>B</t>
        </is>
      </c>
      <c r="T45" s="53" t="inlineStr">
        <is>
          <t>Male 37 deg Flare (JIC)</t>
        </is>
      </c>
      <c r="U45" s="53" t="n">
        <v>20</v>
      </c>
      <c r="V45" s="53" t="inlineStr">
        <is>
          <t>1 5/8-12</t>
        </is>
      </c>
      <c r="W45" s="53" t="inlineStr">
        <is>
          <t>UN/UNF-2A</t>
        </is>
      </c>
      <c r="X45" s="53" t="inlineStr">
        <is>
          <t>SAE J514 / J514-1</t>
        </is>
      </c>
      <c r="Y45" s="53" t="n">
        <v>37</v>
      </c>
      <c r="Z45" s="53" t="n">
        <v>2.55</v>
      </c>
      <c r="AA45" s="53" t="n">
        <v>2</v>
      </c>
      <c r="AB45" s="53" t="n">
        <v>1.08</v>
      </c>
      <c r="AC45" s="53" t="n">
        <v>1.5</v>
      </c>
      <c r="AD45" s="54" t="n"/>
      <c r="AE45" s="54" t="n">
        <v>2</v>
      </c>
      <c r="AF45" s="53" t="n">
        <v>0</v>
      </c>
      <c r="AG45" s="53" t="n">
        <v>1.25</v>
      </c>
      <c r="AH45" s="53" t="inlineStr">
        <is>
          <t>1 1/4</t>
        </is>
      </c>
      <c r="AI45" s="54" t="n"/>
      <c r="AJ45" s="54" t="n"/>
      <c r="AK45" s="54" t="n"/>
      <c r="AL45" s="54" t="n"/>
      <c r="AM45" s="54" t="n"/>
      <c r="AN45" s="53" t="inlineStr">
        <is>
          <t>psi</t>
        </is>
      </c>
      <c r="AO45" s="54" t="n"/>
      <c r="AP45" s="54" t="n"/>
      <c r="AQ45" s="52">
        <f>SUBSTITUTE(A45,"/","_")</f>
        <v/>
      </c>
      <c r="AR45" s="52">
        <f>AQ45&amp;".pdf"</f>
        <v/>
      </c>
      <c r="AS45" s="52">
        <f>AQ45&amp;".step"</f>
        <v/>
      </c>
      <c r="AT45" s="53" t="inlineStr">
        <is>
          <t>ASSUMED</t>
        </is>
      </c>
      <c r="AU45" s="53" t="inlineStr">
        <is>
          <t>MATCH (L only)</t>
        </is>
      </c>
      <c r="AV45" s="53" t="inlineStr">
        <is>
          <t>Hex from Parker Cat4300 only - single source, not cross-checked.</t>
        </is>
      </c>
      <c r="AW45" s="53" t="inlineStr">
        <is>
          <t>Material/finish/pressure NOT published by Air-Way or OMi - awaiting client input</t>
        </is>
      </c>
      <c r="AX45" s="37" t="inlineStr">
        <is>
          <t>2</t>
        </is>
      </c>
      <c r="AY45" s="37" t="n"/>
      <c r="AZ45" s="37" t="n"/>
      <c r="BA45" s="44" t="inlineStr">
        <is>
          <t>SINGLE SOURCE</t>
        </is>
      </c>
      <c r="BB45" s="37" t="n">
        <v>2.55</v>
      </c>
      <c r="BC45" s="45" t="inlineStr">
        <is>
          <t>MATCH</t>
        </is>
      </c>
      <c r="BD45" s="45" t="inlineStr">
        <is>
          <t>Y</t>
        </is>
      </c>
      <c r="BE45" s="45" t="inlineStr">
        <is>
          <t>BUILD</t>
        </is>
      </c>
    </row>
    <row r="46" ht="15" customHeight="1" s="35">
      <c r="A46" s="52">
        <f>D46&amp;"-"&amp;TEXT(U46,"00")&amp;"-"&amp;TEXT(N46,"00")</f>
        <v/>
      </c>
      <c r="B46" s="53" t="inlineStr">
        <is>
          <t>2404-20-32</t>
        </is>
      </c>
      <c r="C46" s="52">
        <f>A46</f>
        <v/>
      </c>
      <c r="D46" s="53" t="inlineStr">
        <is>
          <t>2404</t>
        </is>
      </c>
      <c r="E46" s="53" t="n">
        <v>64</v>
      </c>
      <c r="F46" s="53" t="inlineStr">
        <is>
          <t>https://parts.air-way.com/hydraulic-fittings/jic-and-beaded-hose-fittings/straight/2404-male-connector-series-64</t>
        </is>
      </c>
      <c r="G46" s="52">
        <f>"Male Connector, "&amp;T46&amp;" x "&amp;M46&amp;", "&amp;V46&amp;" x "&amp;O46</f>
        <v/>
      </c>
      <c r="H46" s="53" t="inlineStr">
        <is>
          <t>JIC 37 &amp; Beaded Hose</t>
        </is>
      </c>
      <c r="I46" s="53" t="inlineStr">
        <is>
          <t>Carbon Steel</t>
        </is>
      </c>
      <c r="J46" s="53" t="inlineStr">
        <is>
          <t>Straight</t>
        </is>
      </c>
      <c r="K46" s="53" t="n">
        <v>2</v>
      </c>
      <c r="L46" s="53" t="inlineStr">
        <is>
          <t>A</t>
        </is>
      </c>
      <c r="M46" s="53" t="inlineStr">
        <is>
          <t>Male Pipe NPTF</t>
        </is>
      </c>
      <c r="N46" s="53" t="n">
        <v>32</v>
      </c>
      <c r="O46" s="53" t="inlineStr">
        <is>
          <t>2-11 1/2</t>
        </is>
      </c>
      <c r="P46" s="53" t="inlineStr">
        <is>
          <t>NPTF Dryseal</t>
        </is>
      </c>
      <c r="Q46" s="53" t="inlineStr">
        <is>
          <t>ASME B1.20.3</t>
        </is>
      </c>
      <c r="R46" s="53" t="inlineStr">
        <is>
          <t>N/A (tapered thread seal)</t>
        </is>
      </c>
      <c r="S46" s="53" t="inlineStr">
        <is>
          <t>B</t>
        </is>
      </c>
      <c r="T46" s="53" t="inlineStr">
        <is>
          <t>Male 37 deg Flare (JIC)</t>
        </is>
      </c>
      <c r="U46" s="53" t="n">
        <v>20</v>
      </c>
      <c r="V46" s="53" t="inlineStr">
        <is>
          <t>1 5/8-12</t>
        </is>
      </c>
      <c r="W46" s="53" t="inlineStr">
        <is>
          <t>UN/UNF-2A</t>
        </is>
      </c>
      <c r="X46" s="53" t="inlineStr">
        <is>
          <t>SAE J514 / J514-1</t>
        </is>
      </c>
      <c r="Y46" s="53" t="n">
        <v>37</v>
      </c>
      <c r="Z46" s="53" t="n">
        <v>2.73</v>
      </c>
      <c r="AA46" s="53" t="n">
        <v>2.5</v>
      </c>
      <c r="AB46" s="53" t="n">
        <v>1.08</v>
      </c>
      <c r="AC46" s="53" t="n">
        <v>1.94</v>
      </c>
      <c r="AD46" s="54" t="n"/>
      <c r="AE46" s="54" t="n"/>
      <c r="AF46" s="53" t="n">
        <v>0</v>
      </c>
      <c r="AG46" s="53" t="n">
        <v>1.25</v>
      </c>
      <c r="AH46" s="53" t="inlineStr">
        <is>
          <t>1 1/4</t>
        </is>
      </c>
      <c r="AI46" s="54" t="n"/>
      <c r="AJ46" s="54" t="n"/>
      <c r="AK46" s="54" t="n"/>
      <c r="AL46" s="54" t="n"/>
      <c r="AM46" s="54" t="n"/>
      <c r="AN46" s="53" t="inlineStr">
        <is>
          <t>psi</t>
        </is>
      </c>
      <c r="AO46" s="54" t="n"/>
      <c r="AP46" s="54" t="n"/>
      <c r="AQ46" s="52">
        <f>SUBSTITUTE(A46,"/","_")</f>
        <v/>
      </c>
      <c r="AR46" s="52">
        <f>AQ46&amp;".pdf"</f>
        <v/>
      </c>
      <c r="AS46" s="52">
        <f>AQ46&amp;".step"</f>
        <v/>
      </c>
      <c r="AT46" s="53" t="inlineStr">
        <is>
          <t>MISSING</t>
        </is>
      </c>
      <c r="AU46" s="53" t="inlineStr">
        <is>
          <t>MATCH</t>
        </is>
      </c>
      <c r="AV46" s="53" t="inlineStr">
        <is>
          <t>SAE J514 JIC dash/thread chart (gageref.com), cross-checked vs source page</t>
        </is>
      </c>
      <c r="AW46" s="53" t="inlineStr">
        <is>
          <t>Material/finish/pressure NOT published by Air-Way or OMi - awaiting client input</t>
        </is>
      </c>
      <c r="AX46" s="37" t="n"/>
      <c r="AY46" s="37" t="n"/>
      <c r="AZ46" s="37" t="n"/>
      <c r="BA46" s="44" t="inlineStr">
        <is>
          <t>NO DATA</t>
        </is>
      </c>
      <c r="BB46" s="37" t="n"/>
      <c r="BC46" s="44" t="inlineStr">
        <is>
          <t>NO DATA</t>
        </is>
      </c>
      <c r="BD46" s="45" t="inlineStr">
        <is>
          <t>Y</t>
        </is>
      </c>
      <c r="BE46" s="45" t="inlineStr">
        <is>
          <t>BUILD</t>
        </is>
      </c>
    </row>
    <row r="47" ht="15" customHeight="1" s="35">
      <c r="A47" s="52">
        <f>D47&amp;"-"&amp;TEXT(U47,"00")&amp;"-"&amp;TEXT(N47,"00")</f>
        <v/>
      </c>
      <c r="B47" s="53" t="inlineStr">
        <is>
          <t>2404-24-12</t>
        </is>
      </c>
      <c r="C47" s="52">
        <f>A47</f>
        <v/>
      </c>
      <c r="D47" s="53" t="inlineStr">
        <is>
          <t>2404</t>
        </is>
      </c>
      <c r="E47" s="53" t="n">
        <v>64</v>
      </c>
      <c r="F47" s="53" t="inlineStr">
        <is>
          <t>https://parts.air-way.com/hydraulic-fittings/jic-and-beaded-hose-fittings/straight/2404-male-connector-series-64</t>
        </is>
      </c>
      <c r="G47" s="52">
        <f>"Male Connector, "&amp;T47&amp;" x "&amp;M47&amp;", "&amp;V47&amp;" x "&amp;O47</f>
        <v/>
      </c>
      <c r="H47" s="53" t="inlineStr">
        <is>
          <t>JIC 37 &amp; Beaded Hose</t>
        </is>
      </c>
      <c r="I47" s="53" t="inlineStr">
        <is>
          <t>Carbon Steel</t>
        </is>
      </c>
      <c r="J47" s="53" t="inlineStr">
        <is>
          <t>Straight</t>
        </is>
      </c>
      <c r="K47" s="53" t="n">
        <v>2</v>
      </c>
      <c r="L47" s="53" t="inlineStr">
        <is>
          <t>A</t>
        </is>
      </c>
      <c r="M47" s="53" t="inlineStr">
        <is>
          <t>Male Pipe NPTF</t>
        </is>
      </c>
      <c r="N47" s="53" t="n">
        <v>12</v>
      </c>
      <c r="O47" s="53" t="inlineStr">
        <is>
          <t>3/4-14</t>
        </is>
      </c>
      <c r="P47" s="53" t="inlineStr">
        <is>
          <t>NPTF Dryseal</t>
        </is>
      </c>
      <c r="Q47" s="53" t="inlineStr">
        <is>
          <t>ASME B1.20.3</t>
        </is>
      </c>
      <c r="R47" s="53" t="inlineStr">
        <is>
          <t>N/A (tapered thread seal)</t>
        </is>
      </c>
      <c r="S47" s="53" t="inlineStr">
        <is>
          <t>B</t>
        </is>
      </c>
      <c r="T47" s="53" t="inlineStr">
        <is>
          <t>Male 37 deg Flare (JIC)</t>
        </is>
      </c>
      <c r="U47" s="53" t="n">
        <v>24</v>
      </c>
      <c r="V47" s="53" t="inlineStr">
        <is>
          <t>1 7/8-12</t>
        </is>
      </c>
      <c r="W47" s="53" t="inlineStr">
        <is>
          <t>UN/UNF-2A</t>
        </is>
      </c>
      <c r="X47" s="53" t="inlineStr">
        <is>
          <t>SAE J514 / J514-1</t>
        </is>
      </c>
      <c r="Y47" s="53" t="n">
        <v>37</v>
      </c>
      <c r="Z47" s="53" t="n">
        <v>2.43</v>
      </c>
      <c r="AA47" s="53" t="n">
        <v>2</v>
      </c>
      <c r="AB47" s="53" t="n">
        <v>1.32</v>
      </c>
      <c r="AC47" s="53" t="n">
        <v>0.72</v>
      </c>
      <c r="AD47" s="54" t="n"/>
      <c r="AE47" s="54" t="n"/>
      <c r="AF47" s="53" t="n">
        <v>0</v>
      </c>
      <c r="AG47" s="53" t="n">
        <v>1.5</v>
      </c>
      <c r="AH47" s="53" t="inlineStr">
        <is>
          <t>1 1/2</t>
        </is>
      </c>
      <c r="AI47" s="54" t="n"/>
      <c r="AJ47" s="54" t="n"/>
      <c r="AK47" s="54" t="n"/>
      <c r="AL47" s="54" t="n"/>
      <c r="AM47" s="54" t="n"/>
      <c r="AN47" s="53" t="inlineStr">
        <is>
          <t>psi</t>
        </is>
      </c>
      <c r="AO47" s="54" t="n"/>
      <c r="AP47" s="54" t="n"/>
      <c r="AQ47" s="52">
        <f>SUBSTITUTE(A47,"/","_")</f>
        <v/>
      </c>
      <c r="AR47" s="52">
        <f>AQ47&amp;".pdf"</f>
        <v/>
      </c>
      <c r="AS47" s="52">
        <f>AQ47&amp;".step"</f>
        <v/>
      </c>
      <c r="AT47" s="53" t="inlineStr">
        <is>
          <t>MISSING</t>
        </is>
      </c>
      <c r="AU47" s="53" t="inlineStr">
        <is>
          <t>MATCH</t>
        </is>
      </c>
      <c r="AV47" s="53" t="inlineStr">
        <is>
          <t>SAE J514 JIC dash/thread chart (gageref.com), cross-checked vs source page</t>
        </is>
      </c>
      <c r="AW47" s="53" t="inlineStr">
        <is>
          <t>NOT in the OMi carbon steel catalog - out of scope, do not model.</t>
        </is>
      </c>
      <c r="AX47" s="37" t="n"/>
      <c r="AY47" s="37" t="n"/>
      <c r="AZ47" s="37" t="n"/>
      <c r="BA47" s="44" t="inlineStr">
        <is>
          <t>NO DATA</t>
        </is>
      </c>
      <c r="BB47" s="37" t="n"/>
      <c r="BC47" s="44" t="inlineStr">
        <is>
          <t>NO DATA</t>
        </is>
      </c>
      <c r="BD47" s="47" t="inlineStr">
        <is>
          <t>N</t>
        </is>
      </c>
      <c r="BE47" s="47" t="inlineStr">
        <is>
          <t>DROP</t>
        </is>
      </c>
    </row>
    <row r="48" ht="15" customHeight="1" s="35">
      <c r="A48" s="52">
        <f>D48&amp;"-"&amp;TEXT(U48,"00")&amp;"-"&amp;TEXT(N48,"00")</f>
        <v/>
      </c>
      <c r="B48" s="53" t="inlineStr">
        <is>
          <t>2404-24-16</t>
        </is>
      </c>
      <c r="C48" s="52">
        <f>A48</f>
        <v/>
      </c>
      <c r="D48" s="53" t="inlineStr">
        <is>
          <t>2404</t>
        </is>
      </c>
      <c r="E48" s="53" t="n">
        <v>64</v>
      </c>
      <c r="F48" s="53" t="inlineStr">
        <is>
          <t>https://parts.air-way.com/hydraulic-fittings/jic-and-beaded-hose-fittings/straight/2404-male-connector-series-64</t>
        </is>
      </c>
      <c r="G48" s="52">
        <f>"Male Connector, "&amp;T48&amp;" x "&amp;M48&amp;", "&amp;V48&amp;" x "&amp;O48</f>
        <v/>
      </c>
      <c r="H48" s="53" t="inlineStr">
        <is>
          <t>JIC 37 &amp; Beaded Hose</t>
        </is>
      </c>
      <c r="I48" s="53" t="inlineStr">
        <is>
          <t>Carbon Steel</t>
        </is>
      </c>
      <c r="J48" s="53" t="inlineStr">
        <is>
          <t>Straight</t>
        </is>
      </c>
      <c r="K48" s="53" t="n">
        <v>2</v>
      </c>
      <c r="L48" s="53" t="inlineStr">
        <is>
          <t>A</t>
        </is>
      </c>
      <c r="M48" s="53" t="inlineStr">
        <is>
          <t>Male Pipe NPTF</t>
        </is>
      </c>
      <c r="N48" s="53" t="n">
        <v>16</v>
      </c>
      <c r="O48" s="53" t="inlineStr">
        <is>
          <t>1-11 1/2</t>
        </is>
      </c>
      <c r="P48" s="53" t="inlineStr">
        <is>
          <t>NPTF Dryseal</t>
        </is>
      </c>
      <c r="Q48" s="53" t="inlineStr">
        <is>
          <t>ASME B1.20.3</t>
        </is>
      </c>
      <c r="R48" s="53" t="inlineStr">
        <is>
          <t>N/A (tapered thread seal)</t>
        </is>
      </c>
      <c r="S48" s="53" t="inlineStr">
        <is>
          <t>B</t>
        </is>
      </c>
      <c r="T48" s="53" t="inlineStr">
        <is>
          <t>Male 37 deg Flare (JIC)</t>
        </is>
      </c>
      <c r="U48" s="53" t="n">
        <v>24</v>
      </c>
      <c r="V48" s="53" t="inlineStr">
        <is>
          <t>1 7/8-12</t>
        </is>
      </c>
      <c r="W48" s="53" t="inlineStr">
        <is>
          <t>UN/UNF-2A</t>
        </is>
      </c>
      <c r="X48" s="53" t="inlineStr">
        <is>
          <t>SAE J514 / J514-1</t>
        </is>
      </c>
      <c r="Y48" s="53" t="n">
        <v>37</v>
      </c>
      <c r="Z48" s="53" t="n">
        <v>2.62</v>
      </c>
      <c r="AA48" s="53" t="n">
        <v>2</v>
      </c>
      <c r="AB48" s="53" t="n">
        <v>1.31</v>
      </c>
      <c r="AC48" s="53" t="n">
        <v>0.9399999999999999</v>
      </c>
      <c r="AD48" s="54" t="n"/>
      <c r="AE48" s="54" t="n">
        <v>2</v>
      </c>
      <c r="AF48" s="53" t="n">
        <v>0</v>
      </c>
      <c r="AG48" s="53" t="n">
        <v>1.5</v>
      </c>
      <c r="AH48" s="53" t="inlineStr">
        <is>
          <t>1 1/2</t>
        </is>
      </c>
      <c r="AI48" s="54" t="n"/>
      <c r="AJ48" s="54" t="n"/>
      <c r="AK48" s="54" t="n"/>
      <c r="AL48" s="54" t="n"/>
      <c r="AM48" s="54" t="n"/>
      <c r="AN48" s="53" t="inlineStr">
        <is>
          <t>psi</t>
        </is>
      </c>
      <c r="AO48" s="54" t="n"/>
      <c r="AP48" s="54" t="n"/>
      <c r="AQ48" s="52">
        <f>SUBSTITUTE(A48,"/","_")</f>
        <v/>
      </c>
      <c r="AR48" s="52">
        <f>AQ48&amp;".pdf"</f>
        <v/>
      </c>
      <c r="AS48" s="52">
        <f>AQ48&amp;".step"</f>
        <v/>
      </c>
      <c r="AT48" s="53" t="inlineStr">
        <is>
          <t>ASSUMED</t>
        </is>
      </c>
      <c r="AU48" s="53" t="inlineStr">
        <is>
          <t>MATCH (L only)</t>
        </is>
      </c>
      <c r="AV48" s="53" t="inlineStr">
        <is>
          <t>Hex from Parker Cat4300 only - single source, not cross-checked.</t>
        </is>
      </c>
      <c r="AW48" s="53" t="inlineStr">
        <is>
          <t>Material/finish/pressure NOT published by Air-Way or OMi - awaiting client input</t>
        </is>
      </c>
      <c r="AX48" s="37" t="inlineStr">
        <is>
          <t>2</t>
        </is>
      </c>
      <c r="AY48" s="37" t="n"/>
      <c r="AZ48" s="37" t="n"/>
      <c r="BA48" s="44" t="inlineStr">
        <is>
          <t>SINGLE SOURCE</t>
        </is>
      </c>
      <c r="BB48" s="37" t="n">
        <v>2.62</v>
      </c>
      <c r="BC48" s="45" t="inlineStr">
        <is>
          <t>MATCH</t>
        </is>
      </c>
      <c r="BD48" s="45" t="inlineStr">
        <is>
          <t>Y</t>
        </is>
      </c>
      <c r="BE48" s="45" t="inlineStr">
        <is>
          <t>BUILD</t>
        </is>
      </c>
    </row>
    <row r="49" ht="15" customHeight="1" s="35">
      <c r="A49" s="52">
        <f>D49&amp;"-"&amp;TEXT(U49,"00")&amp;"-"&amp;TEXT(N49,"00")</f>
        <v/>
      </c>
      <c r="B49" s="53" t="inlineStr">
        <is>
          <t>2404-24-20</t>
        </is>
      </c>
      <c r="C49" s="52">
        <f>A49</f>
        <v/>
      </c>
      <c r="D49" s="53" t="inlineStr">
        <is>
          <t>2404</t>
        </is>
      </c>
      <c r="E49" s="53" t="n">
        <v>64</v>
      </c>
      <c r="F49" s="53" t="inlineStr">
        <is>
          <t>https://parts.air-way.com/hydraulic-fittings/jic-and-beaded-hose-fittings/straight/2404-male-connector-series-64</t>
        </is>
      </c>
      <c r="G49" s="52">
        <f>"Male Connector, "&amp;T49&amp;" x "&amp;M49&amp;", "&amp;V49&amp;" x "&amp;O49</f>
        <v/>
      </c>
      <c r="H49" s="53" t="inlineStr">
        <is>
          <t>JIC 37 &amp; Beaded Hose</t>
        </is>
      </c>
      <c r="I49" s="53" t="inlineStr">
        <is>
          <t>Carbon Steel</t>
        </is>
      </c>
      <c r="J49" s="53" t="inlineStr">
        <is>
          <t>Straight</t>
        </is>
      </c>
      <c r="K49" s="53" t="n">
        <v>2</v>
      </c>
      <c r="L49" s="53" t="inlineStr">
        <is>
          <t>A</t>
        </is>
      </c>
      <c r="M49" s="53" t="inlineStr">
        <is>
          <t>Male Pipe NPTF</t>
        </is>
      </c>
      <c r="N49" s="53" t="n">
        <v>20</v>
      </c>
      <c r="O49" s="53" t="inlineStr">
        <is>
          <t>1 1/4-11 1/2</t>
        </is>
      </c>
      <c r="P49" s="53" t="inlineStr">
        <is>
          <t>NPTF Dryseal</t>
        </is>
      </c>
      <c r="Q49" s="53" t="inlineStr">
        <is>
          <t>ASME B1.20.3</t>
        </is>
      </c>
      <c r="R49" s="53" t="inlineStr">
        <is>
          <t>N/A (tapered thread seal)</t>
        </is>
      </c>
      <c r="S49" s="53" t="inlineStr">
        <is>
          <t>B</t>
        </is>
      </c>
      <c r="T49" s="53" t="inlineStr">
        <is>
          <t>Male 37 deg Flare (JIC)</t>
        </is>
      </c>
      <c r="U49" s="53" t="n">
        <v>24</v>
      </c>
      <c r="V49" s="53" t="inlineStr">
        <is>
          <t>1 7/8-12</t>
        </is>
      </c>
      <c r="W49" s="53" t="inlineStr">
        <is>
          <t>UN/UNF-2A</t>
        </is>
      </c>
      <c r="X49" s="53" t="inlineStr">
        <is>
          <t>SAE J514 / J514-1</t>
        </is>
      </c>
      <c r="Y49" s="53" t="n">
        <v>37</v>
      </c>
      <c r="Z49" s="53" t="n">
        <v>2.65</v>
      </c>
      <c r="AA49" s="53" t="n">
        <v>2</v>
      </c>
      <c r="AB49" s="53" t="n">
        <v>1.31</v>
      </c>
      <c r="AC49" s="53" t="n">
        <v>1.25</v>
      </c>
      <c r="AD49" s="54" t="n"/>
      <c r="AE49" s="54" t="n">
        <v>2</v>
      </c>
      <c r="AF49" s="53" t="n">
        <v>0</v>
      </c>
      <c r="AG49" s="53" t="n">
        <v>1.5</v>
      </c>
      <c r="AH49" s="53" t="inlineStr">
        <is>
          <t>1 1/2</t>
        </is>
      </c>
      <c r="AI49" s="54" t="n"/>
      <c r="AJ49" s="54" t="n"/>
      <c r="AK49" s="54" t="n"/>
      <c r="AL49" s="54" t="n"/>
      <c r="AM49" s="54" t="n"/>
      <c r="AN49" s="53" t="inlineStr">
        <is>
          <t>psi</t>
        </is>
      </c>
      <c r="AO49" s="54" t="n"/>
      <c r="AP49" s="54" t="n"/>
      <c r="AQ49" s="52">
        <f>SUBSTITUTE(A49,"/","_")</f>
        <v/>
      </c>
      <c r="AR49" s="52">
        <f>AQ49&amp;".pdf"</f>
        <v/>
      </c>
      <c r="AS49" s="52">
        <f>AQ49&amp;".step"</f>
        <v/>
      </c>
      <c r="AT49" s="53" t="inlineStr">
        <is>
          <t>ASSUMED</t>
        </is>
      </c>
      <c r="AU49" s="53" t="inlineStr">
        <is>
          <t>MATCH</t>
        </is>
      </c>
      <c r="AV49" s="53" t="inlineStr">
        <is>
          <t>Hex from Parker Cat4300 only - single source, not cross-checked.</t>
        </is>
      </c>
      <c r="AW49" s="53" t="inlineStr">
        <is>
          <t>Material/finish/pressure NOT published by Air-Way or OMi - awaiting client input</t>
        </is>
      </c>
      <c r="AX49" s="37" t="inlineStr">
        <is>
          <t>2</t>
        </is>
      </c>
      <c r="AY49" s="37" t="n"/>
      <c r="AZ49" s="37" t="n"/>
      <c r="BA49" s="44" t="inlineStr">
        <is>
          <t>SINGLE SOURCE</t>
        </is>
      </c>
      <c r="BB49" s="37" t="n">
        <v>2.66</v>
      </c>
      <c r="BC49" s="47" t="inlineStr">
        <is>
          <t>DIVERGENT (2.65 vs 2.66)</t>
        </is>
      </c>
      <c r="BD49" s="45" t="inlineStr">
        <is>
          <t>Y</t>
        </is>
      </c>
      <c r="BE49" s="45" t="inlineStr">
        <is>
          <t>BUILD</t>
        </is>
      </c>
    </row>
    <row r="50" ht="15" customHeight="1" s="35">
      <c r="A50" s="52">
        <f>D50&amp;"-"&amp;TEXT(U50,"00")&amp;"-"&amp;TEXT(N50,"00")</f>
        <v/>
      </c>
      <c r="B50" s="53" t="inlineStr">
        <is>
          <t>2404-24-24</t>
        </is>
      </c>
      <c r="C50" s="52">
        <f>A50</f>
        <v/>
      </c>
      <c r="D50" s="53" t="inlineStr">
        <is>
          <t>2404</t>
        </is>
      </c>
      <c r="E50" s="53" t="n">
        <v>64</v>
      </c>
      <c r="F50" s="53" t="inlineStr">
        <is>
          <t>https://parts.air-way.com/hydraulic-fittings/jic-and-beaded-hose-fittings/straight/2404-male-connector-series-64</t>
        </is>
      </c>
      <c r="G50" s="52">
        <f>"Male Connector, "&amp;T50&amp;" x "&amp;M50&amp;", "&amp;V50&amp;" x "&amp;O50</f>
        <v/>
      </c>
      <c r="H50" s="53" t="inlineStr">
        <is>
          <t>JIC 37 &amp; Beaded Hose</t>
        </is>
      </c>
      <c r="I50" s="53" t="inlineStr">
        <is>
          <t>Carbon Steel</t>
        </is>
      </c>
      <c r="J50" s="53" t="inlineStr">
        <is>
          <t>Straight</t>
        </is>
      </c>
      <c r="K50" s="53" t="n">
        <v>2</v>
      </c>
      <c r="L50" s="53" t="inlineStr">
        <is>
          <t>A</t>
        </is>
      </c>
      <c r="M50" s="53" t="inlineStr">
        <is>
          <t>Male Pipe NPTF</t>
        </is>
      </c>
      <c r="N50" s="53" t="n">
        <v>24</v>
      </c>
      <c r="O50" s="53" t="inlineStr">
        <is>
          <t>1 1/2-11 1/2</t>
        </is>
      </c>
      <c r="P50" s="53" t="inlineStr">
        <is>
          <t>NPTF Dryseal</t>
        </is>
      </c>
      <c r="Q50" s="53" t="inlineStr">
        <is>
          <t>ASME B1.20.3</t>
        </is>
      </c>
      <c r="R50" s="53" t="inlineStr">
        <is>
          <t>N/A (tapered thread seal)</t>
        </is>
      </c>
      <c r="S50" s="53" t="inlineStr">
        <is>
          <t>B</t>
        </is>
      </c>
      <c r="T50" s="53" t="inlineStr">
        <is>
          <t>Male 37 deg Flare (JIC)</t>
        </is>
      </c>
      <c r="U50" s="53" t="n">
        <v>24</v>
      </c>
      <c r="V50" s="53" t="inlineStr">
        <is>
          <t>1 7/8-12</t>
        </is>
      </c>
      <c r="W50" s="53" t="inlineStr">
        <is>
          <t>UN/UNF-2A</t>
        </is>
      </c>
      <c r="X50" s="53" t="inlineStr">
        <is>
          <t>SAE J514 / J514-1</t>
        </is>
      </c>
      <c r="Y50" s="53" t="n">
        <v>37</v>
      </c>
      <c r="Z50" s="53" t="n">
        <v>2.68</v>
      </c>
      <c r="AA50" s="53" t="n">
        <v>2</v>
      </c>
      <c r="AB50" s="53" t="n">
        <v>1.31</v>
      </c>
      <c r="AC50" s="53" t="n">
        <v>1.5</v>
      </c>
      <c r="AD50" s="54" t="n"/>
      <c r="AE50" s="55" t="n">
        <v>2</v>
      </c>
      <c r="AF50" s="53" t="n">
        <v>0</v>
      </c>
      <c r="AG50" s="53" t="n">
        <v>1.5</v>
      </c>
      <c r="AH50" s="53" t="inlineStr">
        <is>
          <t>1 1/2</t>
        </is>
      </c>
      <c r="AI50" s="54" t="n"/>
      <c r="AJ50" s="54" t="n"/>
      <c r="AK50" s="54" t="n"/>
      <c r="AL50" s="54" t="n"/>
      <c r="AM50" s="54" t="n"/>
      <c r="AN50" s="53" t="inlineStr">
        <is>
          <t>psi</t>
        </is>
      </c>
      <c r="AO50" s="54" t="n"/>
      <c r="AP50" s="54" t="n"/>
      <c r="AQ50" s="52">
        <f>SUBSTITUTE(A50,"/","_")</f>
        <v/>
      </c>
      <c r="AR50" s="52">
        <f>AQ50&amp;".pdf"</f>
        <v/>
      </c>
      <c r="AS50" s="52">
        <f>AQ50&amp;".step"</f>
        <v/>
      </c>
      <c r="AT50" s="53" t="inlineStr">
        <is>
          <t>VERIFIED</t>
        </is>
      </c>
      <c r="AU50" s="53" t="inlineStr">
        <is>
          <t>MATCH</t>
        </is>
      </c>
      <c r="AV50" s="53" t="inlineStr">
        <is>
          <t>L: Air-Way vs Parker Cat4300. Hex: 2+ independent sources agree.</t>
        </is>
      </c>
      <c r="AW50" s="53" t="inlineStr">
        <is>
          <t>Material/finish/pressure NOT published by Air-Way or OMi - awaiting client input</t>
        </is>
      </c>
      <c r="AX50" s="37" t="inlineStr">
        <is>
          <t>2</t>
        </is>
      </c>
      <c r="AY50" s="37" t="inlineStr">
        <is>
          <t>2</t>
        </is>
      </c>
      <c r="AZ50" s="37" t="n"/>
      <c r="BA50" s="45" t="inlineStr">
        <is>
          <t>AGREE</t>
        </is>
      </c>
      <c r="BB50" s="37" t="n">
        <v>2.68</v>
      </c>
      <c r="BC50" s="45" t="inlineStr">
        <is>
          <t>MATCH</t>
        </is>
      </c>
      <c r="BD50" s="45" t="inlineStr">
        <is>
          <t>Y</t>
        </is>
      </c>
      <c r="BE50" s="45" t="inlineStr">
        <is>
          <t>BUILD</t>
        </is>
      </c>
    </row>
    <row r="51" ht="15" customHeight="1" s="35">
      <c r="A51" s="52">
        <f>D51&amp;"-"&amp;TEXT(U51,"00")&amp;"-"&amp;TEXT(N51,"00")</f>
        <v/>
      </c>
      <c r="B51" s="53" t="inlineStr">
        <is>
          <t>2404-24-32</t>
        </is>
      </c>
      <c r="C51" s="52">
        <f>A51</f>
        <v/>
      </c>
      <c r="D51" s="53" t="inlineStr">
        <is>
          <t>2404</t>
        </is>
      </c>
      <c r="E51" s="53" t="n">
        <v>64</v>
      </c>
      <c r="F51" s="53" t="inlineStr">
        <is>
          <t>https://parts.air-way.com/hydraulic-fittings/jic-and-beaded-hose-fittings/straight/2404-male-connector-series-64</t>
        </is>
      </c>
      <c r="G51" s="52">
        <f>"Male Connector, "&amp;T51&amp;" x "&amp;M51&amp;", "&amp;V51&amp;" x "&amp;O51</f>
        <v/>
      </c>
      <c r="H51" s="53" t="inlineStr">
        <is>
          <t>JIC 37 &amp; Beaded Hose</t>
        </is>
      </c>
      <c r="I51" s="53" t="inlineStr">
        <is>
          <t>Carbon Steel</t>
        </is>
      </c>
      <c r="J51" s="53" t="inlineStr">
        <is>
          <t>Straight</t>
        </is>
      </c>
      <c r="K51" s="53" t="n">
        <v>2</v>
      </c>
      <c r="L51" s="53" t="inlineStr">
        <is>
          <t>A</t>
        </is>
      </c>
      <c r="M51" s="53" t="inlineStr">
        <is>
          <t>Male Pipe NPTF</t>
        </is>
      </c>
      <c r="N51" s="53" t="n">
        <v>32</v>
      </c>
      <c r="O51" s="53" t="inlineStr">
        <is>
          <t>2-11 1/2</t>
        </is>
      </c>
      <c r="P51" s="53" t="inlineStr">
        <is>
          <t>NPTF Dryseal</t>
        </is>
      </c>
      <c r="Q51" s="53" t="inlineStr">
        <is>
          <t>ASME B1.20.3</t>
        </is>
      </c>
      <c r="R51" s="53" t="inlineStr">
        <is>
          <t>N/A (tapered thread seal)</t>
        </is>
      </c>
      <c r="S51" s="53" t="inlineStr">
        <is>
          <t>B</t>
        </is>
      </c>
      <c r="T51" s="53" t="inlineStr">
        <is>
          <t>Male 37 deg Flare (JIC)</t>
        </is>
      </c>
      <c r="U51" s="53" t="n">
        <v>24</v>
      </c>
      <c r="V51" s="53" t="inlineStr">
        <is>
          <t>1 7/8-12</t>
        </is>
      </c>
      <c r="W51" s="53" t="inlineStr">
        <is>
          <t>UN/UNF-2A</t>
        </is>
      </c>
      <c r="X51" s="53" t="inlineStr">
        <is>
          <t>SAE J514 / J514-1</t>
        </is>
      </c>
      <c r="Y51" s="53" t="n">
        <v>37</v>
      </c>
      <c r="Z51" s="53" t="n">
        <v>2.86</v>
      </c>
      <c r="AA51" s="53" t="n">
        <v>2.63</v>
      </c>
      <c r="AB51" s="53" t="n">
        <v>1.31</v>
      </c>
      <c r="AC51" s="53" t="n">
        <v>1.94</v>
      </c>
      <c r="AD51" s="54" t="n"/>
      <c r="AE51" s="54" t="n">
        <v>2.625</v>
      </c>
      <c r="AF51" s="53" t="n">
        <v>0</v>
      </c>
      <c r="AG51" s="53" t="n">
        <v>1.5</v>
      </c>
      <c r="AH51" s="53" t="inlineStr">
        <is>
          <t>1 1/2</t>
        </is>
      </c>
      <c r="AI51" s="54" t="n"/>
      <c r="AJ51" s="54" t="n"/>
      <c r="AK51" s="54" t="n"/>
      <c r="AL51" s="54" t="n"/>
      <c r="AM51" s="54" t="n"/>
      <c r="AN51" s="53" t="inlineStr">
        <is>
          <t>psi</t>
        </is>
      </c>
      <c r="AO51" s="54" t="n"/>
      <c r="AP51" s="54" t="n"/>
      <c r="AQ51" s="52">
        <f>SUBSTITUTE(A51,"/","_")</f>
        <v/>
      </c>
      <c r="AR51" s="52">
        <f>AQ51&amp;".pdf"</f>
        <v/>
      </c>
      <c r="AS51" s="52">
        <f>AQ51&amp;".step"</f>
        <v/>
      </c>
      <c r="AT51" s="53" t="inlineStr">
        <is>
          <t>ASSUMED</t>
        </is>
      </c>
      <c r="AU51" s="53" t="inlineStr">
        <is>
          <t>MATCH (L only)</t>
        </is>
      </c>
      <c r="AV51" s="53" t="inlineStr">
        <is>
          <t>Hex from Parker Cat4300 only - single source, not cross-checked.</t>
        </is>
      </c>
      <c r="AW51" s="53" t="inlineStr">
        <is>
          <t>Material/finish/pressure NOT published by Air-Way or OMi - awaiting client input</t>
        </is>
      </c>
      <c r="AX51" s="37" t="inlineStr">
        <is>
          <t>2 5/8</t>
        </is>
      </c>
      <c r="AY51" s="37" t="n"/>
      <c r="AZ51" s="37" t="n"/>
      <c r="BA51" s="44" t="inlineStr">
        <is>
          <t>SINGLE SOURCE</t>
        </is>
      </c>
      <c r="BB51" s="37" t="n">
        <v>2.86</v>
      </c>
      <c r="BC51" s="45" t="inlineStr">
        <is>
          <t>MATCH</t>
        </is>
      </c>
      <c r="BD51" s="45" t="inlineStr">
        <is>
          <t>Y</t>
        </is>
      </c>
      <c r="BE51" s="45" t="inlineStr">
        <is>
          <t>BUILD</t>
        </is>
      </c>
    </row>
    <row r="52" ht="15" customHeight="1" s="35">
      <c r="A52" s="52">
        <f>D52&amp;"-"&amp;TEXT(U52,"00")&amp;"-"&amp;TEXT(N52,"00")</f>
        <v/>
      </c>
      <c r="B52" s="53" t="inlineStr">
        <is>
          <t>2404-32-24</t>
        </is>
      </c>
      <c r="C52" s="52">
        <f>A52</f>
        <v/>
      </c>
      <c r="D52" s="53" t="inlineStr">
        <is>
          <t>2404</t>
        </is>
      </c>
      <c r="E52" s="53" t="n">
        <v>64</v>
      </c>
      <c r="F52" s="53" t="inlineStr">
        <is>
          <t>https://parts.air-way.com/hydraulic-fittings/jic-and-beaded-hose-fittings/straight/2404-male-connector-series-64</t>
        </is>
      </c>
      <c r="G52" s="52">
        <f>"Male Connector, "&amp;T52&amp;" x "&amp;M52&amp;", "&amp;V52&amp;" x "&amp;O52</f>
        <v/>
      </c>
      <c r="H52" s="53" t="inlineStr">
        <is>
          <t>JIC 37 &amp; Beaded Hose</t>
        </is>
      </c>
      <c r="I52" s="53" t="inlineStr">
        <is>
          <t>Carbon Steel</t>
        </is>
      </c>
      <c r="J52" s="53" t="inlineStr">
        <is>
          <t>Straight</t>
        </is>
      </c>
      <c r="K52" s="53" t="n">
        <v>2</v>
      </c>
      <c r="L52" s="53" t="inlineStr">
        <is>
          <t>A</t>
        </is>
      </c>
      <c r="M52" s="53" t="inlineStr">
        <is>
          <t>Male Pipe NPTF</t>
        </is>
      </c>
      <c r="N52" s="53" t="n">
        <v>24</v>
      </c>
      <c r="O52" s="53" t="inlineStr">
        <is>
          <t>1 1/2-11 1/2</t>
        </is>
      </c>
      <c r="P52" s="53" t="inlineStr">
        <is>
          <t>NPTF Dryseal</t>
        </is>
      </c>
      <c r="Q52" s="53" t="inlineStr">
        <is>
          <t>ASME B1.20.3</t>
        </is>
      </c>
      <c r="R52" s="53" t="inlineStr">
        <is>
          <t>N/A (tapered thread seal)</t>
        </is>
      </c>
      <c r="S52" s="53" t="inlineStr">
        <is>
          <t>B</t>
        </is>
      </c>
      <c r="T52" s="53" t="inlineStr">
        <is>
          <t>Male 37 deg Flare (JIC)</t>
        </is>
      </c>
      <c r="U52" s="53" t="n">
        <v>32</v>
      </c>
      <c r="V52" s="53" t="inlineStr">
        <is>
          <t>2 1/2-12</t>
        </is>
      </c>
      <c r="W52" s="53" t="inlineStr">
        <is>
          <t>UN/UNF-2A</t>
        </is>
      </c>
      <c r="X52" s="53" t="inlineStr">
        <is>
          <t>SAE J514 / J514-1</t>
        </is>
      </c>
      <c r="Y52" s="53" t="n">
        <v>37</v>
      </c>
      <c r="Z52" s="53" t="n">
        <v>3.08</v>
      </c>
      <c r="AA52" s="53" t="n">
        <v>2.63</v>
      </c>
      <c r="AB52" s="53" t="n">
        <v>1.78</v>
      </c>
      <c r="AC52" s="53" t="n">
        <v>1.5</v>
      </c>
      <c r="AD52" s="54" t="n"/>
      <c r="AE52" s="54" t="n">
        <v>2.625</v>
      </c>
      <c r="AF52" s="53" t="n">
        <v>0</v>
      </c>
      <c r="AG52" s="53" t="n">
        <v>2</v>
      </c>
      <c r="AH52" s="53" t="inlineStr">
        <is>
          <t>2</t>
        </is>
      </c>
      <c r="AI52" s="54" t="n"/>
      <c r="AJ52" s="54" t="n"/>
      <c r="AK52" s="54" t="n"/>
      <c r="AL52" s="54" t="n"/>
      <c r="AM52" s="54" t="n"/>
      <c r="AN52" s="53" t="inlineStr">
        <is>
          <t>psi</t>
        </is>
      </c>
      <c r="AO52" s="54" t="n"/>
      <c r="AP52" s="54" t="n"/>
      <c r="AQ52" s="52">
        <f>SUBSTITUTE(A52,"/","_")</f>
        <v/>
      </c>
      <c r="AR52" s="52">
        <f>AQ52&amp;".pdf"</f>
        <v/>
      </c>
      <c r="AS52" s="52">
        <f>AQ52&amp;".step"</f>
        <v/>
      </c>
      <c r="AT52" s="53" t="inlineStr">
        <is>
          <t>ASSUMED</t>
        </is>
      </c>
      <c r="AU52" s="53" t="inlineStr">
        <is>
          <t>MATCH (L only)</t>
        </is>
      </c>
      <c r="AV52" s="53" t="inlineStr">
        <is>
          <t>Hex from Parker Cat4300 only - single source, not cross-checked.</t>
        </is>
      </c>
      <c r="AW52" s="53" t="inlineStr">
        <is>
          <t>Material/finish/pressure NOT published by Air-Way or OMi - awaiting client input</t>
        </is>
      </c>
      <c r="AX52" s="37" t="inlineStr">
        <is>
          <t>2 5/8</t>
        </is>
      </c>
      <c r="AY52" s="37" t="n"/>
      <c r="AZ52" s="37" t="n"/>
      <c r="BA52" s="44" t="inlineStr">
        <is>
          <t>SINGLE SOURCE</t>
        </is>
      </c>
      <c r="BB52" s="37" t="n">
        <v>3.08</v>
      </c>
      <c r="BC52" s="45" t="inlineStr">
        <is>
          <t>MATCH</t>
        </is>
      </c>
      <c r="BD52" s="45" t="inlineStr">
        <is>
          <t>Y</t>
        </is>
      </c>
      <c r="BE52" s="45" t="inlineStr">
        <is>
          <t>BUILD</t>
        </is>
      </c>
    </row>
    <row r="53" ht="15" customHeight="1" s="35">
      <c r="A53" s="52">
        <f>D53&amp;"-"&amp;TEXT(U53,"00")&amp;"-"&amp;TEXT(N53,"00")</f>
        <v/>
      </c>
      <c r="B53" s="53" t="inlineStr">
        <is>
          <t>2404-32-32</t>
        </is>
      </c>
      <c r="C53" s="52">
        <f>A53</f>
        <v/>
      </c>
      <c r="D53" s="53" t="inlineStr">
        <is>
          <t>2404</t>
        </is>
      </c>
      <c r="E53" s="53" t="n">
        <v>64</v>
      </c>
      <c r="F53" s="53" t="inlineStr">
        <is>
          <t>https://parts.air-way.com/hydraulic-fittings/jic-and-beaded-hose-fittings/straight/2404-male-connector-series-64</t>
        </is>
      </c>
      <c r="G53" s="52">
        <f>"Male Connector, "&amp;T53&amp;" x "&amp;M53&amp;", "&amp;V53&amp;" x "&amp;O53</f>
        <v/>
      </c>
      <c r="H53" s="53" t="inlineStr">
        <is>
          <t>JIC 37 &amp; Beaded Hose</t>
        </is>
      </c>
      <c r="I53" s="53" t="inlineStr">
        <is>
          <t>Carbon Steel</t>
        </is>
      </c>
      <c r="J53" s="53" t="inlineStr">
        <is>
          <t>Straight</t>
        </is>
      </c>
      <c r="K53" s="53" t="n">
        <v>2</v>
      </c>
      <c r="L53" s="53" t="inlineStr">
        <is>
          <t>A</t>
        </is>
      </c>
      <c r="M53" s="53" t="inlineStr">
        <is>
          <t>Male Pipe NPTF</t>
        </is>
      </c>
      <c r="N53" s="53" t="n">
        <v>32</v>
      </c>
      <c r="O53" s="53" t="inlineStr">
        <is>
          <t>2-11 1/2</t>
        </is>
      </c>
      <c r="P53" s="53" t="inlineStr">
        <is>
          <t>NPTF Dryseal</t>
        </is>
      </c>
      <c r="Q53" s="53" t="inlineStr">
        <is>
          <t>ASME B1.20.3</t>
        </is>
      </c>
      <c r="R53" s="53" t="inlineStr">
        <is>
          <t>N/A (tapered thread seal)</t>
        </is>
      </c>
      <c r="S53" s="53" t="inlineStr">
        <is>
          <t>B</t>
        </is>
      </c>
      <c r="T53" s="53" t="inlineStr">
        <is>
          <t>Male 37 deg Flare (JIC)</t>
        </is>
      </c>
      <c r="U53" s="53" t="n">
        <v>32</v>
      </c>
      <c r="V53" s="53" t="inlineStr">
        <is>
          <t>2 1/2-12</t>
        </is>
      </c>
      <c r="W53" s="53" t="inlineStr">
        <is>
          <t>UN/UNF-2A</t>
        </is>
      </c>
      <c r="X53" s="53" t="inlineStr">
        <is>
          <t>SAE J514 / J514-1</t>
        </is>
      </c>
      <c r="Y53" s="53" t="n">
        <v>37</v>
      </c>
      <c r="Z53" s="53" t="n">
        <v>3.11</v>
      </c>
      <c r="AA53" s="53" t="n">
        <v>2.63</v>
      </c>
      <c r="AB53" s="53" t="n">
        <v>1.78</v>
      </c>
      <c r="AC53" s="53" t="n">
        <v>1.94</v>
      </c>
      <c r="AD53" s="54" t="n"/>
      <c r="AE53" s="55" t="n">
        <v>2.625</v>
      </c>
      <c r="AF53" s="53" t="n">
        <v>0</v>
      </c>
      <c r="AG53" s="53" t="n">
        <v>2</v>
      </c>
      <c r="AH53" s="53" t="inlineStr">
        <is>
          <t>2</t>
        </is>
      </c>
      <c r="AI53" s="54" t="n"/>
      <c r="AJ53" s="54" t="n"/>
      <c r="AK53" s="54" t="n"/>
      <c r="AL53" s="54" t="n"/>
      <c r="AM53" s="54" t="n"/>
      <c r="AN53" s="53" t="inlineStr">
        <is>
          <t>psi</t>
        </is>
      </c>
      <c r="AO53" s="54" t="n"/>
      <c r="AP53" s="54" t="n"/>
      <c r="AQ53" s="52">
        <f>SUBSTITUTE(A53,"/","_")</f>
        <v/>
      </c>
      <c r="AR53" s="52">
        <f>AQ53&amp;".pdf"</f>
        <v/>
      </c>
      <c r="AS53" s="52">
        <f>AQ53&amp;".step"</f>
        <v/>
      </c>
      <c r="AT53" s="53" t="inlineStr">
        <is>
          <t>VERIFIED</t>
        </is>
      </c>
      <c r="AU53" s="53" t="inlineStr">
        <is>
          <t>MATCH</t>
        </is>
      </c>
      <c r="AV53" s="53" t="inlineStr">
        <is>
          <t>L: Air-Way vs Parker Cat4300. Hex: 2+ independent sources agree.</t>
        </is>
      </c>
      <c r="AW53" s="53" t="inlineStr">
        <is>
          <t>Material/finish/pressure NOT published by Air-Way or OMi - awaiting client input</t>
        </is>
      </c>
      <c r="AX53" s="37" t="inlineStr">
        <is>
          <t>2 5/8</t>
        </is>
      </c>
      <c r="AY53" s="37" t="inlineStr">
        <is>
          <t>2 5/8</t>
        </is>
      </c>
      <c r="AZ53" s="37" t="inlineStr">
        <is>
          <t>2 5/8</t>
        </is>
      </c>
      <c r="BA53" s="45" t="inlineStr">
        <is>
          <t>AGREE</t>
        </is>
      </c>
      <c r="BB53" s="37" t="n">
        <v>3.11</v>
      </c>
      <c r="BC53" s="45" t="inlineStr">
        <is>
          <t>MATCH</t>
        </is>
      </c>
      <c r="BD53" s="45" t="inlineStr">
        <is>
          <t>Y</t>
        </is>
      </c>
      <c r="BE53" s="45" t="inlineStr">
        <is>
          <t>BUILD</t>
        </is>
      </c>
    </row>
    <row r="54" ht="15" customHeight="1" s="35">
      <c r="A54" s="56">
        <f>D54&amp;"-"&amp;TEXT(U54,"00")&amp;"-"&amp;TEXT(N54,"00")</f>
        <v/>
      </c>
      <c r="C54" s="56">
        <f>A54</f>
        <v/>
      </c>
      <c r="D54" s="46" t="inlineStr">
        <is>
          <t>2404</t>
        </is>
      </c>
      <c r="E54" s="46" t="n">
        <v>64</v>
      </c>
      <c r="G54" s="56">
        <f>"Male Connector, "&amp;T54&amp;" x "&amp;M54&amp;", "&amp;V54&amp;" x "&amp;O54</f>
        <v/>
      </c>
      <c r="H54" s="46" t="inlineStr">
        <is>
          <t>JIC 37 &amp; Beaded Hose</t>
        </is>
      </c>
      <c r="I54" s="46" t="inlineStr">
        <is>
          <t>Carbon Steel</t>
        </is>
      </c>
      <c r="J54" s="46" t="inlineStr">
        <is>
          <t>Straight</t>
        </is>
      </c>
      <c r="K54" s="46" t="n">
        <v>2</v>
      </c>
      <c r="L54" s="46" t="inlineStr">
        <is>
          <t>A</t>
        </is>
      </c>
      <c r="M54" s="46" t="inlineStr">
        <is>
          <t>Male Pipe NPTF</t>
        </is>
      </c>
      <c r="N54" s="46" t="n">
        <v>4</v>
      </c>
      <c r="O54" s="46" t="inlineStr">
        <is>
          <t>1/4-18</t>
        </is>
      </c>
      <c r="P54" s="46" t="inlineStr">
        <is>
          <t>NPTF Dryseal</t>
        </is>
      </c>
      <c r="Q54" s="46" t="inlineStr">
        <is>
          <t>ASME B1.20.3</t>
        </is>
      </c>
      <c r="R54" s="46" t="inlineStr">
        <is>
          <t>N/A (tapered thread seal)</t>
        </is>
      </c>
      <c r="S54" s="46" t="inlineStr">
        <is>
          <t>B</t>
        </is>
      </c>
      <c r="T54" s="46" t="inlineStr">
        <is>
          <t>Male 37 deg Flare (JIC)</t>
        </is>
      </c>
      <c r="U54" s="46" t="n">
        <v>2</v>
      </c>
      <c r="V54" s="46" t="inlineStr">
        <is>
          <t>5/16-24</t>
        </is>
      </c>
      <c r="W54" s="46" t="inlineStr">
        <is>
          <t>UN/UNF-2A</t>
        </is>
      </c>
      <c r="X54" s="46" t="inlineStr">
        <is>
          <t>SAE J514 / J514-1</t>
        </is>
      </c>
      <c r="Y54" s="46" t="n">
        <v>37</v>
      </c>
      <c r="AF54" s="46" t="n">
        <v>0</v>
      </c>
      <c r="AN54" s="46" t="inlineStr">
        <is>
          <t>psi</t>
        </is>
      </c>
      <c r="AQ54" s="56">
        <f>SUBSTITUTE(A54,"/","_")</f>
        <v/>
      </c>
      <c r="AR54" s="56">
        <f>AQ54&amp;".pdf"</f>
        <v/>
      </c>
      <c r="AS54" s="56">
        <f>AQ54&amp;".step"</f>
        <v/>
      </c>
      <c r="AT54" s="46" t="inlineStr">
        <is>
          <t>MISSING</t>
        </is>
      </c>
      <c r="AU54" s="46" t="inlineStr">
        <is>
          <t>-</t>
        </is>
      </c>
      <c r="AV54" s="46" t="inlineStr">
        <is>
          <t>-</t>
        </is>
      </c>
      <c r="AW54" s="46" t="inlineStr">
        <is>
          <t>IN OMi CATALOG BUT ABSENT FROM THE AIR-WAY 2404 TABLE - no dimensional source yet</t>
        </is>
      </c>
      <c r="BD54" s="45" t="inlineStr">
        <is>
          <t>Y</t>
        </is>
      </c>
      <c r="BE54" s="46" t="inlineStr">
        <is>
          <t>BUILD</t>
        </is>
      </c>
    </row>
    <row r="55" ht="15" customHeight="1" s="35">
      <c r="A55" s="56">
        <f>D55&amp;"-"&amp;TEXT(U55,"00")&amp;"-"&amp;TEXT(N55,"00")</f>
        <v/>
      </c>
      <c r="C55" s="56">
        <f>A55</f>
        <v/>
      </c>
      <c r="D55" s="46" t="inlineStr">
        <is>
          <t>2404</t>
        </is>
      </c>
      <c r="E55" s="46" t="n">
        <v>64</v>
      </c>
      <c r="G55" s="56">
        <f>"Male Connector, "&amp;T55&amp;" x "&amp;M55&amp;", "&amp;V55&amp;" x "&amp;O55</f>
        <v/>
      </c>
      <c r="H55" s="46" t="inlineStr">
        <is>
          <t>JIC 37 &amp; Beaded Hose</t>
        </is>
      </c>
      <c r="I55" s="46" t="inlineStr">
        <is>
          <t>Carbon Steel</t>
        </is>
      </c>
      <c r="J55" s="46" t="inlineStr">
        <is>
          <t>Straight</t>
        </is>
      </c>
      <c r="K55" s="46" t="n">
        <v>2</v>
      </c>
      <c r="L55" s="46" t="inlineStr">
        <is>
          <t>A</t>
        </is>
      </c>
      <c r="M55" s="46" t="inlineStr">
        <is>
          <t>Male Pipe NPTF</t>
        </is>
      </c>
      <c r="N55" s="46" t="n">
        <v>2</v>
      </c>
      <c r="O55" s="46" t="inlineStr">
        <is>
          <t>1/8-27</t>
        </is>
      </c>
      <c r="P55" s="46" t="inlineStr">
        <is>
          <t>NPTF Dryseal</t>
        </is>
      </c>
      <c r="Q55" s="46" t="inlineStr">
        <is>
          <t>ASME B1.20.3</t>
        </is>
      </c>
      <c r="R55" s="46" t="inlineStr">
        <is>
          <t>N/A (tapered thread seal)</t>
        </is>
      </c>
      <c r="S55" s="46" t="inlineStr">
        <is>
          <t>B</t>
        </is>
      </c>
      <c r="T55" s="46" t="inlineStr">
        <is>
          <t>Male 37 deg Flare (JIC)</t>
        </is>
      </c>
      <c r="U55" s="46" t="n">
        <v>8</v>
      </c>
      <c r="V55" s="46" t="inlineStr">
        <is>
          <t>3/4-16</t>
        </is>
      </c>
      <c r="W55" s="46" t="inlineStr">
        <is>
          <t>UN/UNF-2A</t>
        </is>
      </c>
      <c r="X55" s="46" t="inlineStr">
        <is>
          <t>SAE J514 / J514-1</t>
        </is>
      </c>
      <c r="Y55" s="46" t="n">
        <v>37</v>
      </c>
      <c r="AF55" s="46" t="n">
        <v>0</v>
      </c>
      <c r="AN55" s="46" t="inlineStr">
        <is>
          <t>psi</t>
        </is>
      </c>
      <c r="AQ55" s="56">
        <f>SUBSTITUTE(A55,"/","_")</f>
        <v/>
      </c>
      <c r="AR55" s="56">
        <f>AQ55&amp;".pdf"</f>
        <v/>
      </c>
      <c r="AS55" s="56">
        <f>AQ55&amp;".step"</f>
        <v/>
      </c>
      <c r="AT55" s="46" t="inlineStr">
        <is>
          <t>MISSING</t>
        </is>
      </c>
      <c r="AU55" s="46" t="inlineStr">
        <is>
          <t>-</t>
        </is>
      </c>
      <c r="AV55" s="46" t="inlineStr">
        <is>
          <t>-</t>
        </is>
      </c>
      <c r="AW55" s="46" t="inlineStr">
        <is>
          <t>IN OMi CATALOG BUT ABSENT FROM THE AIR-WAY 2404 TABLE - no dimensional source yet</t>
        </is>
      </c>
      <c r="BD55" s="45" t="inlineStr">
        <is>
          <t>Y</t>
        </is>
      </c>
      <c r="BE55" s="46" t="inlineStr">
        <is>
          <t>BUILD</t>
        </is>
      </c>
    </row>
    <row r="56" ht="15" customHeight="1" s="35">
      <c r="A56" s="56">
        <f>D56&amp;"-"&amp;TEXT(U56,"00")&amp;"-"&amp;TEXT(N56,"00")</f>
        <v/>
      </c>
      <c r="C56" s="56">
        <f>A56</f>
        <v/>
      </c>
      <c r="D56" s="46" t="inlineStr">
        <is>
          <t>2404</t>
        </is>
      </c>
      <c r="E56" s="46" t="n">
        <v>64</v>
      </c>
      <c r="G56" s="56">
        <f>"Male Connector, "&amp;T56&amp;" x "&amp;M56&amp;", "&amp;V56&amp;" x "&amp;O56</f>
        <v/>
      </c>
      <c r="H56" s="46" t="inlineStr">
        <is>
          <t>JIC 37 &amp; Beaded Hose</t>
        </is>
      </c>
      <c r="I56" s="46" t="inlineStr">
        <is>
          <t>Carbon Steel</t>
        </is>
      </c>
      <c r="J56" s="46" t="inlineStr">
        <is>
          <t>Straight</t>
        </is>
      </c>
      <c r="K56" s="46" t="n">
        <v>2</v>
      </c>
      <c r="L56" s="46" t="inlineStr">
        <is>
          <t>A</t>
        </is>
      </c>
      <c r="M56" s="46" t="inlineStr">
        <is>
          <t>Male Pipe NPTF</t>
        </is>
      </c>
      <c r="N56" s="46" t="n">
        <v>32</v>
      </c>
      <c r="O56" s="46" t="inlineStr">
        <is>
          <t>2-11 1/2</t>
        </is>
      </c>
      <c r="P56" s="46" t="inlineStr">
        <is>
          <t>NPTF Dryseal</t>
        </is>
      </c>
      <c r="Q56" s="46" t="inlineStr">
        <is>
          <t>ASME B1.20.3</t>
        </is>
      </c>
      <c r="R56" s="46" t="inlineStr">
        <is>
          <t>N/A (tapered thread seal)</t>
        </is>
      </c>
      <c r="S56" s="46" t="inlineStr">
        <is>
          <t>B</t>
        </is>
      </c>
      <c r="T56" s="46" t="inlineStr">
        <is>
          <t>Male 37 deg Flare (JIC)</t>
        </is>
      </c>
      <c r="U56" s="46" t="n">
        <v>16</v>
      </c>
      <c r="V56" s="46" t="inlineStr">
        <is>
          <t>1 5/16-12</t>
        </is>
      </c>
      <c r="W56" s="46" t="inlineStr">
        <is>
          <t>UN/UNF-2A</t>
        </is>
      </c>
      <c r="X56" s="46" t="inlineStr">
        <is>
          <t>SAE J514 / J514-1</t>
        </is>
      </c>
      <c r="Y56" s="46" t="n">
        <v>37</v>
      </c>
      <c r="AF56" s="46" t="n">
        <v>0</v>
      </c>
      <c r="AN56" s="46" t="inlineStr">
        <is>
          <t>psi</t>
        </is>
      </c>
      <c r="AQ56" s="56">
        <f>SUBSTITUTE(A56,"/","_")</f>
        <v/>
      </c>
      <c r="AR56" s="56">
        <f>AQ56&amp;".pdf"</f>
        <v/>
      </c>
      <c r="AS56" s="56">
        <f>AQ56&amp;".step"</f>
        <v/>
      </c>
      <c r="AT56" s="46" t="inlineStr">
        <is>
          <t>MISSING</t>
        </is>
      </c>
      <c r="AU56" s="46" t="inlineStr">
        <is>
          <t>-</t>
        </is>
      </c>
      <c r="AV56" s="46" t="inlineStr">
        <is>
          <t>-</t>
        </is>
      </c>
      <c r="AW56" s="46" t="inlineStr">
        <is>
          <t>IN OMi CATALOG BUT ABSENT FROM THE AIR-WAY 2404 TABLE - no dimensional source yet</t>
        </is>
      </c>
      <c r="BD56" s="45" t="inlineStr">
        <is>
          <t>Y</t>
        </is>
      </c>
      <c r="BE56" s="46" t="inlineStr">
        <is>
          <t>BUILD</t>
        </is>
      </c>
    </row>
    <row r="57" ht="15" customHeight="1" s="35">
      <c r="A57" s="56">
        <f>D57&amp;"-"&amp;TEXT(U57,"00")&amp;"-"&amp;TEXT(N57,"00")</f>
        <v/>
      </c>
      <c r="C57" s="56">
        <f>A57</f>
        <v/>
      </c>
      <c r="D57" s="46" t="inlineStr">
        <is>
          <t>2404</t>
        </is>
      </c>
      <c r="E57" s="46" t="n">
        <v>64</v>
      </c>
      <c r="G57" s="56">
        <f>"Male Connector, "&amp;T57&amp;" x "&amp;M57&amp;", "&amp;V57&amp;" x "&amp;O57</f>
        <v/>
      </c>
      <c r="H57" s="46" t="inlineStr">
        <is>
          <t>JIC 37 &amp; Beaded Hose</t>
        </is>
      </c>
      <c r="I57" s="46" t="inlineStr">
        <is>
          <t>Carbon Steel</t>
        </is>
      </c>
      <c r="J57" s="46" t="inlineStr">
        <is>
          <t>Straight</t>
        </is>
      </c>
      <c r="K57" s="46" t="n">
        <v>2</v>
      </c>
      <c r="L57" s="46" t="inlineStr">
        <is>
          <t>A</t>
        </is>
      </c>
      <c r="M57" s="46" t="inlineStr">
        <is>
          <t>Male Pipe NPTF</t>
        </is>
      </c>
      <c r="N57" s="46" t="n">
        <v>20</v>
      </c>
      <c r="O57" s="46" t="inlineStr">
        <is>
          <t>1 1/4-11 1/2</t>
        </is>
      </c>
      <c r="P57" s="46" t="inlineStr">
        <is>
          <t>NPTF Dryseal</t>
        </is>
      </c>
      <c r="Q57" s="46" t="inlineStr">
        <is>
          <t>ASME B1.20.3</t>
        </is>
      </c>
      <c r="R57" s="46" t="inlineStr">
        <is>
          <t>N/A (tapered thread seal)</t>
        </is>
      </c>
      <c r="S57" s="46" t="inlineStr">
        <is>
          <t>B</t>
        </is>
      </c>
      <c r="T57" s="46" t="inlineStr">
        <is>
          <t>Male 37 deg Flare (JIC)</t>
        </is>
      </c>
      <c r="U57" s="46" t="n">
        <v>32</v>
      </c>
      <c r="V57" s="46" t="inlineStr">
        <is>
          <t>2 1/2-12</t>
        </is>
      </c>
      <c r="W57" s="46" t="inlineStr">
        <is>
          <t>UN/UNF-2A</t>
        </is>
      </c>
      <c r="X57" s="46" t="inlineStr">
        <is>
          <t>SAE J514 / J514-1</t>
        </is>
      </c>
      <c r="Y57" s="46" t="n">
        <v>37</v>
      </c>
      <c r="AF57" s="46" t="n">
        <v>0</v>
      </c>
      <c r="AN57" s="46" t="inlineStr">
        <is>
          <t>psi</t>
        </is>
      </c>
      <c r="AQ57" s="56">
        <f>SUBSTITUTE(A57,"/","_")</f>
        <v/>
      </c>
      <c r="AR57" s="56">
        <f>AQ57&amp;".pdf"</f>
        <v/>
      </c>
      <c r="AS57" s="56">
        <f>AQ57&amp;".step"</f>
        <v/>
      </c>
      <c r="AT57" s="46" t="inlineStr">
        <is>
          <t>MISSING</t>
        </is>
      </c>
      <c r="AU57" s="46" t="inlineStr">
        <is>
          <t>-</t>
        </is>
      </c>
      <c r="AV57" s="46" t="inlineStr">
        <is>
          <t>-</t>
        </is>
      </c>
      <c r="AW57" s="46" t="inlineStr">
        <is>
          <t>IN OMi CATALOG BUT ABSENT FROM THE AIR-WAY 2404 TABLE - no dimensional source yet</t>
        </is>
      </c>
      <c r="BD57" s="45" t="inlineStr">
        <is>
          <t>Y</t>
        </is>
      </c>
      <c r="BE57" s="46" t="inlineStr">
        <is>
          <t>BUILD</t>
        </is>
      </c>
    </row>
    <row r="58" ht="15" customHeight="1" s="35">
      <c r="A58" s="56">
        <f>D58&amp;"-"&amp;TEXT(U58,"00")&amp;"-"&amp;TEXT(N58,"00")</f>
        <v/>
      </c>
      <c r="C58" s="56">
        <f>A58</f>
        <v/>
      </c>
      <c r="D58" s="46" t="inlineStr">
        <is>
          <t>2404</t>
        </is>
      </c>
      <c r="E58" s="46" t="n">
        <v>64</v>
      </c>
      <c r="G58" s="56">
        <f>"Male Connector, "&amp;T58&amp;" x "&amp;M58&amp;", "&amp;V58&amp;" x "&amp;O58</f>
        <v/>
      </c>
      <c r="H58" s="46" t="inlineStr">
        <is>
          <t>JIC 37 &amp; Beaded Hose</t>
        </is>
      </c>
      <c r="I58" s="46" t="inlineStr">
        <is>
          <t>Carbon Steel</t>
        </is>
      </c>
      <c r="J58" s="46" t="inlineStr">
        <is>
          <t>Straight</t>
        </is>
      </c>
      <c r="K58" s="46" t="n">
        <v>2</v>
      </c>
      <c r="L58" s="46" t="inlineStr">
        <is>
          <t>A</t>
        </is>
      </c>
      <c r="M58" s="46" t="inlineStr">
        <is>
          <t>Male Pipe NPTF</t>
        </is>
      </c>
      <c r="N58" s="46" t="n">
        <v>48</v>
      </c>
      <c r="O58" s="46" t="n"/>
      <c r="P58" s="46" t="inlineStr">
        <is>
          <t>NPTF Dryseal</t>
        </is>
      </c>
      <c r="Q58" s="46" t="inlineStr">
        <is>
          <t>ASME B1.20.3</t>
        </is>
      </c>
      <c r="R58" s="46" t="inlineStr">
        <is>
          <t>N/A (tapered thread seal)</t>
        </is>
      </c>
      <c r="S58" s="46" t="inlineStr">
        <is>
          <t>B</t>
        </is>
      </c>
      <c r="T58" s="46" t="inlineStr">
        <is>
          <t>Male 37 deg Flare (JIC)</t>
        </is>
      </c>
      <c r="U58" s="46" t="n">
        <v>32</v>
      </c>
      <c r="V58" s="46" t="inlineStr">
        <is>
          <t>2 1/2-12</t>
        </is>
      </c>
      <c r="W58" s="46" t="inlineStr">
        <is>
          <t>UN/UNF-2A</t>
        </is>
      </c>
      <c r="X58" s="46" t="inlineStr">
        <is>
          <t>SAE J514 / J514-1</t>
        </is>
      </c>
      <c r="Y58" s="46" t="n">
        <v>37</v>
      </c>
      <c r="AF58" s="46" t="n">
        <v>0</v>
      </c>
      <c r="AN58" s="46" t="inlineStr">
        <is>
          <t>psi</t>
        </is>
      </c>
      <c r="AQ58" s="56">
        <f>SUBSTITUTE(A58,"/","_")</f>
        <v/>
      </c>
      <c r="AR58" s="56">
        <f>AQ58&amp;".pdf"</f>
        <v/>
      </c>
      <c r="AS58" s="56">
        <f>AQ58&amp;".step"</f>
        <v/>
      </c>
      <c r="AT58" s="46" t="inlineStr">
        <is>
          <t>MISSING</t>
        </is>
      </c>
      <c r="AU58" s="46" t="inlineStr">
        <is>
          <t>-</t>
        </is>
      </c>
      <c r="AV58" s="46" t="inlineStr">
        <is>
          <t>-</t>
        </is>
      </c>
      <c r="AW58" s="46" t="inlineStr">
        <is>
          <t>IN OMi CATALOG BUT ABSENT FROM THE AIR-WAY 2404 TABLE - no dimensional source yet</t>
        </is>
      </c>
      <c r="BD58" s="45" t="inlineStr">
        <is>
          <t>Y</t>
        </is>
      </c>
      <c r="BE58" s="46" t="inlineStr">
        <is>
          <t>BUILD</t>
        </is>
      </c>
    </row>
    <row r="59" ht="15" customHeight="1" s="35">
      <c r="A59" s="56">
        <f>D59&amp;"-"&amp;TEXT(U59,"00")&amp;"-"&amp;TEXT(N59,"00")</f>
        <v/>
      </c>
      <c r="C59" s="56">
        <f>A59</f>
        <v/>
      </c>
      <c r="D59" s="46" t="inlineStr">
        <is>
          <t>2404</t>
        </is>
      </c>
      <c r="E59" s="46" t="n">
        <v>64</v>
      </c>
      <c r="G59" s="56">
        <f>"Male Connector, "&amp;T59&amp;" x "&amp;M59&amp;", "&amp;V59&amp;" x "&amp;O59</f>
        <v/>
      </c>
      <c r="H59" s="46" t="inlineStr">
        <is>
          <t>JIC 37 &amp; Beaded Hose</t>
        </is>
      </c>
      <c r="I59" s="46" t="inlineStr">
        <is>
          <t>Carbon Steel</t>
        </is>
      </c>
      <c r="J59" s="46" t="inlineStr">
        <is>
          <t>Straight</t>
        </is>
      </c>
      <c r="K59" s="46" t="n">
        <v>2</v>
      </c>
      <c r="L59" s="46" t="inlineStr">
        <is>
          <t>A</t>
        </is>
      </c>
      <c r="M59" s="46" t="inlineStr">
        <is>
          <t>Male Pipe NPTF</t>
        </is>
      </c>
      <c r="N59" s="46" t="n">
        <v>32</v>
      </c>
      <c r="O59" s="46" t="inlineStr">
        <is>
          <t>2-11 1/2</t>
        </is>
      </c>
      <c r="P59" s="46" t="inlineStr">
        <is>
          <t>NPTF Dryseal</t>
        </is>
      </c>
      <c r="Q59" s="46" t="inlineStr">
        <is>
          <t>ASME B1.20.3</t>
        </is>
      </c>
      <c r="R59" s="46" t="inlineStr">
        <is>
          <t>N/A (tapered thread seal)</t>
        </is>
      </c>
      <c r="S59" s="46" t="inlineStr">
        <is>
          <t>B</t>
        </is>
      </c>
      <c r="T59" s="46" t="inlineStr">
        <is>
          <t>Male 37 deg Flare (JIC)</t>
        </is>
      </c>
      <c r="U59" s="46" t="n">
        <v>40</v>
      </c>
      <c r="V59" s="46" t="n"/>
      <c r="W59" s="46" t="inlineStr">
        <is>
          <t>UN/UNF-2A</t>
        </is>
      </c>
      <c r="X59" s="46" t="inlineStr">
        <is>
          <t>SAE J514 / J514-1</t>
        </is>
      </c>
      <c r="Y59" s="46" t="n">
        <v>37</v>
      </c>
      <c r="AF59" s="46" t="n">
        <v>0</v>
      </c>
      <c r="AN59" s="46" t="inlineStr">
        <is>
          <t>psi</t>
        </is>
      </c>
      <c r="AQ59" s="56">
        <f>SUBSTITUTE(A59,"/","_")</f>
        <v/>
      </c>
      <c r="AR59" s="56">
        <f>AQ59&amp;".pdf"</f>
        <v/>
      </c>
      <c r="AS59" s="56">
        <f>AQ59&amp;".step"</f>
        <v/>
      </c>
      <c r="AT59" s="46" t="inlineStr">
        <is>
          <t>MISSING</t>
        </is>
      </c>
      <c r="AU59" s="46" t="inlineStr">
        <is>
          <t>-</t>
        </is>
      </c>
      <c r="AV59" s="46" t="inlineStr">
        <is>
          <t>-</t>
        </is>
      </c>
      <c r="AW59" s="46" t="inlineStr">
        <is>
          <t>IN OMi CATALOG BUT ABSENT FROM THE AIR-WAY 2404 TABLE - no dimensional source yet</t>
        </is>
      </c>
      <c r="BD59" s="45" t="inlineStr">
        <is>
          <t>Y</t>
        </is>
      </c>
      <c r="BE59" s="46" t="inlineStr">
        <is>
          <t>BUILD</t>
        </is>
      </c>
    </row>
    <row r="60" ht="15" customHeight="1" s="35">
      <c r="A60" s="56">
        <f>D60&amp;"-"&amp;TEXT(U60,"00")&amp;"-"&amp;TEXT(N60,"00")</f>
        <v/>
      </c>
      <c r="C60" s="56">
        <f>A60</f>
        <v/>
      </c>
      <c r="D60" s="46" t="inlineStr">
        <is>
          <t>2404</t>
        </is>
      </c>
      <c r="E60" s="46" t="n">
        <v>64</v>
      </c>
      <c r="G60" s="56">
        <f>"Male Connector, "&amp;T60&amp;" x "&amp;M60&amp;", "&amp;V60&amp;" x "&amp;O60</f>
        <v/>
      </c>
      <c r="H60" s="46" t="inlineStr">
        <is>
          <t>JIC 37 &amp; Beaded Hose</t>
        </is>
      </c>
      <c r="I60" s="46" t="inlineStr">
        <is>
          <t>Carbon Steel</t>
        </is>
      </c>
      <c r="J60" s="46" t="inlineStr">
        <is>
          <t>Straight</t>
        </is>
      </c>
      <c r="K60" s="46" t="n">
        <v>2</v>
      </c>
      <c r="L60" s="46" t="inlineStr">
        <is>
          <t>A</t>
        </is>
      </c>
      <c r="M60" s="46" t="inlineStr">
        <is>
          <t>Male Pipe NPTF</t>
        </is>
      </c>
      <c r="N60" s="46" t="n">
        <v>40</v>
      </c>
      <c r="O60" s="46" t="n"/>
      <c r="P60" s="46" t="inlineStr">
        <is>
          <t>NPTF Dryseal</t>
        </is>
      </c>
      <c r="Q60" s="46" t="inlineStr">
        <is>
          <t>ASME B1.20.3</t>
        </is>
      </c>
      <c r="R60" s="46" t="inlineStr">
        <is>
          <t>N/A (tapered thread seal)</t>
        </is>
      </c>
      <c r="S60" s="46" t="inlineStr">
        <is>
          <t>B</t>
        </is>
      </c>
      <c r="T60" s="46" t="inlineStr">
        <is>
          <t>Male 37 deg Flare (JIC)</t>
        </is>
      </c>
      <c r="U60" s="46" t="n">
        <v>40</v>
      </c>
      <c r="V60" s="46" t="n"/>
      <c r="W60" s="46" t="inlineStr">
        <is>
          <t>UN/UNF-2A</t>
        </is>
      </c>
      <c r="X60" s="46" t="inlineStr">
        <is>
          <t>SAE J514 / J514-1</t>
        </is>
      </c>
      <c r="Y60" s="46" t="n">
        <v>37</v>
      </c>
      <c r="AF60" s="46" t="n">
        <v>0</v>
      </c>
      <c r="AN60" s="46" t="inlineStr">
        <is>
          <t>psi</t>
        </is>
      </c>
      <c r="AQ60" s="56">
        <f>SUBSTITUTE(A60,"/","_")</f>
        <v/>
      </c>
      <c r="AR60" s="56">
        <f>AQ60&amp;".pdf"</f>
        <v/>
      </c>
      <c r="AS60" s="56">
        <f>AQ60&amp;".step"</f>
        <v/>
      </c>
      <c r="AT60" s="46" t="inlineStr">
        <is>
          <t>MISSING</t>
        </is>
      </c>
      <c r="AU60" s="46" t="inlineStr">
        <is>
          <t>-</t>
        </is>
      </c>
      <c r="AV60" s="46" t="inlineStr">
        <is>
          <t>-</t>
        </is>
      </c>
      <c r="AW60" s="46" t="inlineStr">
        <is>
          <t>IN OMi CATALOG BUT ABSENT FROM THE AIR-WAY 2404 TABLE - no dimensional source yet</t>
        </is>
      </c>
      <c r="BD60" s="45" t="inlineStr">
        <is>
          <t>Y</t>
        </is>
      </c>
      <c r="BE60" s="46" t="inlineStr">
        <is>
          <t>BUILD</t>
        </is>
      </c>
    </row>
    <row r="61" ht="15" customHeight="1" s="35"/>
    <row r="62" ht="15" customHeight="1" s="35"/>
    <row r="63" ht="15" customHeight="1" s="35"/>
    <row r="64" ht="15" customHeight="1" s="35"/>
    <row r="65" ht="15" customHeight="1" s="35"/>
    <row r="66" ht="15" customHeight="1" s="35"/>
    <row r="67" ht="15" customHeight="1" s="35"/>
    <row r="68" ht="15" customHeight="1" s="35"/>
    <row r="69" ht="15" customHeight="1" s="35"/>
    <row r="70" ht="15" customHeight="1" s="35"/>
    <row r="71" ht="15" customHeight="1" s="35"/>
    <row r="72" ht="15" customHeight="1" s="35"/>
    <row r="73" ht="15" customHeight="1" s="35"/>
    <row r="74" ht="15" customHeight="1" s="35"/>
    <row r="75" ht="15" customHeight="1" s="35"/>
    <row r="76" ht="15" customHeight="1" s="35"/>
    <row r="77" ht="15" customHeight="1" s="35"/>
    <row r="78" ht="15" customHeight="1" s="35"/>
    <row r="79" ht="15" customHeight="1" s="35"/>
    <row r="80" ht="15" customHeight="1" s="35"/>
    <row r="81" ht="15" customHeight="1" s="35"/>
    <row r="82" ht="15" customHeight="1" s="35"/>
    <row r="83" ht="15" customHeight="1" s="35"/>
    <row r="84" ht="15" customHeight="1" s="35"/>
    <row r="85" ht="15" customHeight="1" s="35"/>
    <row r="86" ht="15" customHeight="1" s="35"/>
    <row r="87" ht="15" customHeight="1" s="35"/>
    <row r="88" ht="15" customHeight="1" s="35"/>
    <row r="89" ht="15" customHeight="1" s="35"/>
    <row r="90" ht="15" customHeight="1" s="35"/>
    <row r="91" ht="15" customHeight="1" s="35"/>
    <row r="92" ht="15" customHeight="1" s="35"/>
    <row r="93" ht="15" customHeight="1" s="35"/>
    <row r="94" ht="15" customHeight="1" s="35"/>
    <row r="95" ht="15" customHeight="1" s="35"/>
    <row r="96" ht="15" customHeight="1" s="35"/>
    <row r="97" ht="15" customHeight="1" s="35"/>
    <row r="98" ht="15" customHeight="1" s="35"/>
    <row r="99" ht="15" customHeight="1" s="35"/>
    <row r="100" ht="15" customHeight="1" s="35"/>
    <row r="101" ht="15" customHeight="1" s="35"/>
    <row r="102" ht="15" customHeight="1" s="35"/>
    <row r="103" ht="15" customHeight="1" s="35"/>
    <row r="104" ht="15" customHeight="1" s="35"/>
    <row r="105" ht="15" customHeight="1" s="35"/>
    <row r="106" ht="15" customHeight="1" s="35"/>
    <row r="107" ht="15" customHeight="1" s="35"/>
  </sheetData>
  <autoFilter ref="A2:BE60"/>
  <mergeCells count="10">
    <mergeCell ref="A1:G1"/>
    <mergeCell ref="L1:R1"/>
    <mergeCell ref="AX1:BC1"/>
    <mergeCell ref="AP1:AR1"/>
    <mergeCell ref="Z1:AG1"/>
    <mergeCell ref="BD1:BE1"/>
    <mergeCell ref="AH1:AO1"/>
    <mergeCell ref="H1:K1"/>
    <mergeCell ref="S1:Y1"/>
    <mergeCell ref="AS1:AV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C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34" min="1" max="1"/>
    <col width="12" customWidth="1" style="34" min="2" max="3"/>
  </cols>
  <sheetData>
    <row r="1" ht="17.25" customHeight="1" s="35">
      <c r="A1" s="36" t="inlineStr">
        <is>
          <t>PROJECT SCOPE — MEASURED, NOT ESTIMATED</t>
        </is>
      </c>
    </row>
    <row r="2" ht="15" customHeight="1" s="35">
      <c r="A2" s="34" t="inlineStr">
        <is>
          <t>Variant counts read from every Air-Way series page. Counts above ~20 rows were re-fetched and reconciled;</t>
        </is>
      </c>
    </row>
    <row r="3" ht="15" customHeight="1" s="35">
      <c r="A3" s="34" t="inlineStr">
        <is>
          <t>single-pass counting was proven to overcount systematically on large tables.</t>
        </is>
      </c>
    </row>
    <row r="5" ht="15" customHeight="1" s="35">
      <c r="A5" s="38" t="inlineStr">
        <is>
          <t>Series in catalog</t>
        </is>
      </c>
      <c r="B5" s="34" t="n">
        <v>410</v>
      </c>
    </row>
    <row r="6" ht="15" customHeight="1" s="35">
      <c r="A6" s="38" t="inlineStr">
        <is>
          <t>Series counted</t>
        </is>
      </c>
      <c r="B6" s="34" t="n">
        <v>402</v>
      </c>
    </row>
    <row r="7" ht="15" customHeight="1" s="35">
      <c r="A7" s="38" t="inlineStr">
        <is>
          <t>Series unreadable</t>
        </is>
      </c>
      <c r="B7" s="34" t="n">
        <v>8</v>
      </c>
    </row>
    <row r="8" ht="15" customHeight="1" s="35">
      <c r="A8" s="38" t="inlineStr">
        <is>
          <t>TOTAL PARTS</t>
        </is>
      </c>
      <c r="B8" s="34" t="n">
        <v>5272</v>
      </c>
    </row>
    <row r="9" ht="15" customHeight="1" s="35">
      <c r="A9" s="38" t="inlineStr">
        <is>
          <t>Mean variants/series</t>
        </is>
      </c>
      <c r="B9" s="34" t="n">
        <v>13.1</v>
      </c>
    </row>
    <row r="10" ht="15" customHeight="1" s="35">
      <c r="A10" s="38" t="inlineStr">
        <is>
          <t>Master models needed (geometry roots)</t>
        </is>
      </c>
      <c r="B10" s="34" t="n">
        <v>173</v>
      </c>
    </row>
    <row r="11" ht="15" customHeight="1" s="35">
      <c r="A11" s="38" t="inlineStr">
        <is>
          <t>Parts per master (avg)</t>
        </is>
      </c>
      <c r="B11" s="34" t="n">
        <v>30.5</v>
      </c>
    </row>
    <row r="12" ht="15" customHeight="1" s="35">
      <c r="A12" s="39" t="n"/>
      <c r="B12" s="39" t="n"/>
      <c r="C12" s="39" t="n"/>
    </row>
    <row r="13" ht="15" customHeight="1" s="35">
      <c r="A13" s="34" t="inlineStr">
        <is>
          <t>Category</t>
        </is>
      </c>
      <c r="B13" s="34" t="inlineStr">
        <is>
          <t>Series</t>
        </is>
      </c>
      <c r="C13" s="34" t="inlineStr">
        <is>
          <t>Parts</t>
        </is>
      </c>
    </row>
    <row r="14" ht="15" customHeight="1" s="35">
      <c r="A14" s="34" t="inlineStr">
        <is>
          <t>JIC 37 &amp; Beaded Hose</t>
        </is>
      </c>
      <c r="B14" s="34" t="n">
        <v>154</v>
      </c>
      <c r="C14" s="34" t="n">
        <v>2783</v>
      </c>
    </row>
    <row r="15" ht="15" customHeight="1" s="35">
      <c r="A15" s="34" t="inlineStr">
        <is>
          <t>Stainless Steel Fittings</t>
        </is>
      </c>
      <c r="B15" s="34" t="n">
        <v>91</v>
      </c>
      <c r="C15" s="34" t="n">
        <v>853</v>
      </c>
    </row>
    <row r="16" ht="15" customHeight="1" s="35">
      <c r="A16" s="34" t="inlineStr">
        <is>
          <t>ORFS</t>
        </is>
      </c>
      <c r="B16" s="34" t="n">
        <v>51</v>
      </c>
      <c r="C16" s="34" t="n">
        <v>676</v>
      </c>
    </row>
    <row r="17" ht="15" customHeight="1" s="35">
      <c r="A17" s="34" t="inlineStr">
        <is>
          <t>International &amp; Metric</t>
        </is>
      </c>
      <c r="B17" s="34" t="n">
        <v>55</v>
      </c>
      <c r="C17" s="34" t="n">
        <v>502</v>
      </c>
    </row>
    <row r="18" ht="15" customHeight="1" s="35">
      <c r="A18" s="34" t="inlineStr">
        <is>
          <t>FLARE-O</t>
        </is>
      </c>
      <c r="B18" s="34" t="n">
        <v>38</v>
      </c>
      <c r="C18" s="34" t="n">
        <v>391</v>
      </c>
    </row>
    <row r="19" ht="15" customHeight="1" s="35">
      <c r="A19" s="34" t="inlineStr">
        <is>
          <t>Brass Fittings</t>
        </is>
      </c>
      <c r="B19" s="34" t="n">
        <v>11</v>
      </c>
      <c r="C19" s="34" t="n">
        <v>54</v>
      </c>
    </row>
    <row r="20" ht="15" customHeight="1" s="35">
      <c r="A20" s="34" t="inlineStr">
        <is>
          <t>Test Point Adapters</t>
        </is>
      </c>
      <c r="B20" s="34" t="n">
        <v>2</v>
      </c>
      <c r="C20" s="34" t="n">
        <v>13</v>
      </c>
    </row>
    <row r="21" ht="15" customHeight="1" s="35">
      <c r="A21" s="38" t="inlineStr">
        <is>
          <t>TOTAL</t>
        </is>
      </c>
      <c r="B21" s="38" t="n">
        <v>402</v>
      </c>
      <c r="C21" s="38" t="n">
        <v>5272</v>
      </c>
    </row>
    <row r="22" ht="15" customHeight="1" s="35">
      <c r="A22" s="39" t="n"/>
      <c r="B22" s="39" t="n"/>
      <c r="C22" s="39" t="n"/>
    </row>
    <row r="23" ht="15" customHeight="1" s="35">
      <c r="A23" s="34" t="inlineStr">
        <is>
          <t>Largest geometry roots — build these first</t>
        </is>
      </c>
      <c r="B23" s="34" t="inlineStr">
        <is>
          <t>Series</t>
        </is>
      </c>
      <c r="C23" s="34" t="inlineStr">
        <is>
          <t>Parts</t>
        </is>
      </c>
    </row>
    <row r="24" ht="15" customHeight="1" s="35">
      <c r="A24" s="34" t="inlineStr">
        <is>
          <t>6801</t>
        </is>
      </c>
      <c r="B24" s="34" t="n">
        <v>8</v>
      </c>
      <c r="C24" s="34" t="n">
        <v>260</v>
      </c>
    </row>
    <row r="25" ht="15" customHeight="1" s="35">
      <c r="A25" s="34" t="inlineStr">
        <is>
          <t>6400</t>
        </is>
      </c>
      <c r="B25" s="34" t="n">
        <v>8</v>
      </c>
      <c r="C25" s="34" t="n">
        <v>259</v>
      </c>
    </row>
    <row r="26" ht="15" customHeight="1" s="35">
      <c r="A26" s="34" t="inlineStr">
        <is>
          <t>2404</t>
        </is>
      </c>
      <c r="B26" s="34" t="n">
        <v>8</v>
      </c>
      <c r="C26" s="34" t="n">
        <v>182</v>
      </c>
    </row>
    <row r="27" ht="15" customHeight="1" s="35">
      <c r="A27" s="34" t="inlineStr">
        <is>
          <t>2501</t>
        </is>
      </c>
      <c r="B27" s="34" t="n">
        <v>6</v>
      </c>
      <c r="C27" s="34" t="n">
        <v>165</v>
      </c>
    </row>
    <row r="28" ht="15" customHeight="1" s="35">
      <c r="A28" s="34" t="inlineStr">
        <is>
          <t>6802</t>
        </is>
      </c>
      <c r="B28" s="34" t="n">
        <v>7</v>
      </c>
      <c r="C28" s="34" t="n">
        <v>146</v>
      </c>
    </row>
    <row r="29" ht="15" customHeight="1" s="35">
      <c r="A29" s="34" t="inlineStr">
        <is>
          <t>6804</t>
        </is>
      </c>
      <c r="B29" s="34" t="n">
        <v>7</v>
      </c>
      <c r="C29" s="34" t="n">
        <v>121</v>
      </c>
    </row>
    <row r="30" ht="15" customHeight="1" s="35">
      <c r="A30" s="34" t="inlineStr">
        <is>
          <t>UNPARSED</t>
        </is>
      </c>
      <c r="B30" s="34" t="n">
        <v>7</v>
      </c>
      <c r="C30" s="34" t="n">
        <v>106</v>
      </c>
    </row>
    <row r="31" ht="15" customHeight="1" s="35">
      <c r="A31" s="34" t="inlineStr">
        <is>
          <t>2503</t>
        </is>
      </c>
      <c r="B31" s="34" t="n">
        <v>5</v>
      </c>
      <c r="C31" s="34" t="n">
        <v>103</v>
      </c>
    </row>
    <row r="32" ht="15" customHeight="1" s="35">
      <c r="A32" s="34" t="inlineStr">
        <is>
          <t>2406</t>
        </is>
      </c>
      <c r="B32" s="34" t="n">
        <v>3</v>
      </c>
      <c r="C32" s="34" t="n">
        <v>100</v>
      </c>
    </row>
    <row r="33" ht="15" customHeight="1" s="35">
      <c r="A33" s="34" t="inlineStr">
        <is>
          <t>6803</t>
        </is>
      </c>
      <c r="B33" s="34" t="n">
        <v>7</v>
      </c>
      <c r="C33" s="34" t="n">
        <v>95</v>
      </c>
    </row>
    <row r="34" ht="15" customHeight="1" s="35">
      <c r="A34" s="34" t="inlineStr">
        <is>
          <t>2403</t>
        </is>
      </c>
      <c r="B34" s="34" t="n">
        <v>5</v>
      </c>
      <c r="C34" s="34" t="n">
        <v>90</v>
      </c>
    </row>
    <row r="35" ht="15" customHeight="1" s="35">
      <c r="A35" s="34" t="inlineStr">
        <is>
          <t>6602</t>
        </is>
      </c>
      <c r="B35" s="34" t="n">
        <v>6</v>
      </c>
      <c r="C35" s="34" t="n">
        <v>87</v>
      </c>
    </row>
    <row r="36" ht="15" customHeight="1" s="35">
      <c r="A36" s="34" t="inlineStr">
        <is>
          <t>6410</t>
        </is>
      </c>
      <c r="B36" s="34" t="n">
        <v>5</v>
      </c>
      <c r="C36" s="34" t="n">
        <v>86</v>
      </c>
    </row>
    <row r="37" ht="15" customHeight="1" s="35">
      <c r="A37" s="34" t="inlineStr">
        <is>
          <t>2700</t>
        </is>
      </c>
      <c r="B37" s="34" t="n">
        <v>6</v>
      </c>
      <c r="C37" s="34" t="n">
        <v>83</v>
      </c>
    </row>
    <row r="38" ht="15" customHeight="1" s="35">
      <c r="A38" s="34" t="inlineStr">
        <is>
          <t>6500</t>
        </is>
      </c>
      <c r="B38" s="34" t="n">
        <v>7</v>
      </c>
      <c r="C38" s="34" t="n">
        <v>83</v>
      </c>
    </row>
    <row r="39" ht="15" customHeight="1" s="35">
      <c r="A39" s="34" t="inlineStr">
        <is>
          <t>2603</t>
        </is>
      </c>
      <c r="B39" s="34" t="n">
        <v>5</v>
      </c>
      <c r="C39" s="34" t="n">
        <v>80</v>
      </c>
    </row>
    <row r="40" ht="15" customHeight="1" s="35">
      <c r="A40" s="34" t="inlineStr">
        <is>
          <t>6405</t>
        </is>
      </c>
      <c r="B40" s="34" t="n">
        <v>4</v>
      </c>
      <c r="C40" s="34" t="n">
        <v>79</v>
      </c>
    </row>
    <row r="41" ht="15" customHeight="1" s="35">
      <c r="A41" s="34" t="inlineStr">
        <is>
          <t>4604</t>
        </is>
      </c>
      <c r="B41" s="34" t="n">
        <v>3</v>
      </c>
      <c r="C41" s="34" t="n">
        <v>70</v>
      </c>
    </row>
    <row r="42" ht="15" customHeight="1" s="35">
      <c r="A42" s="34" t="inlineStr">
        <is>
          <t>2701</t>
        </is>
      </c>
      <c r="B42" s="34" t="n">
        <v>4</v>
      </c>
      <c r="C42" s="34" t="n">
        <v>69</v>
      </c>
    </row>
    <row r="43" ht="15" customHeight="1" s="35">
      <c r="A43" s="34" t="inlineStr">
        <is>
          <t>403</t>
        </is>
      </c>
      <c r="B43" s="34" t="n">
        <v>4</v>
      </c>
      <c r="C43" s="34" t="n">
        <v>68</v>
      </c>
    </row>
    <row r="44" ht="15" customHeight="1" s="35">
      <c r="A44" s="34" t="inlineStr">
        <is>
          <t>2405</t>
        </is>
      </c>
      <c r="B44" s="34" t="n">
        <v>4</v>
      </c>
      <c r="C44" s="34" t="n">
        <v>66</v>
      </c>
    </row>
    <row r="45" ht="15" customHeight="1" s="35">
      <c r="A45" s="34" t="inlineStr">
        <is>
          <t>2407</t>
        </is>
      </c>
      <c r="B45" s="34" t="n">
        <v>4</v>
      </c>
      <c r="C45" s="34" t="n">
        <v>64</v>
      </c>
    </row>
    <row r="46" ht="15" customHeight="1" s="35">
      <c r="A46" s="34" t="inlineStr">
        <is>
          <t>4601</t>
        </is>
      </c>
      <c r="B46" s="34" t="n">
        <v>3</v>
      </c>
      <c r="C46" s="34" t="n">
        <v>62</v>
      </c>
    </row>
    <row r="47" ht="15" customHeight="1" s="35">
      <c r="A47" s="34" t="inlineStr">
        <is>
          <t>6400-L</t>
        </is>
      </c>
      <c r="B47" s="34" t="n">
        <v>5</v>
      </c>
      <c r="C47" s="34" t="n">
        <v>58</v>
      </c>
    </row>
    <row r="48" ht="15" customHeight="1" s="35">
      <c r="A48" s="34" t="inlineStr">
        <is>
          <t>2702</t>
        </is>
      </c>
      <c r="B48" s="34" t="n">
        <v>4</v>
      </c>
      <c r="C48" s="34" t="n">
        <v>57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4" min="1" max="1"/>
    <col width="14" customWidth="1" style="34" min="2" max="2"/>
    <col width="15" customWidth="1" style="34" min="3" max="3"/>
    <col width="22" customWidth="1" style="34" min="4" max="5"/>
    <col width="20" customWidth="1" style="34" min="6" max="6"/>
    <col width="13" customWidth="1" style="34" min="7" max="7"/>
    <col width="44" customWidth="1" style="34" min="8" max="8"/>
  </cols>
  <sheetData>
    <row r="1" ht="15" customHeight="1" s="35">
      <c r="A1" s="57" t="inlineStr">
        <is>
          <t>Dash</t>
        </is>
      </c>
      <c r="B1" s="57" t="inlineStr">
        <is>
          <t>TubeOD_Frac</t>
        </is>
      </c>
      <c r="C1" s="57" t="inlineStr">
        <is>
          <t>TubeOD_dec_in</t>
        </is>
      </c>
      <c r="D1" s="57" t="inlineStr">
        <is>
          <t>JIC_Thread_UN_UNF</t>
        </is>
      </c>
      <c r="E1" s="57" t="inlineStr">
        <is>
          <t>Source1_AirWay_2404</t>
        </is>
      </c>
      <c r="F1" s="57" t="inlineStr">
        <is>
          <t>Source2_gageref</t>
        </is>
      </c>
      <c r="G1" s="57" t="inlineStr">
        <is>
          <t>CrossCheck</t>
        </is>
      </c>
      <c r="H1" s="57" t="inlineStr">
        <is>
          <t>Note</t>
        </is>
      </c>
    </row>
    <row r="2" ht="15" customHeight="1" s="35">
      <c r="A2" s="37" t="n">
        <v>2</v>
      </c>
      <c r="B2" s="37" t="inlineStr">
        <is>
          <t>1/8</t>
        </is>
      </c>
      <c r="C2" s="37" t="n">
        <v>0.125</v>
      </c>
      <c r="D2" s="37" t="inlineStr">
        <is>
          <t>5/16-24</t>
        </is>
      </c>
      <c r="E2" s="37" t="inlineStr">
        <is>
          <t>5/16-24</t>
        </is>
      </c>
      <c r="F2" s="37" t="inlineStr">
        <is>
          <t>5/16-24</t>
        </is>
      </c>
      <c r="G2" s="45" t="inlineStr">
        <is>
          <t>MATCH</t>
        </is>
      </c>
      <c r="H2" s="37" t="n"/>
    </row>
    <row r="3" ht="15" customHeight="1" s="35">
      <c r="A3" s="37" t="n">
        <v>3</v>
      </c>
      <c r="B3" s="37" t="inlineStr">
        <is>
          <t>3/16</t>
        </is>
      </c>
      <c r="C3" s="37" t="n">
        <v>0.1875</v>
      </c>
      <c r="D3" s="37" t="inlineStr">
        <is>
          <t>3/8-24</t>
        </is>
      </c>
      <c r="E3" s="37" t="inlineStr">
        <is>
          <t>3/8-24</t>
        </is>
      </c>
      <c r="F3" s="37" t="inlineStr">
        <is>
          <t>3/8-24</t>
        </is>
      </c>
      <c r="G3" s="45" t="inlineStr">
        <is>
          <t>MATCH</t>
        </is>
      </c>
      <c r="H3" s="37" t="n"/>
    </row>
    <row r="4" ht="15" customHeight="1" s="35">
      <c r="A4" s="37" t="n">
        <v>4</v>
      </c>
      <c r="B4" s="37" t="inlineStr">
        <is>
          <t>1/4</t>
        </is>
      </c>
      <c r="C4" s="37" t="n">
        <v>0.25</v>
      </c>
      <c r="D4" s="37" t="inlineStr">
        <is>
          <t>7/16-20</t>
        </is>
      </c>
      <c r="E4" s="37" t="inlineStr">
        <is>
          <t>7/16-20</t>
        </is>
      </c>
      <c r="F4" s="37" t="inlineStr">
        <is>
          <t>7/16-20</t>
        </is>
      </c>
      <c r="G4" s="45" t="inlineStr">
        <is>
          <t>MATCH</t>
        </is>
      </c>
      <c r="H4" s="37" t="n"/>
    </row>
    <row r="5" ht="15" customHeight="1" s="35">
      <c r="A5" s="37" t="n">
        <v>5</v>
      </c>
      <c r="B5" s="37" t="inlineStr">
        <is>
          <t>5/16</t>
        </is>
      </c>
      <c r="C5" s="37" t="n">
        <v>0.3125</v>
      </c>
      <c r="D5" s="37" t="inlineStr">
        <is>
          <t>1/2-20</t>
        </is>
      </c>
      <c r="E5" s="37" t="inlineStr">
        <is>
          <t>1/2-20</t>
        </is>
      </c>
      <c r="F5" s="37" t="inlineStr">
        <is>
          <t>1/2-20</t>
        </is>
      </c>
      <c r="G5" s="45" t="inlineStr">
        <is>
          <t>MATCH</t>
        </is>
      </c>
      <c r="H5" s="37" t="n"/>
    </row>
    <row r="6" ht="15" customHeight="1" s="35">
      <c r="A6" s="37" t="n">
        <v>6</v>
      </c>
      <c r="B6" s="37" t="inlineStr">
        <is>
          <t>3/8</t>
        </is>
      </c>
      <c r="C6" s="37" t="n">
        <v>0.375</v>
      </c>
      <c r="D6" s="37" t="inlineStr">
        <is>
          <t>9/16-18</t>
        </is>
      </c>
      <c r="E6" s="37" t="inlineStr">
        <is>
          <t>9/16-18</t>
        </is>
      </c>
      <c r="F6" s="37" t="inlineStr">
        <is>
          <t>9/16-18</t>
        </is>
      </c>
      <c r="G6" s="45" t="inlineStr">
        <is>
          <t>MATCH</t>
        </is>
      </c>
      <c r="H6" s="37" t="n"/>
    </row>
    <row r="7" ht="15" customHeight="1" s="35">
      <c r="A7" s="37" t="n">
        <v>8</v>
      </c>
      <c r="B7" s="37" t="inlineStr">
        <is>
          <t>1/2</t>
        </is>
      </c>
      <c r="C7" s="37" t="n">
        <v>0.5</v>
      </c>
      <c r="D7" s="37" t="inlineStr">
        <is>
          <t>3/4-16</t>
        </is>
      </c>
      <c r="E7" s="37" t="inlineStr">
        <is>
          <t>3/4-16</t>
        </is>
      </c>
      <c r="F7" s="37" t="inlineStr">
        <is>
          <t>3/4-16</t>
        </is>
      </c>
      <c r="G7" s="45" t="inlineStr">
        <is>
          <t>MATCH</t>
        </is>
      </c>
      <c r="H7" s="37" t="n"/>
    </row>
    <row r="8" ht="15" customHeight="1" s="35">
      <c r="A8" s="37" t="n">
        <v>10</v>
      </c>
      <c r="B8" s="37" t="inlineStr">
        <is>
          <t>5/8</t>
        </is>
      </c>
      <c r="C8" s="37" t="n">
        <v>0.625</v>
      </c>
      <c r="D8" s="37" t="inlineStr">
        <is>
          <t>7/8-14</t>
        </is>
      </c>
      <c r="E8" s="37" t="inlineStr">
        <is>
          <t>7/8-14</t>
        </is>
      </c>
      <c r="F8" s="37" t="inlineStr">
        <is>
          <t>7/8-14</t>
        </is>
      </c>
      <c r="G8" s="45" t="inlineStr">
        <is>
          <t>MATCH</t>
        </is>
      </c>
      <c r="H8" s="37" t="n"/>
    </row>
    <row r="9" ht="15" customHeight="1" s="35">
      <c r="A9" s="37" t="n">
        <v>12</v>
      </c>
      <c r="B9" s="37" t="inlineStr">
        <is>
          <t>3/4</t>
        </is>
      </c>
      <c r="C9" s="37" t="n">
        <v>0.75</v>
      </c>
      <c r="D9" s="37" t="inlineStr">
        <is>
          <t>1 1/16-12</t>
        </is>
      </c>
      <c r="E9" s="37" t="inlineStr">
        <is>
          <t>1 1/16-12</t>
        </is>
      </c>
      <c r="F9" s="37" t="inlineStr">
        <is>
          <t>1 1/16-12</t>
        </is>
      </c>
      <c r="G9" s="45" t="inlineStr">
        <is>
          <t>MATCH</t>
        </is>
      </c>
      <c r="H9" s="37" t="n"/>
    </row>
    <row r="10" ht="15" customHeight="1" s="35">
      <c r="A10" s="37" t="n">
        <v>14</v>
      </c>
      <c r="B10" s="37" t="inlineStr">
        <is>
          <t>7/8</t>
        </is>
      </c>
      <c r="C10" s="37" t="n">
        <v>0.875</v>
      </c>
      <c r="D10" s="37" t="inlineStr">
        <is>
          <t>1 3/16-12</t>
        </is>
      </c>
      <c r="E10" s="37" t="inlineStr">
        <is>
          <t>1 3/16-12</t>
        </is>
      </c>
      <c r="F10" s="37" t="inlineStr">
        <is>
          <t>(not listed)</t>
        </is>
      </c>
      <c r="G10" s="44" t="inlineStr">
        <is>
          <t>SINGLE SOURCE</t>
        </is>
      </c>
      <c r="H10" s="37" t="inlineStr">
        <is>
          <t>Dash -14 present in Air-Way; ABSENT from the gageref chart. Single-source — confirm before use.</t>
        </is>
      </c>
    </row>
    <row r="11" ht="15" customHeight="1" s="35">
      <c r="A11" s="37" t="n">
        <v>16</v>
      </c>
      <c r="B11" s="37" t="inlineStr">
        <is>
          <t>1</t>
        </is>
      </c>
      <c r="C11" s="37" t="n">
        <v>1</v>
      </c>
      <c r="D11" s="37" t="inlineStr">
        <is>
          <t>1 5/16-12</t>
        </is>
      </c>
      <c r="E11" s="37" t="inlineStr">
        <is>
          <t>1 5/16-12</t>
        </is>
      </c>
      <c r="F11" s="37" t="inlineStr">
        <is>
          <t>1 5/16-12</t>
        </is>
      </c>
      <c r="G11" s="45" t="inlineStr">
        <is>
          <t>MATCH</t>
        </is>
      </c>
      <c r="H11" s="37" t="n"/>
    </row>
    <row r="12" ht="15" customHeight="1" s="35">
      <c r="A12" s="37" t="n">
        <v>20</v>
      </c>
      <c r="B12" s="37" t="inlineStr">
        <is>
          <t>1 1/4</t>
        </is>
      </c>
      <c r="C12" s="37" t="n">
        <v>1.25</v>
      </c>
      <c r="D12" s="37" t="inlineStr">
        <is>
          <t>1 5/8-12</t>
        </is>
      </c>
      <c r="E12" s="37" t="inlineStr">
        <is>
          <t>1 5/8-12</t>
        </is>
      </c>
      <c r="F12" s="37" t="inlineStr">
        <is>
          <t>1 5/8-12</t>
        </is>
      </c>
      <c r="G12" s="45" t="inlineStr">
        <is>
          <t>MATCH</t>
        </is>
      </c>
      <c r="H12" s="37" t="n"/>
    </row>
    <row r="13" ht="15" customHeight="1" s="35">
      <c r="A13" s="37" t="n">
        <v>24</v>
      </c>
      <c r="B13" s="37" t="inlineStr">
        <is>
          <t>1 1/2</t>
        </is>
      </c>
      <c r="C13" s="37" t="n">
        <v>1.5</v>
      </c>
      <c r="D13" s="37" t="inlineStr">
        <is>
          <t>1 7/8-12</t>
        </is>
      </c>
      <c r="E13" s="37" t="inlineStr">
        <is>
          <t>1 7/8-12</t>
        </is>
      </c>
      <c r="F13" s="37" t="inlineStr">
        <is>
          <t>1 7/8-12</t>
        </is>
      </c>
      <c r="G13" s="45" t="inlineStr">
        <is>
          <t>MATCH</t>
        </is>
      </c>
      <c r="H13" s="37" t="n"/>
    </row>
    <row r="14" ht="15" customHeight="1" s="35">
      <c r="A14" s="37" t="n">
        <v>32</v>
      </c>
      <c r="B14" s="37" t="inlineStr">
        <is>
          <t>2</t>
        </is>
      </c>
      <c r="C14" s="37" t="n">
        <v>2</v>
      </c>
      <c r="D14" s="37" t="inlineStr">
        <is>
          <t>2 1/2-12</t>
        </is>
      </c>
      <c r="E14" s="37" t="inlineStr">
        <is>
          <t>2 1/2-12</t>
        </is>
      </c>
      <c r="F14" s="37" t="inlineStr">
        <is>
          <t>2 1/2-12</t>
        </is>
      </c>
      <c r="G14" s="45" t="inlineStr">
        <is>
          <t>MATCH</t>
        </is>
      </c>
      <c r="H14"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4" min="1" max="1"/>
    <col width="18" customWidth="1" style="34" min="2" max="3"/>
    <col width="8" customWidth="1" style="34" min="4" max="4"/>
    <col width="22" customWidth="1" style="34" min="5" max="5"/>
    <col width="26" customWidth="1" style="34" min="6" max="6"/>
    <col width="40" customWidth="1" style="34" min="7" max="7"/>
  </cols>
  <sheetData>
    <row r="1" ht="15" customHeight="1" s="35">
      <c r="A1" s="57" t="inlineStr">
        <is>
          <t>Dash</t>
        </is>
      </c>
      <c r="B1" s="57" t="inlineStr">
        <is>
          <t>NPTF_Thread</t>
        </is>
      </c>
      <c r="C1" s="57" t="inlineStr">
        <is>
          <t>NominalPipeSize</t>
        </is>
      </c>
      <c r="D1" s="57" t="inlineStr">
        <is>
          <t>TPI</t>
        </is>
      </c>
      <c r="E1" s="57" t="inlineStr">
        <is>
          <t>Standard</t>
        </is>
      </c>
      <c r="F1" s="57" t="inlineStr">
        <is>
          <t>SealType</t>
        </is>
      </c>
      <c r="G1" s="57" t="inlineStr">
        <is>
          <t>Note</t>
        </is>
      </c>
    </row>
    <row r="2" ht="15" customHeight="1" s="35">
      <c r="A2" s="37" t="n">
        <v>2</v>
      </c>
      <c r="B2" s="37" t="inlineStr">
        <is>
          <t>1/8-27</t>
        </is>
      </c>
      <c r="C2" s="37" t="inlineStr">
        <is>
          <t>1/8</t>
        </is>
      </c>
      <c r="D2" s="37" t="n">
        <v>27</v>
      </c>
      <c r="E2" s="37" t="inlineStr">
        <is>
          <t>ASME B1.20.3 (NPTF Dryseal)</t>
        </is>
      </c>
      <c r="F2" s="37" t="inlineStr">
        <is>
          <t>Tapered thread, metal-to-metal</t>
        </is>
      </c>
      <c r="G2" s="37" t="inlineStr">
        <is>
          <t>Pitches match standard NPT/NPTF pitch series.</t>
        </is>
      </c>
    </row>
    <row r="3" ht="15" customHeight="1" s="35">
      <c r="A3" s="37" t="n">
        <v>4</v>
      </c>
      <c r="B3" s="37" t="inlineStr">
        <is>
          <t>1/4-18</t>
        </is>
      </c>
      <c r="C3" s="37" t="inlineStr">
        <is>
          <t>1/4</t>
        </is>
      </c>
      <c r="D3" s="37" t="n">
        <v>18</v>
      </c>
      <c r="E3" s="37" t="inlineStr">
        <is>
          <t>ASME B1.20.3 (NPTF Dryseal)</t>
        </is>
      </c>
      <c r="F3" s="37" t="inlineStr">
        <is>
          <t>Tapered thread, metal-to-metal</t>
        </is>
      </c>
      <c r="G3" s="37" t="inlineStr">
        <is>
          <t>Pitches match standard NPT/NPTF pitch series.</t>
        </is>
      </c>
    </row>
    <row r="4" ht="15" customHeight="1" s="35">
      <c r="A4" s="37" t="n">
        <v>6</v>
      </c>
      <c r="B4" s="37" t="inlineStr">
        <is>
          <t>3/8-18</t>
        </is>
      </c>
      <c r="C4" s="37" t="inlineStr">
        <is>
          <t>3/8</t>
        </is>
      </c>
      <c r="D4" s="37" t="n">
        <v>18</v>
      </c>
      <c r="E4" s="37" t="inlineStr">
        <is>
          <t>ASME B1.20.3 (NPTF Dryseal)</t>
        </is>
      </c>
      <c r="F4" s="37" t="inlineStr">
        <is>
          <t>Tapered thread, metal-to-metal</t>
        </is>
      </c>
      <c r="G4" s="37" t="inlineStr">
        <is>
          <t>Pitches match standard NPT/NPTF pitch series.</t>
        </is>
      </c>
    </row>
    <row r="5" ht="15" customHeight="1" s="35">
      <c r="A5" s="37" t="n">
        <v>8</v>
      </c>
      <c r="B5" s="37" t="inlineStr">
        <is>
          <t>1/2-14</t>
        </is>
      </c>
      <c r="C5" s="37" t="inlineStr">
        <is>
          <t>1/2</t>
        </is>
      </c>
      <c r="D5" s="37" t="n">
        <v>14</v>
      </c>
      <c r="E5" s="37" t="inlineStr">
        <is>
          <t>ASME B1.20.3 (NPTF Dryseal)</t>
        </is>
      </c>
      <c r="F5" s="37" t="inlineStr">
        <is>
          <t>Tapered thread, metal-to-metal</t>
        </is>
      </c>
      <c r="G5" s="37" t="inlineStr">
        <is>
          <t>Pitches match standard NPT/NPTF pitch series.</t>
        </is>
      </c>
    </row>
    <row r="6" ht="15" customHeight="1" s="35">
      <c r="A6" s="37" t="n">
        <v>12</v>
      </c>
      <c r="B6" s="37" t="inlineStr">
        <is>
          <t>3/4-14</t>
        </is>
      </c>
      <c r="C6" s="37" t="inlineStr">
        <is>
          <t>3/4</t>
        </is>
      </c>
      <c r="D6" s="37" t="n">
        <v>14</v>
      </c>
      <c r="E6" s="37" t="inlineStr">
        <is>
          <t>ASME B1.20.3 (NPTF Dryseal)</t>
        </is>
      </c>
      <c r="F6" s="37" t="inlineStr">
        <is>
          <t>Tapered thread, metal-to-metal</t>
        </is>
      </c>
      <c r="G6" s="37" t="inlineStr">
        <is>
          <t>Pitches match standard NPT/NPTF pitch series.</t>
        </is>
      </c>
    </row>
    <row r="7" ht="15" customHeight="1" s="35">
      <c r="A7" s="37" t="n">
        <v>16</v>
      </c>
      <c r="B7" s="37" t="inlineStr">
        <is>
          <t>1-11 1/2</t>
        </is>
      </c>
      <c r="C7" s="37" t="inlineStr">
        <is>
          <t>1</t>
        </is>
      </c>
      <c r="D7" s="37" t="n">
        <v>11.5</v>
      </c>
      <c r="E7" s="37" t="inlineStr">
        <is>
          <t>ASME B1.20.3 (NPTF Dryseal)</t>
        </is>
      </c>
      <c r="F7" s="37" t="inlineStr">
        <is>
          <t>Tapered thread, metal-to-metal</t>
        </is>
      </c>
      <c r="G7" s="37" t="inlineStr">
        <is>
          <t>Pitches match standard NPT/NPTF pitch series.</t>
        </is>
      </c>
    </row>
    <row r="8" ht="15" customHeight="1" s="35">
      <c r="A8" s="37" t="n">
        <v>20</v>
      </c>
      <c r="B8" s="37" t="inlineStr">
        <is>
          <t>1 1/4-11 1/2</t>
        </is>
      </c>
      <c r="C8" s="37" t="inlineStr">
        <is>
          <t>1 1/4</t>
        </is>
      </c>
      <c r="D8" s="37" t="n">
        <v>11.5</v>
      </c>
      <c r="E8" s="37" t="inlineStr">
        <is>
          <t>ASME B1.20.3 (NPTF Dryseal)</t>
        </is>
      </c>
      <c r="F8" s="37" t="inlineStr">
        <is>
          <t>Tapered thread, metal-to-metal</t>
        </is>
      </c>
      <c r="G8" s="37" t="inlineStr">
        <is>
          <t>Pitches match standard NPT/NPTF pitch series.</t>
        </is>
      </c>
    </row>
    <row r="9" ht="15" customHeight="1" s="35">
      <c r="A9" s="37" t="n">
        <v>24</v>
      </c>
      <c r="B9" s="37" t="inlineStr">
        <is>
          <t>1 1/2-11 1/2</t>
        </is>
      </c>
      <c r="C9" s="37" t="inlineStr">
        <is>
          <t>1 1/2</t>
        </is>
      </c>
      <c r="D9" s="37" t="n">
        <v>11.5</v>
      </c>
      <c r="E9" s="37" t="inlineStr">
        <is>
          <t>ASME B1.20.3 (NPTF Dryseal)</t>
        </is>
      </c>
      <c r="F9" s="37" t="inlineStr">
        <is>
          <t>Tapered thread, metal-to-metal</t>
        </is>
      </c>
      <c r="G9" s="37" t="inlineStr">
        <is>
          <t>Pitches match standard NPT/NPTF pitch series.</t>
        </is>
      </c>
    </row>
    <row r="10" ht="15" customHeight="1" s="35">
      <c r="A10" s="37" t="n">
        <v>32</v>
      </c>
      <c r="B10" s="37" t="inlineStr">
        <is>
          <t>2-11 1/2</t>
        </is>
      </c>
      <c r="C10" s="37" t="inlineStr">
        <is>
          <t>2</t>
        </is>
      </c>
      <c r="D10" s="37" t="n">
        <v>11.5</v>
      </c>
      <c r="E10" s="37" t="inlineStr">
        <is>
          <t>ASME B1.20.3 (NPTF Dryseal)</t>
        </is>
      </c>
      <c r="F10" s="37" t="inlineStr">
        <is>
          <t>Tapered thread, metal-to-metal</t>
        </is>
      </c>
      <c r="G10" s="37" t="inlineStr">
        <is>
          <t>Pitches match standard NPT/NPTF pitch series.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4" min="1" max="1"/>
    <col width="30" customWidth="1" style="34" min="2" max="2"/>
    <col width="44" customWidth="1" style="34" min="3" max="3"/>
    <col width="50" customWidth="1" style="34" min="4" max="4"/>
    <col width="22" customWidth="1" style="34" min="5" max="5"/>
    <col width="18" customWidth="1" style="34" min="6" max="6"/>
  </cols>
  <sheetData>
    <row r="1" ht="15" customHeight="1" s="35">
      <c r="A1" s="57" t="inlineStr">
        <is>
          <t>Standard</t>
        </is>
      </c>
      <c r="B1" s="57" t="inlineStr">
        <is>
          <t>Applies To</t>
        </is>
      </c>
      <c r="C1" s="57" t="inlineStr">
        <is>
          <t>What it governs</t>
        </is>
      </c>
      <c r="D1" s="57" t="inlineStr">
        <is>
          <t>What it does NOT give us</t>
        </is>
      </c>
      <c r="E1" s="57" t="inlineStr">
        <is>
          <t>Access</t>
        </is>
      </c>
      <c r="F1" s="57" t="inlineStr">
        <is>
          <t>Status</t>
        </is>
      </c>
    </row>
    <row r="2" ht="23.25" customHeight="1" s="35">
      <c r="A2" s="58" t="inlineStr">
        <is>
          <t>SAE J514 (monolithic)</t>
        </is>
      </c>
      <c r="B2" s="58" t="inlineStr">
        <is>
          <t>37 deg flared tube fittings</t>
        </is>
      </c>
      <c r="C2" s="58" t="inlineStr">
        <is>
          <t>CANCELED 2024-11-22. Reorganized into J514/1, /2, /3.</t>
        </is>
      </c>
      <c r="D2" s="58" t="inlineStr">
        <is>
          <t>Superseded. Free copies online are all this edition.</t>
        </is>
      </c>
      <c r="E2" s="58" t="inlineStr">
        <is>
          <t>Canceled</t>
        </is>
      </c>
      <c r="F2" s="59" t="inlineStr">
        <is>
          <t>SUPERSEDED</t>
        </is>
      </c>
    </row>
    <row r="3" ht="15" customHeight="1" s="35">
      <c r="A3" s="58" t="inlineStr">
        <is>
          <t>SAE J514/1 (current)</t>
        </is>
      </c>
      <c r="B3" s="58" t="inlineStr">
        <is>
          <t>37 deg flared fittings</t>
        </is>
      </c>
      <c r="C3" s="58" t="inlineStr">
        <is>
          <t>VERBATIM SCOPE: 'covers general and dimensional specifications for 37 degree flared tube fittings.' Fixes BODY dimensions, not just seat and thread.</t>
        </is>
      </c>
      <c r="D3" s="58" t="inlineStr">
        <is>
          <t>Tables not retrievable free. Current ed. 202403.</t>
        </is>
      </c>
      <c r="E3" s="58" t="inlineStr">
        <is>
          <t>PAID ~$100-200 (SAE / ANSI Webstore)</t>
        </is>
      </c>
      <c r="F3" s="60" t="inlineStr">
        <is>
          <t>CONFIRMED SCOPE, TABLES NOT HELD</t>
        </is>
      </c>
    </row>
    <row r="4" ht="23.25" customHeight="1" s="35">
      <c r="A4" s="58" t="inlineStr">
        <is>
          <t>SAE J514-2012 Table 1A</t>
        </is>
      </c>
      <c r="B4" s="58" t="inlineStr">
        <is>
          <t>Hex across flats</t>
        </is>
      </c>
      <c r="C4" s="58" t="inlineStr">
        <is>
          <t>HEX TOLERANCES table exists (minus-only, 0.012 to 0.031 in by size band). Proof the standard specifies nominal hex.</t>
        </is>
      </c>
      <c r="D4" s="58" t="inlineStr">
        <is>
          <t>Tolerance table only; nominal values are in body tables not retrieved.</t>
        </is>
      </c>
      <c r="E4" s="58" t="inlineStr">
        <is>
          <t>Free preview (antpedia)</t>
        </is>
      </c>
      <c r="F4" s="59" t="inlineStr">
        <is>
          <t>PARTIAL - OBTAINED</t>
        </is>
      </c>
    </row>
    <row r="5" ht="15" customHeight="1" s="35">
      <c r="A5" s="58" t="inlineStr">
        <is>
          <t>SAE code 070102</t>
        </is>
      </c>
      <c r="B5" s="58" t="inlineStr">
        <is>
          <t>The 2404 male connector</t>
        </is>
      </c>
      <c r="C5" s="58" t="inlineStr">
        <is>
          <t>Confirmed = MALE CONNECTOR configuration designation defined inside J514.</t>
        </is>
      </c>
      <c r="D5" s="58" t="inlineStr">
        <is>
          <t>Digit-group decoding rule unconfirmed.</t>
        </is>
      </c>
      <c r="E5" s="58" t="inlineStr">
        <is>
          <t>n/a</t>
        </is>
      </c>
      <c r="F5" s="60" t="inlineStr">
        <is>
          <t>CONFIRMED</t>
        </is>
      </c>
    </row>
    <row r="6" ht="15" customHeight="1" s="35">
      <c r="A6" s="58" t="inlineStr">
        <is>
          <t>MS51500</t>
        </is>
      </c>
      <c r="B6" s="58" t="inlineStr">
        <is>
          <t>2404 male connector</t>
        </is>
      </c>
      <c r="C6" s="58" t="inlineStr">
        <is>
          <t>Mil-spec for JIC 37 tube x male NPTF straight. INACTIVE for new design after 1999-08-17; use J514.</t>
        </is>
      </c>
      <c r="D6" s="58" t="inlineStr">
        <is>
          <t>Free copies at everyspec are SCANNED IMAGES with no text layer - not machine-readable.</t>
        </is>
      </c>
      <c r="E6" s="58" t="inlineStr">
        <is>
          <t>Free (everyspec, image only)</t>
        </is>
      </c>
      <c r="F6" s="59" t="inlineStr">
        <is>
          <t>NOT MACHINE-READABLE</t>
        </is>
      </c>
    </row>
    <row r="7" ht="23.25" customHeight="1" s="35">
      <c r="A7" s="58" t="inlineStr">
        <is>
          <t>ASME B1.20.3</t>
        </is>
      </c>
      <c r="B7" s="58" t="inlineStr">
        <is>
          <t>NPTF dryseal pipe threads</t>
        </is>
      </c>
      <c r="C7" s="58" t="inlineStr">
        <is>
          <t>Tapered thread form, pitch, taper, gauging.</t>
        </is>
      </c>
      <c r="D7" s="58" t="inlineStr">
        <is>
          <t>No fitting body dimensions.</t>
        </is>
      </c>
      <c r="E7" s="58" t="inlineStr">
        <is>
          <t>PAID</t>
        </is>
      </c>
      <c r="F7" s="61" t="inlineStr">
        <is>
          <t>NOT OBTAINED</t>
        </is>
      </c>
    </row>
    <row r="8" ht="23.25" customHeight="1" s="35">
      <c r="A8" s="58" t="inlineStr">
        <is>
          <t>ISO 8434-2</t>
        </is>
      </c>
      <c r="B8" s="58" t="inlineStr">
        <is>
          <t>37 deg flared, ISO counterpart</t>
        </is>
      </c>
      <c r="C8" s="58" t="inlineStr">
        <is>
          <t>Asserted by vendors as the J514 equivalent.</t>
        </is>
      </c>
      <c r="D8" s="58" t="inlineStr">
        <is>
          <t>Harmonization NOT confirmed by any official SAE or ISO source.</t>
        </is>
      </c>
      <c r="E8" s="58" t="inlineStr">
        <is>
          <t>PAID</t>
        </is>
      </c>
      <c r="F8" s="59" t="inlineStr">
        <is>
          <t>VENDOR CLAIM ONLY</t>
        </is>
      </c>
    </row>
    <row r="9" ht="15" customHeight="1" s="35">
      <c r="A9" s="58" t="inlineStr">
        <is>
          <t>(none)</t>
        </is>
      </c>
      <c r="B9" s="58" t="inlineStr">
        <is>
          <t>Brass line (11 series)</t>
        </is>
      </c>
      <c r="C9" s="58" t="inlineStr">
        <is>
          <t>Air-Way cites NO standard on any brass series page.</t>
        </is>
      </c>
      <c r="D9" s="58" t="inlineStr">
        <is>
          <t>No standards cross-check possible.</t>
        </is>
      </c>
      <c r="E9" s="58" t="inlineStr">
        <is>
          <t>n/a</t>
        </is>
      </c>
      <c r="F9" s="61" t="inlineStr">
        <is>
          <t>BLOCKED</t>
        </is>
      </c>
    </row>
    <row r="10" ht="15" customHeight="1" s="35">
      <c r="A10" s="58" t="inlineStr">
        <is>
          <t>(none)</t>
        </is>
      </c>
      <c r="B10" s="58" t="inlineStr">
        <is>
          <t>FLARE-O (39 series)</t>
        </is>
      </c>
      <c r="C10" s="58" t="inlineStr">
        <is>
          <t>Proprietary Air-Way 37 deg flare with integral O-ring.</t>
        </is>
      </c>
      <c r="D10" s="58" t="inlineStr">
        <is>
          <t>No public standard governs the O-ring groove.</t>
        </is>
      </c>
      <c r="E10" s="58" t="inlineStr">
        <is>
          <t>n/a</t>
        </is>
      </c>
      <c r="F10" s="61" t="inlineStr">
        <is>
          <t>BLOCKED</t>
        </is>
      </c>
    </row>
    <row r="11">
      <c r="A11" s="34" t="inlineStr">
        <is>
          <t>Parker ORD-5700 Table 4-4</t>
        </is>
      </c>
      <c r="B11" s="34" t="inlineStr">
        <is>
          <t>ORB stud ends (64xx/68xx/69xx ORB legs)</t>
        </is>
      </c>
      <c r="C11" s="34" t="inlineStr">
        <is>
          <t>Groove root dia F and groove width G (AS4395 end used with J1926/1 ports)</t>
        </is>
      </c>
      <c r="D11" s="34" t="inlineStr">
        <is>
          <t>Stud/thread length; K dia; G for -14..-32 not individually printed; no -7</t>
        </is>
      </c>
      <c r="E11" s="34" t="inlineStr">
        <is>
          <t>FREE (parker.com PDF)</t>
        </is>
      </c>
      <c r="F11" s="34" t="inlineStr">
        <is>
          <t>HELD - transcribed</t>
        </is>
      </c>
    </row>
    <row r="12">
      <c r="A12" s="34" t="inlineStr">
        <is>
          <t>AN818 Rev 20 Amd 4</t>
        </is>
      </c>
      <c r="B12" s="34" t="inlineStr">
        <is>
          <t>JIC swivel nut (aerospace cross-check)</t>
        </is>
      </c>
      <c r="C12" s="34" t="inlineStr">
        <is>
          <t>Nut envelope: hex, bore, lengths, thread depth, chamfers</t>
        </is>
      </c>
      <c r="D12" s="34" t="inlineStr">
        <is>
          <t>Internal 37 deg seat; is aerospace UNJ nut, not industrial</t>
        </is>
      </c>
      <c r="E12" s="34" t="inlineStr">
        <is>
          <t>FREE (ASSIST)</t>
        </is>
      </c>
      <c r="F12" s="34" t="inlineStr">
        <is>
          <t>HELD - transcribed</t>
        </is>
      </c>
    </row>
    <row r="13">
      <c r="A13" s="34" t="inlineStr">
        <is>
          <t>MS51531D</t>
        </is>
      </c>
      <c r="B13" s="34" t="inlineStr">
        <is>
          <t>JIC swivel nut (industrial J514) - 6500/6500-L/2406/6900</t>
        </is>
      </c>
      <c r="C13" s="34" t="inlineStr">
        <is>
          <t>Nut envelope: B thread, C hex, D1 bore, I1, J1, L1</t>
        </is>
      </c>
      <c r="D13" s="34" t="inlineStr">
        <is>
          <t>Internal 37 deg seat (defers to J514); does not restrict vendor designs</t>
        </is>
      </c>
      <c r="E13" s="34" t="inlineStr">
        <is>
          <t>FREE (ASSIST)</t>
        </is>
      </c>
      <c r="F13" s="34" t="inlineStr">
        <is>
          <t>HELD - transcribed</t>
        </is>
      </c>
    </row>
    <row r="14">
      <c r="A14" s="34" t="inlineStr">
        <is>
          <t>SAE-AS1708</t>
        </is>
      </c>
      <c r="B14" s="34" t="inlineStr">
        <is>
          <t>Female 37 deg internal flare seat</t>
        </is>
      </c>
      <c r="C14" s="34" t="inlineStr">
        <is>
          <t>Internal flare fitting-end geometry</t>
        </is>
      </c>
      <c r="D14" s="34" t="inlineStr">
        <is>
          <t>Everything - not held</t>
        </is>
      </c>
      <c r="E14" s="34" t="inlineStr">
        <is>
          <t>PAID (SAE)</t>
        </is>
      </c>
      <c r="F14" s="34" t="inlineStr">
        <is>
          <t>BLOCKED - only free source for the seat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1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4" min="1" max="1"/>
    <col width="38" customWidth="1" style="34" min="2" max="2"/>
    <col width="44" customWidth="1" style="34" min="3" max="3"/>
    <col width="40" customWidth="1" style="34" min="4" max="4"/>
    <col width="13" customWidth="1" style="34" min="5" max="5"/>
    <col width="48" customWidth="1" style="34" min="6" max="6"/>
  </cols>
  <sheetData>
    <row r="1" ht="15" customHeight="1" s="35">
      <c r="A1" s="57" t="inlineStr">
        <is>
          <t>#</t>
        </is>
      </c>
      <c r="B1" s="57" t="inlineStr">
        <is>
          <t>Check</t>
        </is>
      </c>
      <c r="C1" s="57" t="inlineStr">
        <is>
          <t>Method</t>
        </is>
      </c>
      <c r="D1" s="57" t="inlineStr">
        <is>
          <t>Result</t>
        </is>
      </c>
      <c r="E1" s="57" t="inlineStr">
        <is>
          <t>Severity</t>
        </is>
      </c>
      <c r="F1" s="57" t="inlineStr">
        <is>
          <t>Action needed</t>
        </is>
      </c>
    </row>
    <row r="2" ht="34.5" customHeight="1" s="35">
      <c r="A2" s="58" t="n">
        <v>1</v>
      </c>
      <c r="B2" s="58" t="inlineStr">
        <is>
          <t>Does SAE J514 fix BODY dimensions, or only seat + thread?</t>
        </is>
      </c>
      <c r="C2" s="58" t="inlineStr">
        <is>
          <t>Retrieved verbatim scope of J514 and J514/1 from SAE/ANSI/preview PDF</t>
        </is>
      </c>
      <c r="D2" s="58" t="inlineStr">
        <is>
          <t>RESOLVED - IT FIXES BODY DIMENSIONS. Scope: 'general and dimensional specifications for 37 degree flared tube fittings.' Table 1A publishes HEX TOLERANCES, which only exists if nominal hex is specified.</t>
        </is>
      </c>
      <c r="E2" s="60" t="inlineStr">
        <is>
          <t>NONE</t>
        </is>
      </c>
      <c r="F2" s="58" t="inlineStr">
        <is>
          <t>Catalog L/C/D/D1 ARE cross-checkable. This reverses the Phase 0 UNVERIFIABLE finding.</t>
        </is>
      </c>
    </row>
    <row r="3" ht="15" customHeight="1" s="35">
      <c r="A3" s="58" t="n">
        <v>2</v>
      </c>
      <c r="B3" s="58" t="inlineStr">
        <is>
          <t>Air-Way L values vs an independent manufacturer</t>
        </is>
      </c>
      <c r="C3" s="58" t="inlineStr">
        <is>
          <t>Compared all 51 rows against Parker Catalog 4300 Triple-Lok FTX table</t>
        </is>
      </c>
      <c r="D3" s="58" t="inlineStr">
        <is>
          <t>29 rows had a Parker counterpart. 27 MATCH exactly. 2 DIVERGENT by 0.01 in.</t>
        </is>
      </c>
      <c r="E3" s="59" t="inlineStr">
        <is>
          <t>LOW</t>
        </is>
      </c>
      <c r="F3" s="58" t="inlineStr">
        <is>
          <t>Air-Way's L column is independently corroborated. Review the 2 divergent rows.</t>
        </is>
      </c>
    </row>
    <row r="4" ht="15" customHeight="1" s="35">
      <c r="A4" s="58" t="n">
        <v>3</v>
      </c>
      <c r="B4" s="58" t="inlineStr">
        <is>
          <t>Hex across flats</t>
        </is>
      </c>
      <c r="C4" s="58" t="inlineStr">
        <is>
          <t>Three independent sources: Parker Cat4300, Applied/Brennan, PressureConnections</t>
        </is>
      </c>
      <c r="D4" s="58" t="inlineStr">
        <is>
          <t>Populated where 2+ sources agree. 1 CONFLICT at dash -8.</t>
        </is>
      </c>
      <c r="E4" s="59" t="inlineStr">
        <is>
          <t>MEDIUM</t>
        </is>
      </c>
      <c r="F4" s="58" t="inlineStr">
        <is>
          <t>Resolve the -8 conflict. 22 rows still have NO hex data.</t>
        </is>
      </c>
    </row>
    <row r="5" ht="15" customHeight="1" s="35">
      <c r="A5" s="58" t="n">
        <v>4</v>
      </c>
      <c r="B5" s="58" t="inlineStr">
        <is>
          <t>Dash -8 hex conflict</t>
        </is>
      </c>
      <c r="C5" s="58" t="inlineStr">
        <is>
          <t>Applied/Brennan vs Parker + PressureConnections</t>
        </is>
      </c>
      <c r="D5" s="58" t="inlineStr">
        <is>
          <t>Applied says 15/16. Parker AND PressureConnections both say 7/8. All three agree L=1.79.</t>
        </is>
      </c>
      <c r="E5" s="61" t="inlineStr">
        <is>
          <t>HIGH</t>
        </is>
      </c>
      <c r="F5" s="58" t="inlineStr">
        <is>
          <t>2-vs-1 favours 7/8 but I did NOT auto-resolve it. Measure a sample or read MS51500.</t>
        </is>
      </c>
    </row>
    <row r="6" ht="23.25" customHeight="1" s="35">
      <c r="A6" s="58" t="n">
        <v>5</v>
      </c>
      <c r="B6" s="58" t="inlineStr">
        <is>
          <t>MS51500 retrieval</t>
        </is>
      </c>
      <c r="C6" s="58" t="inlineStr">
        <is>
          <t>DLA ASSIST, everyspec, GlobalSpec, EngineerDocuments</t>
        </is>
      </c>
      <c r="D6" s="58" t="inlineStr">
        <is>
          <t>NOT MACHINE-READABLE. Free everyspec copies are scanned images with no text layer. DLA host blocks automated fetch.</t>
        </is>
      </c>
      <c r="E6" s="59" t="inlineStr">
        <is>
          <t>MEDIUM</t>
        </is>
      </c>
      <c r="F6" s="58" t="inlineStr">
        <is>
          <t>Open everyspec MS51500C/D in a browser and read the table visually - it is free and unauthenticated.</t>
        </is>
      </c>
    </row>
    <row r="7" ht="23.25" customHeight="1" s="35">
      <c r="A7" s="58" t="n">
        <v>6</v>
      </c>
      <c r="B7" s="58" t="inlineStr">
        <is>
          <t>2404 row count</t>
        </is>
      </c>
      <c r="C7" s="58" t="inlineStr">
        <is>
          <t>Page fetched 3x independently</t>
        </is>
      </c>
      <c r="D7" s="58" t="inlineStr">
        <is>
          <t>Stated totals differed (54/55/53); enumerated rows byte-identical at 51 every time.</t>
        </is>
      </c>
      <c r="E7" s="59" t="inlineStr">
        <is>
          <t>LOW</t>
        </is>
      </c>
      <c r="F7" s="58" t="inlineStr">
        <is>
          <t>Trust enumeration, never the stated total. Reconciliation step required in bulk extraction.</t>
        </is>
      </c>
    </row>
    <row r="8" ht="23.25" customHeight="1" s="35">
      <c r="A8" s="58" t="n">
        <v>7</v>
      </c>
      <c r="B8" s="58" t="inlineStr">
        <is>
          <t>JIC dash -&gt; UN/UNF thread</t>
        </is>
      </c>
      <c r="C8" s="58" t="inlineStr">
        <is>
          <t>Air-Way col B vs independent gageref chart</t>
        </is>
      </c>
      <c r="D8" s="58" t="inlineStr">
        <is>
          <t>MATCH on all 12 shared dash sizes.</t>
        </is>
      </c>
      <c r="E8" s="60" t="inlineStr">
        <is>
          <t>NONE</t>
        </is>
      </c>
      <c r="F8" s="58" t="inlineStr">
        <is>
          <t>None. Lookup is trustworthy.</t>
        </is>
      </c>
    </row>
    <row r="9" ht="23.25" customHeight="1" s="35">
      <c r="A9" s="58" t="n">
        <v>8</v>
      </c>
      <c r="B9" s="58" t="inlineStr">
        <is>
          <t>Dash -14 (1 3/16-12)</t>
        </is>
      </c>
      <c r="C9" s="58" t="inlineStr">
        <is>
          <t>Cross-source check</t>
        </is>
      </c>
      <c r="D9" s="58" t="inlineStr">
        <is>
          <t>In Air-Way; absent from gageref AND from Parker/Brennan 2404 tables.</t>
        </is>
      </c>
      <c r="E9" s="59" t="inlineStr">
        <is>
          <t>LOW</t>
        </is>
      </c>
      <c r="F9" s="58" t="inlineStr">
        <is>
          <t>-14 may not exist in this fitting style. Confirm before modelling.</t>
        </is>
      </c>
    </row>
    <row r="10" ht="23.25" customHeight="1" s="35">
      <c r="A10" s="58" t="n">
        <v>9</v>
      </c>
      <c r="B10" s="58" t="inlineStr">
        <is>
          <t>Material / finish / pressure</t>
        </is>
      </c>
      <c r="C10" s="58" t="inlineStr">
        <is>
          <t>Air-Way page AND omindustrial.com product page</t>
        </is>
      </c>
      <c r="D10" s="58" t="inlineStr">
        <is>
          <t>NOT PUBLISHED on either.</t>
        </is>
      </c>
      <c r="E10" s="61" t="inlineStr">
        <is>
          <t>HIGH</t>
        </is>
      </c>
      <c r="F10" s="58" t="inlineStr">
        <is>
          <t>Client is supplying these values.</t>
        </is>
      </c>
    </row>
    <row r="11" ht="23.25" customHeight="1" s="35">
      <c r="A11" s="58" t="n">
        <v>10</v>
      </c>
      <c r="B11" s="58" t="inlineStr">
        <is>
          <t>Reference STEP file</t>
        </is>
      </c>
      <c r="C11" s="58" t="inlineStr">
        <is>
          <t>Air-Way part page</t>
        </is>
      </c>
      <c r="D11" s="58" t="inlineStr">
        <is>
          <t>PDF catalogue only, no CAD downloads.</t>
        </is>
      </c>
      <c r="E11" s="59" t="inlineStr">
        <is>
          <t>MEDIUM</t>
        </is>
      </c>
      <c r="F11" s="58" t="inlineStr">
        <is>
          <t>Source from TraceParts or an equivalent-part maker.</t>
        </is>
      </c>
    </row>
    <row r="12" ht="23.25" customHeight="1" s="35">
      <c r="A12" s="58" t="n">
        <v>11</v>
      </c>
      <c r="B12" s="58" t="inlineStr">
        <is>
          <t>OMi part-number format</t>
        </is>
      </c>
      <c r="C12" s="58" t="inlineStr">
        <is>
          <t>Live omindustrial.com store</t>
        </is>
      </c>
      <c r="D12" s="58" t="inlineStr">
        <is>
          <t>0304-C-02 / 0306-04 = zero-padded 4-digit root + 2-digit dash.</t>
        </is>
      </c>
      <c r="E12" s="59" t="inlineStr">
        <is>
          <t>LOW</t>
        </is>
      </c>
      <c r="F12" s="58" t="inlineStr">
        <is>
          <t>Only 24 SKUs seen (page 1). Two-ended format is INFERRED - confirm 2404-08-06 is right.</t>
        </is>
      </c>
    </row>
    <row r="13" ht="23.25" customHeight="1" s="35">
      <c r="A13" s="58" t="n">
        <v>12</v>
      </c>
      <c r="B13" s="58" t="inlineStr">
        <is>
          <t>D / D1 to end mapping</t>
        </is>
      </c>
      <c r="C13" s="58" t="inlineStr">
        <is>
          <t>Value-range correlation across 51 rows</t>
        </is>
      </c>
      <c r="D13" s="58" t="inlineStr">
        <is>
          <t>D tracks tube OD, D1 tracks NPTF size. INFERRED, not stated.</t>
        </is>
      </c>
      <c r="E13" s="59" t="inlineStr">
        <is>
          <t>MEDIUM</t>
        </is>
      </c>
      <c r="F13" s="58" t="inlineStr">
        <is>
          <t>Confirm against a reference model before wiring the design table, or parts build inside-out.</t>
        </is>
      </c>
    </row>
    <row r="14" ht="23.25" customHeight="1" s="35">
      <c r="A14" s="58" t="n">
        <v>13</v>
      </c>
      <c r="B14" s="58" t="inlineStr">
        <is>
          <t>Dimension letters are not portable</t>
        </is>
      </c>
      <c r="C14" s="58" t="inlineStr">
        <is>
          <t>J514 scope research</t>
        </is>
      </c>
      <c r="D14" s="58" t="inlineStr">
        <is>
          <t>J514's own letters (C=hex, L=length) may NOT mean the same as a catalog's C/L/D/D1.</t>
        </is>
      </c>
      <c r="E14" s="59" t="inlineStr">
        <is>
          <t>MEDIUM</t>
        </is>
      </c>
      <c r="F14" s="58" t="inlineStr">
        <is>
          <t>Do not assume Air-Way 'C' equals J514 'C'. Note: Parker calls hex 'C'; Air-Way's C is a different value.</t>
        </is>
      </c>
    </row>
    <row r="15" ht="23.25" customHeight="1" s="35">
      <c r="A15" s="58" t="n">
        <v>14</v>
      </c>
      <c r="B15" s="58" t="inlineStr">
        <is>
          <t>Tolerance semantics</t>
        </is>
      </c>
      <c r="C15" s="58" t="inlineStr">
        <is>
          <t>J514 general specs</t>
        </is>
      </c>
      <c r="D15" s="58" t="inlineStr">
        <is>
          <t>Many J514 dims are minima or minus-only tolerances, not exact targets.</t>
        </is>
      </c>
      <c r="E15" s="59" t="inlineStr">
        <is>
          <t>LOW</t>
        </is>
      </c>
      <c r="F15" s="58" t="inlineStr">
        <is>
          <t>A catalog value inside the envelope is CONFORMING, not divergent. Do not flag on inequality alone.</t>
        </is>
      </c>
    </row>
    <row r="16">
      <c r="A16" s="34" t="inlineStr">
        <is>
          <t>2026-09-04 | Elbow cross-check: Air-Way 2-pass extracts reconciled (2501:78, 6801:92, 6802:56 rows; both passes identical) vs MS51504D/MS51527G/MS51528D transcriptions.</t>
        </is>
      </c>
    </row>
    <row r="17">
      <c r="A17" s="34" t="inlineStr">
        <is>
          <t>2026-09-04 | Leg-letter mapping resolved by vote: MS51504 M/N &lt;-&gt; AW M/N (32-0); MS51527 M3/M4 &lt;-&gt; AW M/M7 (19-0); MS51528 M2/M3 &lt;-&gt; AW M2/M8 (19-0).</t>
        </is>
      </c>
    </row>
    <row r="18">
      <c r="A18" s="34" t="inlineStr">
        <is>
          <t>2026-09-04 | 2501 finding: FG (forged) rows match MS51504; non-FG rows have a distinct (longer) leg pattern - legs must be carried per-part, not per-size-pair.</t>
        </is>
      </c>
    </row>
    <row r="19">
      <c r="A19" s="34" t="inlineStr">
        <is>
          <t>2026-09-04 | Conflicts -&gt; DataStatus MISSING: 2501-4-2-FG (N .76 vs .78), 2501-14-12-FG (M 1.80 vs 1.73), 2501-32-32-FG (D1 1.86 vs 1.938), 6801-5-5 both variants (M7 1.13 vs MS M4 1.090 single-pass extraction), 6802-14-14 (legs +0.06 offset).</t>
        </is>
      </c>
    </row>
    <row r="20">
      <c r="A20" s="34" t="inlineStr">
        <is>
          <t>2026-09-04 | As-printed Air-Way anomalies logged (not altered): 2501-24-24 B '1 7/8-14'; 6801-10-6-FG D2 .29; 6801-32-24-FG D1/D2 swapped?; 6801-16-24 M/M7 swapped?; 6802-16-24 D2 .84.</t>
        </is>
      </c>
    </row>
    <row r="21">
      <c r="A21" s="34" t="inlineStr">
        <is>
          <t>2026-09-04 | MS33656J retrieved from ASSIST (ident 41956; 2 independent scans cross-verified, zero unreadable cells). Male 37-deg flared fitting END standard, dashes -2..-48. Transcription: 03_SCRIPTS/ms33656.py.</t>
        </is>
      </c>
    </row>
    <row r="22">
      <c r="A22" s="34" t="inlineStr">
        <is>
          <t>2026-09-04 | JIC MALE END AXIALS NOW VERIFIED: MS33656 J == Brennan fleet jic_end EXACTLY (+-0.001) at dashes 2,3,4,5,6,8,10,12,16,20,24,32; Q == measured relief land; D == tip dia; F == cone dia; seat lengths self-consistent. This closes the EndGeometry '-20/-24/-32 seat &amp; thread length NOT FOUND' gap and validates JIC-end family transfer.</t>
        </is>
      </c>
    </row>
    <row r="23">
      <c r="A23" s="34" t="inlineStr">
        <is>
          <t>2026-09-04 | Exceptions: -14 not in MS33656 (J514 commercial size, stays measured/ASSUMED); -40 MS row prints J=1.109 &lt; J(-32) while Brennan measures 1.335 - MS -40 row flagged as-printed oddity, Brennan value retained ASSUMED.</t>
        </is>
      </c>
    </row>
    <row r="24">
      <c r="A24" s="34" t="inlineStr">
        <is>
          <t>2026-09-05 | Brennan 6400 STEP fleet (4 models: 08-04, 12-24, 20-12, 24-16) downloaded via 3Dfindit and parsed. JIC ends match MS33656 J EXACTLY on all 4 (family transfer now confirmed on 6400 itself). L matches Air-Way/MS51525 on all 4.</t>
        </is>
      </c>
    </row>
    <row r="25">
      <c r="A25" s="34" t="inlineStr">
        <is>
          <t>2026-09-05 | ORB O-ring groove width MEASURED: -16 = 0.125, -24 = 0.125 (unpublished anywhere). Method validated: measured -4 = 0.075 and -12 = 0.125 match Parker ORD-5700 exactly. Scored ASSUMED (single manufacturer). Still missing: -14, -20, -32 (no Brennan 6400 config carries those boss ends except 32-20; 3Dfindit freemail quota = 5 downloads/day - 6400-32-20-O queued for next quota reset).</t>
        </is>
      </c>
    </row>
    <row r="26">
      <c r="A26" s="34" t="inlineStr">
        <is>
          <t>2026-09-05 | Also measured per config: hex length, ORB end length, ORB seat-land (0 to 0.16, size-dependent - NOT constant), ORB full-thread span (less than MS51527 J2; J2 evidently includes runout).</t>
        </is>
      </c>
    </row>
    <row r="27">
      <c r="A27" s="34" t="inlineStr">
        <is>
          <t>2026-09-05 | 5th daily download used on 6400-32-20-O: ORB -20 groove width MEASURED = 0.125; JIC -32 end matches MS33656 J=1.333 exactly. ORB groove widths now known for every dash except -14 and -32 (no Brennan 6400 config carries those; consider a 6801-14/-32 elbow model on a future quota day). Measured -12/-16/-20/-24 all = 0.125.</t>
        </is>
      </c>
    </row>
    <row r="28">
      <c r="A28" s="34" t="inlineStr">
        <is>
          <t>2026-09-05 | All 5 elbow conflicts + 2 divergent 2404 lengths RESOLVED by third-source majority (Brennan dimensioned product drawings read via brennaninc.com): 2501-4-2-FG N=0.78 (MS wins), 2501-14-12-FG M=1.80 (AW wins), 2501-32-32-FG drill=1.938 (MS wins), 6801-5-5 M7=1.13 (AW wins; MS 1.090 = misread), 6802-14-14 legs 1.45/1.86 (AW wins), 2404-16-24 L=2.51 (AW wins vs Parker 2.50), 2404-24-20 L=2.65 (AW wins vs Parker 2.66). Each value now has 2 independent agreeing sources -&gt; VERIFIED; outvoted value recorded in row notes.</t>
        </is>
      </c>
    </row>
    <row r="29">
      <c r="A29" s="34" t="inlineStr">
        <is>
          <t>2026-09-05 | MS51525D FULL table transcribed (23 configs incl mixed sizes; 03_SCRIPTS/ms51525.py). Cross-check vs Air-Way 6400: 23 configs agree on L/hex/bore, 0 differ. Confirms NO boss-end groove/thread-length columns exist (note 4 defers to J514) - ORB -14/-32 groove width remains measurable-only. New tabulated axial L1 recorded (figure identity unconfirmed).</t>
        </is>
      </c>
    </row>
    <row r="30">
      <c r="A30" s="34" t="inlineStr">
        <is>
          <t>2026-09-05 | 7 OMi-only 2404 SKUs sourced from Brennan product drawings (brennaninc.com via user's Chrome): 02-04 L1.33/hex.562, 08-02 L1.34/.812, 16-32 L2.69/2.500, 32-20 L3.05/2.625, 32-48 L3.74/3.750, 40-32 L2.89/3.000 (L matches Brennan STEP -&gt; VERIFIED; CB depth 1.5975 MEASURED from STEP), 40-40 L3.37/3.250. Appended to DesignTable_2404_FINAL v5. Remaining blocks: CB depth on 5; NPTF -40/-48 end lengths.</t>
        </is>
      </c>
    </row>
    <row r="31">
      <c r="A31" s="34" t="inlineStr">
        <is>
          <t>2026-09-05 | THREE NEW SERIES processed per SOP (Air-Way 2-pass, both passes identical): 2403 Male Union (33 rows), 2408 Male Plug (16), 5404 Hex Nipple (25; Series survey said 26 - page has 25, discrepancy noted).</t>
        </is>
      </c>
    </row>
    <row r="32">
      <c r="A32" s="34" t="inlineStr">
        <is>
          <t>2026-09-05 | MS51501D Amd1 (2403) + MS51518D (2408) retrieved from ASSIST and transcribed. 2403: all 13 matched-dash rows AGREE with MS51501 (L1/hex/bore) -&gt; VERIFIED. MS51501 'I' column == MS33656 J at every dash AND supplies JIC -14 end length 0.890 == Brennan fleet measurement -&gt; JIC -14 axials now VERIFIED (was measured-only).</t>
        </is>
      </c>
    </row>
    <row r="33">
      <c r="A33" s="34" t="inlineStr">
        <is>
          <t>2026-09-05 | 2408: 15/16 L+hex AGREE with MS51518. 2408-14 hex conflict (AW 1.125 vs MS 1.25) RESOLVED 2-1 via Brennan drawing: hex=1.250. 2408-4-SOLID C printed 0.050 = typo for 0.50 (MS+sibling confirm).</t>
        </is>
      </c>
    </row>
    <row r="34">
      <c r="A34" s="34" t="inlineStr">
        <is>
          <t>2026-09-05 | 5404: NPTF end lengths per dash from measured Brennan nipple STEPs (2/4/6/8/12/20/24) + adapter-fleet transfer (16/32, family-validated). 5404-32-20 page row has A(1)/D(1) columns apparently swapped - as-printed, row blocked pending re-check.</t>
        </is>
      </c>
    </row>
    <row r="35">
      <c r="A35" s="34" t="inlineStr">
        <is>
          <t>2026-09-05 | TWO MORE SERIES: 2405 Female Connector MJxFPT (32 rows; both passes identical; MS51503D Amd1 retrieved &amp; transcribed - all 15 overlapping combos AGREE on L2/hex -&gt; VERIFIED; female-NPTF port depth P1 max now published per pipe size). 2405-32-24 page row anomalous (L2=2.05, D=1.72) - blocked as-printed.</t>
        </is>
      </c>
    </row>
    <row r="36">
      <c r="A36" s="34" t="inlineStr">
        <is>
          <t>2026-09-05 | 6401 ORB x Male Pipe (26 rows; both passes identical; matches survey count). No MS drawing exists (Air-Way cites none) - L29/hex single-source ASSUMED, but BOTH end geometries fully sourced (ORB grooves incl measured -16/-20/-24; NPTF ends measured). Blocked: 6401-32-32 (ORB -32 groove). 6401-12-12 L29=1.73 non-monotonic vs 12-8 - flagged as-printed.</t>
        </is>
      </c>
    </row>
    <row r="37">
      <c r="A37" s="34" t="inlineStr">
        <is>
          <t>2026-09-05 | THREE MORE SERIES (2-pass extracts, sets identical): 2406 Reducing Adapter FJICxMJ (49 rows - male-JIC end VERIFIED; ALL rows blocked on ONE lookup: female-JIC internal port geometry, unpublished; MS39323D Amd1 retrieved+transcribed but its reducer family does NOT match this topology - documented). 6405 ORB x Female Pipe (44 rows, 40 usable; 14 rows flagged: D column appears to bleed tap-drill values on the page). 6408 ORB Hex Plug (23 rows, 19 complete; blocked only ORB -14/-32 groove).</t>
        </is>
      </c>
    </row>
    <row r="38">
      <c r="A38" s="34" t="inlineStr">
        <is>
          <t>2026-09-05 | Tomorrow's 3Dfindit quota plan (5 downloads): 6801-14-14 + 6801-32-32 (or 6400 equivalents) for the last two groove widths; a 2406 mid-size for female-JIC internal geometry (unblocks 49 rows); a 2404-40-40 or 5404 large nipple for NPTF -40 end length; spare for a 6402/6500 female swivel if available.</t>
        </is>
      </c>
    </row>
    <row r="39">
      <c r="A39" s="34" t="inlineStr">
        <is>
          <t>2026-09-05 | MILESTONE: 2404 MASTER MODEL BUILT AND VERIFIED by client in SolidWorks. All six Measure checks passed: L=1.4200, hex A/F=0.5625, hex length=0.3100, flare bore=0.1720, pipe bore=0.2810, tip dia=0.1929 (underived - proves sketch geometry). Threads: THD_EndA = Inch Die stand-in (Ø0.540, 18TPI, up-to-hex; edition lacks tapered-pipe profile - callout governs), THD_EndB = 0.4375-20; both suppressed. First master of 126 topologies.</t>
        </is>
      </c>
    </row>
    <row r="40">
      <c r="A40" s="34" t="inlineStr">
        <is>
          <t>2026-09-05 | MILESTONE 2: Design table inserted into the 2404 master (DesignTable_2404_SW2.xlsx, headers-in-row-1 layout - note: this SOLIDWORKS Design edition scans ROW 1 for parameters, not the classic row-2 layout; all future tables must use the SW2 layout). SolidWorks generated all 48 configurations. Spot-checks assigned: 2404-02-02 L=1.110, 2404-32-16 L=3.020.</t>
        </is>
      </c>
    </row>
    <row r="41">
      <c r="A41" s="34" t="inlineStr">
        <is>
          <t>2026-09-05 | THREE MORE SERIES tabled: 6803 Branch Tee (34/34 complete - no -14/-32 boss ends in family; same-dash legs == MS51529D), 6804 Run Tee (51/52; blocked only 32-32-32 on ORB -32 groove; 32-32-32 legs appear swapped vs MS51530 - flagged), 6500 Female Swivel 90 Elbow (42 rows; legs == MS51521D Amd1 on matched sizes; ALL rows await the one female-swivel-nut geometry lookup - measure a Brennan 6500 STEP).</t>
        </is>
      </c>
    </row>
    <row r="42">
      <c r="A42" s="34" t="inlineStr">
        <is>
          <t>2026-09-05 | Tee drawings' G/I/J/M/M4 columns are cell-for-cell identical to MS51527 (6801) - independent confirmation of the elbow transcription. The disputed dash-5 boss leg 1.090 appears in ALL THREE MS drawings, so it is a genuine MS-vs-commercial difference, NOT a transcription misread; commercial 1.13 (Air-Way+Brennan) remains the adopted value for OMi parts.</t>
        </is>
      </c>
    </row>
    <row r="43">
      <c r="A43" s="34" t="inlineStr">
        <is>
          <t>2026-09-06</t>
        </is>
      </c>
      <c r="B43" s="34" t="inlineStr">
        <is>
          <t>2503 (s147)</t>
        </is>
      </c>
      <c r="C43" s="34" t="inlineStr">
        <is>
          <t>EXTRACT+TABLE</t>
        </is>
      </c>
      <c r="D43" s="34" t="inlineStr">
        <is>
          <t>Double-pass 60 rows agree. DesignTable_2503 v1: FG rows cross-checked vs MS51508E Amd1 (24-row suffix map: plain A6=6-4, A8=8-6, A10=10-8, A12=12-12, A14=14-12 - MS pairs tube with catalog-default pipe, NOT same-dash). 12 YEL: leg divergences 2-2/3-2 (M2 .69 vs MS .66), 6-6 (.91 vs .87), 8-8 (1.11 vs .99), 14-12 (1.45/1.26 vs 1.39/1.27) - AW stands, Brennan tiebreak pending; page typos 3-2-FG threads "3/8-14"/"1/8-24", 4-6-FG M2 "085", 6-4 D1 .30, 10-12 D1 .64, 16-20-FG B "1 1/16-12", 20-16-FG tube OD "1".</t>
        </is>
      </c>
    </row>
    <row r="44">
      <c r="A44" s="34" t="inlineStr">
        <is>
          <t>2026-09-06</t>
        </is>
      </c>
      <c r="B44" s="34" t="inlineStr">
        <is>
          <t>2502 (s122)</t>
        </is>
      </c>
      <c r="C44" s="34" t="inlineStr">
        <is>
          <t>EXTRACT+TABLE</t>
        </is>
      </c>
      <c r="D44" s="34" t="inlineStr">
        <is>
          <t>Double-pass 29 rows agree. DesignTable_2502 v1 vs MS51506F Amd1 (19-row map; MS has NO tap-drill column - drill is AW-only). VERIFIED where M1/N1/Y1 all match. 5 YEL incl 8-8-FG M1 1.52 vs MS 1.38 (tiebreak pending), 24-24 Y1 2.50 vs MS 2.562, 6-2/12-8 non-FG geometry differs from MS.</t>
        </is>
      </c>
    </row>
    <row r="45">
      <c r="A45" s="34" t="inlineStr">
        <is>
          <t>2026-09-06</t>
        </is>
      </c>
      <c r="B45" s="34" t="inlineStr">
        <is>
          <t>2603 (s172)</t>
        </is>
      </c>
      <c r="C45" s="34" t="inlineStr">
        <is>
          <t>EXTRACT+TABLE</t>
        </is>
      </c>
      <c r="D45" s="34" t="inlineStr">
        <is>
          <t>ROW-COUNT TRAP: page footer claims 43, enumerated sets agree at 41 on both passes - 41 stands. DesignTable_2603 v1: matched sizes vs MS51510E (13 rows, all legs equal +/-.030; A14 M=1.800 agrees with commercial 1.80, NOT MS51504 1.73). 1 YEL: 6-6-6 non-FG legs 1.08/1.08/1.06 vs MS 1.06 (same forged/bar pattern as 6803).</t>
        </is>
      </c>
    </row>
    <row r="46">
      <c r="A46" s="34" t="inlineStr">
        <is>
          <t>2026-09-06</t>
        </is>
      </c>
      <c r="B46" s="34" t="inlineStr">
        <is>
          <t>5405 (s85)</t>
        </is>
      </c>
      <c r="C46" s="34" t="inlineStr">
        <is>
          <t>EXTRACT+TABLE</t>
        </is>
      </c>
      <c r="D46" s="34" t="inlineStr">
        <is>
          <t>Double-pass 28 rows agree (survey said 28). Single-source (no MS sheet for NPTF x NPTF nipple). 1 RED: 5405-8-16 prints A(2) "3/4-14" with dims duplicating 8-12 - contradicts own PN, blocked pending Brennan drawing. 1 YEL: 32-32 tap drill 2.20 vs 2.19 same thread.</t>
        </is>
      </c>
    </row>
    <row r="47">
      <c r="A47" s="34" t="inlineStr">
        <is>
          <t>2026-09-06</t>
        </is>
      </c>
      <c r="B47" s="34" t="inlineStr">
        <is>
          <t>MS51508/06/10</t>
        </is>
      </c>
      <c r="C47" s="34" t="inlineStr">
        <is>
          <t>TRANSCRIBE</t>
        </is>
      </c>
      <c r="D47" s="34" t="inlineStr">
        <is>
          <t>Subagent 3-5 pass ASSIST reads (idents 43321/43319/43323, tokens 5802668/5802616/5767914) persisted to 03_SCRIPTS/ms_2503family.py. All dimensional cells agreed across passes. IMPORTANT: first draft of the .py had reconstructed mixed-size rows from a summary - caught and REPLACED with verbatim values from the subagent transcript before any table was built. Flagged graphics-only items: M/N per-leg figure assignment, tolerance bracket spans, MS51506 M1/N1/Y1 column attachment.</t>
        </is>
      </c>
    </row>
    <row r="48">
      <c r="A48" s="34" t="inlineStr">
        <is>
          <t>2026-09-06</t>
        </is>
      </c>
      <c r="B48" s="34" t="inlineStr">
        <is>
          <t>MILESTONE</t>
        </is>
      </c>
      <c r="C48" s="34" t="inlineStr">
        <is>
          <t>COUNT</t>
        </is>
      </c>
      <c r="D48" s="34" t="inlineStr">
        <is>
          <t>20 series now tabled: 2404, 6400, 2501, 6801, 6802, 2403, 2408, 5404, 2405, 6401, 2406, 6405, 6408, 6803, 6804, 6500, 2503, 2502, 2603, 5405. Directive "finish at least 20" - table-count met; partially-finished series still need Brennan STEP batch 2 (blocked on Chrome window + download quota).</t>
        </is>
      </c>
    </row>
    <row r="49">
      <c r="A49" s="34" t="inlineStr">
        <is>
          <t>2026-09-06</t>
        </is>
      </c>
      <c r="B49" s="34" t="inlineStr">
        <is>
          <t>6410 (s99)</t>
        </is>
      </c>
      <c r="C49" s="34" t="inlineStr">
        <is>
          <t>EXTRACT+TABLE</t>
        </is>
      </c>
      <c r="D49" s="34" t="inlineStr">
        <is>
          <t>ROW-COUNT TRAP: page claimed 48, both enumerated passes agree at 45. DesignTable_6410 v1 (ORB-M x ORB-F reducer). 3 RED: 14-12/32-20/32-24 blocked on unmeasured male-ORB -14/-32 groove width (same blocker as 6400 family). 2 YEL: 16-16-O B(2) prints "1 1/16-12" both passes (should be 1 5/16-12), 6-3-O D=0.19.</t>
        </is>
      </c>
    </row>
    <row r="50">
      <c r="A50" s="34" t="inlineStr">
        <is>
          <t>2026-09-06</t>
        </is>
      </c>
      <c r="B50" s="34" t="inlineStr">
        <is>
          <t>5406 (s86)</t>
        </is>
      </c>
      <c r="C50" s="34" t="inlineStr">
        <is>
          <t>EXTRACT+TABLE</t>
        </is>
      </c>
      <c r="D50" s="34" t="inlineStr">
        <is>
          <t>Double-pass 31 rows agree. DesignTable_5406 v1 (NPTF bushing), single-source, clean - 0 flags.</t>
        </is>
      </c>
    </row>
    <row r="51">
      <c r="A51" s="34" t="inlineStr">
        <is>
          <t>2026-09-06</t>
        </is>
      </c>
      <c r="B51" s="34" t="inlineStr">
        <is>
          <t>6900 (s105)</t>
        </is>
      </c>
      <c r="C51" s="34" t="inlineStr">
        <is>
          <t>EXTRACT+TABLE</t>
        </is>
      </c>
      <c r="D51" s="34" t="inlineStr">
        <is>
          <t>Double-pass 24 rows agree. DesignTable_6900 v1: ALL 24 RED - female-JIC union internals unpublished, same lookup blocking 2406; one Brennan STEP measurement (2406 or 6900 mid-size) unlocks both.</t>
        </is>
      </c>
    </row>
    <row r="52">
      <c r="A52" s="34" t="inlineStr">
        <is>
          <t>2026-09-06</t>
        </is>
      </c>
      <c r="B52" s="34" t="inlineStr">
        <is>
          <t>5502 (s128)</t>
        </is>
      </c>
      <c r="C52" s="34" t="inlineStr">
        <is>
          <t>EXTRACT+TABLE</t>
        </is>
      </c>
      <c r="D52" s="34" t="inlineStr">
        <is>
          <t>ROW-COUNT TRAP: page claimed 47, both passes agree at 46 (survey also said 46). DesignTable_5502 v1 (NPTF street elbow), single-source. 5 YEL: 6-2-FG A(1) prints "3/8-1/8" (typo for 3/8-18, confirmed both passes), 20-20-FG N=2.75 and 24-24-FG N=3.05 exceed non-FG (unusual), 32-32-FG drill 2.20 vs 2.19, plus embedded long-pattern row 5502-L-2-2 kept as printed.</t>
        </is>
      </c>
    </row>
    <row r="53">
      <c r="A53" s="34" t="inlineStr">
        <is>
          <t>2026-09-06</t>
        </is>
      </c>
      <c r="B53" s="34" t="inlineStr">
        <is>
          <t>MILESTONE</t>
        </is>
      </c>
      <c r="C53" s="34" t="inlineStr">
        <is>
          <t>COUNT</t>
        </is>
      </c>
      <c r="D53" s="34" t="inlineStr">
        <is>
          <t>24 series now tabled (20 target exceeded). Fully clean or near-clean: 2404,2501,2403,2408,2405,5404,6401,6803,6804,2503,2502,2603,5405,5406,5502,6410(-3). Blocked-heavy: 2406,6500,6900 (each needs one Brennan STEP class), 6400/6801/6802/6405/6408 partials on ORB -14/-32 groove. STEP batch 2 remains the single unlock for nearly everything still red.</t>
        </is>
      </c>
    </row>
    <row r="54">
      <c r="A54" s="34" t="inlineStr">
        <is>
          <t>2026-09-06</t>
        </is>
      </c>
      <c r="B54" s="34" t="inlineStr">
        <is>
          <t>5500 (s127)</t>
        </is>
      </c>
      <c r="C54" s="34" t="inlineStr">
        <is>
          <t>EXTRACT+TABLE</t>
        </is>
      </c>
      <c r="D54" s="34" t="inlineStr">
        <is>
          <t>Double-pass 29 rows agree. Single-source. 2 YEL: 20-20-FG A(2) prints "1 1/2-11 1/2" both passes (should be 1 1/4; D2=1.25 supports), 16-12-FG N legs appear swapped vs non-FG.</t>
        </is>
      </c>
    </row>
    <row r="55">
      <c r="A55" s="34" t="inlineStr">
        <is>
          <t>2026-09-06</t>
        </is>
      </c>
      <c r="B55" s="34" t="inlineStr">
        <is>
          <t>5504 (s129)</t>
        </is>
      </c>
      <c r="C55" s="34" t="inlineStr">
        <is>
          <t>EXTRACT+TABLE</t>
        </is>
      </c>
      <c r="D55" s="34" t="inlineStr">
        <is>
          <t>Double-pass 22 rows agree. Single-source. 3 YEL: 4-2-FG TapDrill(2)=0.43 (1/8-27 taps .33), 20-16 tap-drill columns reversed vs threads (confirmed as-printed), 24-24 asymmetric N1 legs 2.08/2.14.</t>
        </is>
      </c>
    </row>
    <row r="56">
      <c r="A56" s="34" t="inlineStr">
        <is>
          <t>2026-09-06</t>
        </is>
      </c>
      <c r="B56" s="34" t="inlineStr">
        <is>
          <t>2601 (s170)</t>
        </is>
      </c>
      <c r="C56" s="34" t="inlineStr">
        <is>
          <t>EXTRACT+TABLE</t>
        </is>
      </c>
      <c r="D56" s="34" t="inlineStr">
        <is>
          <t>Both passes agree at 29 rows - SURVEY said 28; page wins. Single-source (MS51512 exists, untranscribed - future). 3 YEL: 20-20-20-FG B(2) "1 5/4-12" typo (1 5/8-12 used, noted), 4-4-4-FG M=1.05 &gt; non-FG 0.95, 16-10-12-FG tube OD "1 5/8" mixed-run print. JIC ends VERIFIED lib-wide.</t>
        </is>
      </c>
    </row>
    <row r="57">
      <c r="A57" s="34" t="inlineStr">
        <is>
          <t>2026-09-06</t>
        </is>
      </c>
      <c r="B57" s="34" t="inlineStr">
        <is>
          <t>2602 (s171)</t>
        </is>
      </c>
      <c r="C57" s="34" t="inlineStr">
        <is>
          <t>EXTRACT+TABLE</t>
        </is>
      </c>
      <c r="D57" s="34" t="inlineStr">
        <is>
          <t>Both passes agree at 20 rows - SURVEY said 21; page wins. KEY FINDING: 2602 pipe-end M1/N1/Y1 exactly equals MS51506F Amd1 elbow dims on matched FG combos (run dash=MS tube dash, branch=MS pipe dash) - used as 2nd source; 6 rows VERIFIED. 9 YEL are non-FG/Y1 forged-vs-bar divergences (same pattern as 2502).</t>
        </is>
      </c>
    </row>
    <row r="58">
      <c r="A58" s="34" t="inlineStr">
        <is>
          <t>2026-09-06</t>
        </is>
      </c>
      <c r="B58" s="34" t="inlineStr">
        <is>
          <t>MILESTONE</t>
        </is>
      </c>
      <c r="C58" s="34" t="inlineStr">
        <is>
          <t>COUNT</t>
        </is>
      </c>
      <c r="D58" s="34" t="inlineStr">
        <is>
          <t>28 series tabled: adds 5500, 5504, 2601, 2602.</t>
        </is>
      </c>
    </row>
    <row r="59">
      <c r="A59" s="34" t="inlineStr">
        <is>
          <t>2026-09-06</t>
        </is>
      </c>
      <c r="B59" s="34" t="inlineStr">
        <is>
          <t>6806 (s139)</t>
        </is>
      </c>
      <c r="C59" s="34" t="inlineStr">
        <is>
          <t>EXTRACT+TABLE</t>
        </is>
      </c>
      <c r="D59" s="34" t="inlineStr">
        <is>
          <t>Double-pass 17 rows agree. ORB end carries measured groove set + MS51527 J2. 1 YEL: 5-6 C4 prints 1.63 both passes (dash-5 hex ~0.63, decimal typo).</t>
        </is>
      </c>
    </row>
    <row r="60">
      <c r="A60" s="34" t="inlineStr">
        <is>
          <t>2026-09-06</t>
        </is>
      </c>
      <c r="B60" s="34" t="inlineStr">
        <is>
          <t>6805 (s138)</t>
        </is>
      </c>
      <c r="C60" s="34" t="inlineStr">
        <is>
          <t>EXTRACT+TABLE</t>
        </is>
      </c>
      <c r="D60" s="34" t="inlineStr">
        <is>
          <t>Double-pass 18 rows agree. 1 RED: 32-32 on ORB -32 groove (usual blocker). 1 YEL: 8-6-FG N1 prints 0.63 both passes (non-FG 1.02, typo).</t>
        </is>
      </c>
    </row>
    <row r="61">
      <c r="A61" s="34" t="inlineStr">
        <is>
          <t>2026-09-06</t>
        </is>
      </c>
      <c r="B61" s="34" t="inlineStr">
        <is>
          <t>6404 (s94)</t>
        </is>
      </c>
      <c r="C61" s="34" t="inlineStr">
        <is>
          <t>EXTRACT+TABLE</t>
        </is>
      </c>
      <c r="D61" s="34" t="inlineStr">
        <is>
          <t>Double-pass 26 rows agree. Female ORB port (UN-2B) per SAE J1926. 1 RED: 4-8 row corrupt as printed (L32 "0397", D3/D1 .36/.36). 3 YEL: 8-16 D-columns scrambled, 16-20 short L32, 20-32 D3 outlier.</t>
        </is>
      </c>
    </row>
    <row r="62">
      <c r="A62" s="34" t="inlineStr">
        <is>
          <t>2026-09-06</t>
        </is>
      </c>
      <c r="B62" s="34" t="inlineStr">
        <is>
          <t>2700 (s72)</t>
        </is>
      </c>
      <c r="C62" s="34" t="inlineStr">
        <is>
          <t>EXTRACT+TABLE</t>
        </is>
      </c>
      <c r="D62" s="34" t="inlineStr">
        <is>
          <t>ROW-COUNT TRAP: first pass claimed 30, both enumerated passes agree at 27 (incl 13 -LN locknut twins + one -2.540-OAL special); SURVEY said 24 - page wins. All 27 YEL: bulkhead thread size/length + locknut geometry not on page - MS51520 transcription or Brennan STEP is the unlock. JIC ends VERIFIED lib-wide.</t>
        </is>
      </c>
    </row>
    <row r="63">
      <c r="A63" s="34" t="inlineStr">
        <is>
          <t>2026-09-06</t>
        </is>
      </c>
      <c r="B63" s="34" t="inlineStr">
        <is>
          <t>MILESTONE</t>
        </is>
      </c>
      <c r="C63" s="34" t="inlineStr">
        <is>
          <t>COUNT</t>
        </is>
      </c>
      <c r="D63" s="34" t="inlineStr">
        <is>
          <t>32 series tabled: adds 6806, 6805, 6404, 2700.</t>
        </is>
      </c>
    </row>
    <row r="64">
      <c r="A64" s="34" t="inlineStr">
        <is>
          <t>2026-09-06</t>
        </is>
      </c>
      <c r="B64" s="34" t="inlineStr">
        <is>
          <t>5602 (s189)</t>
        </is>
      </c>
      <c r="C64" s="34" t="inlineStr">
        <is>
          <t>EXTRACT+TABLE</t>
        </is>
      </c>
      <c r="D64" s="34" t="inlineStr">
        <is>
          <t>Double-pass 14 rows agree (8-8-8 and 20-20-20 print out of size order on page). Single-source, 0 flags.</t>
        </is>
      </c>
    </row>
    <row r="65">
      <c r="A65" s="34" t="inlineStr">
        <is>
          <t>2026-09-06</t>
        </is>
      </c>
      <c r="B65" s="34" t="inlineStr">
        <is>
          <t>5603 (s190)</t>
        </is>
      </c>
      <c r="C65" s="34" t="inlineStr">
        <is>
          <t>EXTRACT+TABLE</t>
        </is>
      </c>
      <c r="D65" s="34" t="inlineStr">
        <is>
          <t>Double-pass 6 rows agree. Single-source, 0 flags.</t>
        </is>
      </c>
    </row>
    <row r="66">
      <c r="A66" s="34" t="inlineStr">
        <is>
          <t>2026-09-06</t>
        </is>
      </c>
      <c r="B66" s="34" t="inlineStr">
        <is>
          <t>6403 (s93)</t>
        </is>
      </c>
      <c r="C66" s="34" t="inlineStr">
        <is>
          <t>EXTRACT+TABLE</t>
        </is>
      </c>
      <c r="D66" s="34" t="inlineStr">
        <is>
          <t>Double-pass 8 rows agree. ORB x ORB union; all dashes within measured groove set - 0 blocked.</t>
        </is>
      </c>
    </row>
    <row r="67">
      <c r="A67" s="34" t="inlineStr">
        <is>
          <t>2026-09-06</t>
        </is>
      </c>
      <c r="B67" s="34" t="inlineStr">
        <is>
          <t>2407 (s70)</t>
        </is>
      </c>
      <c r="C67" s="34" t="inlineStr">
        <is>
          <t>EXTRACT+TABLE</t>
        </is>
      </c>
      <c r="D67" s="34" t="inlineStr">
        <is>
          <t>Double-pass 26 rows agree (13 bodies + 13 "W/318 NUT" twins, identical dims). Male-JIC-in-larger-nut reducer; X = large-dash flare OD; flare-seat detail defers to SAE J514 (MS51534/MS39323 cited on page, untranscribed - future second source).</t>
        </is>
      </c>
    </row>
    <row r="68">
      <c r="A68" s="34" t="inlineStr">
        <is>
          <t>2026-09-06</t>
        </is>
      </c>
      <c r="B68" s="34" t="inlineStr">
        <is>
          <t>MILESTONE</t>
        </is>
      </c>
      <c r="C68" s="34" t="inlineStr">
        <is>
          <t>COUNT</t>
        </is>
      </c>
      <c r="D68" s="34" t="inlineStr">
        <is>
          <t>36 series tabled: adds 5602, 5603, 6403, 2407.</t>
        </is>
      </c>
    </row>
    <row r="69">
      <c r="A69" s="34" t="inlineStr">
        <is>
          <t>2026-09-06</t>
        </is>
      </c>
      <c r="B69" s="34" t="inlineStr">
        <is>
          <t>2500 (s117)</t>
        </is>
      </c>
      <c r="C69" s="34" t="inlineStr">
        <is>
          <t>EXTRACT+TABLE</t>
        </is>
      </c>
      <c r="D69" s="34" t="inlineStr">
        <is>
          <t>Double-pass 27 rows agree - SURVEY said 28; page wins (rows print out of size order in 3 spots). Matched-size legs == SAE J514 M family via MS51510E -&gt; VERIFIED-LEGS; MS51505 direct transcription pending. Non-FG 6-6 M2=1.06 vs M1=1.08 asymmetry noted in flags.</t>
        </is>
      </c>
    </row>
    <row r="70">
      <c r="A70" s="34" t="inlineStr">
        <is>
          <t>2026-09-06</t>
        </is>
      </c>
      <c r="B70" s="34" t="inlineStr">
        <is>
          <t>6409 (s98)</t>
        </is>
      </c>
      <c r="C70" s="34" t="inlineStr">
        <is>
          <t>EXTRACT+TABLE</t>
        </is>
      </c>
      <c r="D70" s="34" t="inlineStr">
        <is>
          <t>Double-pass 14 rows agree. 3 RED: dashes 7/14/32 - ORB groove not in measured/published set; dash 7 (5/8-18) has no groove-dia entry anywhere yet, add to STEP shopping list.</t>
        </is>
      </c>
    </row>
    <row r="71">
      <c r="A71" s="34" t="inlineStr">
        <is>
          <t>2026-09-06</t>
        </is>
      </c>
      <c r="B71" s="34" t="inlineStr">
        <is>
          <t>5000 (s82)</t>
        </is>
      </c>
      <c r="C71" s="34" t="inlineStr">
        <is>
          <t>EXTRACT+TABLE</t>
        </is>
      </c>
      <c r="D71" s="34" t="inlineStr">
        <is>
          <t>Double-pass 19 rows agree. 1 YEL: 32-24 drill 2.20 vs 32-32 2.19 same thread.</t>
        </is>
      </c>
    </row>
    <row r="72">
      <c r="A72" s="34" t="inlineStr">
        <is>
          <t>2026-09-06</t>
        </is>
      </c>
      <c r="B72" s="34" t="inlineStr">
        <is>
          <t>3051 (s124)</t>
        </is>
      </c>
      <c r="C72" s="34" t="inlineStr">
        <is>
          <t>EXTRACT+TABLE</t>
        </is>
      </c>
      <c r="D72" s="34" t="inlineStr">
        <is>
          <t>Double-pass 8 rows agree (incl 2-2-SHORT and LL-2-2 embedded variants). Single-source, clean.</t>
        </is>
      </c>
    </row>
    <row r="73">
      <c r="A73" s="34" t="inlineStr">
        <is>
          <t>2026-09-06</t>
        </is>
      </c>
      <c r="B73" s="34" t="inlineStr">
        <is>
          <t>MILESTONE</t>
        </is>
      </c>
      <c r="C73" s="34" t="inlineStr">
        <is>
          <t>COUNT</t>
        </is>
      </c>
      <c r="D73" s="34" t="inlineStr">
        <is>
          <t>40 series tabled: adds 2500, 6409, 5000, 3051.</t>
        </is>
      </c>
    </row>
    <row r="74">
      <c r="A74" s="34" t="inlineStr">
        <is>
          <t>2026-09-06</t>
        </is>
      </c>
      <c r="B74" s="34" t="inlineStr">
        <is>
          <t>5404-N (s84)</t>
        </is>
      </c>
      <c r="C74" s="34" t="inlineStr">
        <is>
          <t>EXTRACT+TABLE</t>
        </is>
      </c>
      <c r="D74" s="34" t="inlineStr">
        <is>
          <t>Double-pass 14 rows agree (PNs carry cut length "X n"; C = body OD, no hex). Clean.</t>
        </is>
      </c>
    </row>
    <row r="75">
      <c r="A75" s="34" t="inlineStr">
        <is>
          <t>2026-09-06</t>
        </is>
      </c>
      <c r="B75" s="34" t="inlineStr">
        <is>
          <t>5406-P (s88)</t>
        </is>
      </c>
      <c r="C75" s="34" t="inlineStr">
        <is>
          <t>EXTRACT+TABLE</t>
        </is>
      </c>
      <c r="D75" s="34" t="inlineStr">
        <is>
          <t>Double-pass 9 rows agree. Clean.</t>
        </is>
      </c>
    </row>
    <row r="76">
      <c r="A76" s="34" t="inlineStr">
        <is>
          <t>2026-09-06</t>
        </is>
      </c>
      <c r="B76" s="34" t="inlineStr">
        <is>
          <t>5406-C (s87)</t>
        </is>
      </c>
      <c r="C76" s="34" t="inlineStr">
        <is>
          <t>EXTRACT+TABLE</t>
        </is>
      </c>
      <c r="D76" s="34" t="inlineStr">
        <is>
          <t>Double-pass 6 rows agree. Clean.</t>
        </is>
      </c>
    </row>
    <row r="77">
      <c r="A77" s="34" t="inlineStr">
        <is>
          <t>2026-09-06</t>
        </is>
      </c>
      <c r="B77" s="34" t="inlineStr">
        <is>
          <t>2403-LH (s63)</t>
        </is>
      </c>
      <c r="C77" s="34" t="inlineStr">
        <is>
          <t>EXTRACT+TABLE</t>
        </is>
      </c>
      <c r="D77" s="34" t="inlineStr">
        <is>
          <t>Double-pass 16 rows agree. JIC ends inherit MS33656J; large-hex variant of 2403 (2403 hexes for same sizes are smaller - L1 values also differ from 2403, correct for the variant).</t>
        </is>
      </c>
    </row>
    <row r="78">
      <c r="A78" s="34" t="inlineStr">
        <is>
          <t>2026-09-06</t>
        </is>
      </c>
      <c r="B78" s="34" t="inlineStr">
        <is>
          <t>MILESTONE</t>
        </is>
      </c>
      <c r="C78" s="34" t="inlineStr">
        <is>
          <t>COUNT</t>
        </is>
      </c>
      <c r="D78" s="34" t="inlineStr">
        <is>
          <t>44 series tabled: adds 5404-N, 5406-P, 5406-C, 2403-LH.</t>
        </is>
      </c>
    </row>
    <row r="79">
      <c r="A79" s="34" t="inlineStr">
        <is>
          <t>2026-09-06</t>
        </is>
      </c>
      <c r="B79" s="34" t="inlineStr">
        <is>
          <t>2404-L (s65)</t>
        </is>
      </c>
      <c r="C79" s="34" t="inlineStr">
        <is>
          <t>EXTRACT+TABLE</t>
        </is>
      </c>
      <c r="D79" s="34" t="inlineStr">
        <is>
          <t>Double-pass 8 rows agree. Long variant of the built 2404 master - same ends, longer body (L20 + T20 ref). Clean.</t>
        </is>
      </c>
    </row>
    <row r="80">
      <c r="A80" s="34" t="inlineStr">
        <is>
          <t>2026-09-06</t>
        </is>
      </c>
      <c r="B80" s="34" t="inlineStr">
        <is>
          <t>2404-LL (s66)</t>
        </is>
      </c>
      <c r="C80" s="34" t="inlineStr">
        <is>
          <t>EXTRACT+TABLE</t>
        </is>
      </c>
      <c r="D80" s="34" t="inlineStr">
        <is>
          <t>Double-pass 7 rows agree. Extra-long variant. Clean.</t>
        </is>
      </c>
    </row>
    <row r="81">
      <c r="A81" s="34" t="inlineStr">
        <is>
          <t>2026-09-06</t>
        </is>
      </c>
      <c r="B81" s="34" t="inlineStr">
        <is>
          <t>6400-L (s90)</t>
        </is>
      </c>
      <c r="C81" s="34" t="inlineStr">
        <is>
          <t>EXTRACT+TABLE</t>
        </is>
      </c>
      <c r="D81" s="34" t="inlineStr">
        <is>
          <t>Double-pass 15 rows agree. All ORB dashes within measured groove set. Clean.</t>
        </is>
      </c>
    </row>
    <row r="82">
      <c r="A82" s="34" t="inlineStr">
        <is>
          <t>2026-09-06</t>
        </is>
      </c>
      <c r="B82" s="34" t="inlineStr">
        <is>
          <t>2501-L (s119)</t>
        </is>
      </c>
      <c r="C82" s="34" t="inlineStr">
        <is>
          <t>EXTRACT+TABLE</t>
        </is>
      </c>
      <c r="D82" s="34" t="inlineStr">
        <is>
          <t>Double-pass 21 rows agree. M legs match the verified 2501 M family on every overlapping size (VERIFIED-LEGS on FG rows); N3 long leg single-source. Clean.</t>
        </is>
      </c>
    </row>
    <row r="83">
      <c r="A83" s="34" t="inlineStr">
        <is>
          <t>2026-09-06</t>
        </is>
      </c>
      <c r="B83" s="34" t="inlineStr">
        <is>
          <t>MILESTONE</t>
        </is>
      </c>
      <c r="C83" s="34" t="inlineStr">
        <is>
          <t>COUNT</t>
        </is>
      </c>
      <c r="D83" s="34" t="inlineStr">
        <is>
          <t>48 series tabled: adds 2404-L, 2404-LL, 6400-L, 2501-L. Session limit hit mid-batch on 2501-LL/LLL fetches - resume there.</t>
        </is>
      </c>
    </row>
    <row r="84">
      <c r="A84" s="34" t="inlineStr">
        <is>
          <t>2026-09-06</t>
        </is>
      </c>
      <c r="B84" s="34" t="inlineStr">
        <is>
          <t>2501-LL (s120)</t>
        </is>
      </c>
      <c r="C84" s="34" t="inlineStr">
        <is>
          <t>EXTRACT+TABLE</t>
        </is>
      </c>
      <c r="D84" s="34" t="inlineStr">
        <is>
          <t>Double-pass 16 rows agree (incl a lone -3-2-FG). M matches verified 2501 family; N4 long leg single-source. Clean.</t>
        </is>
      </c>
    </row>
    <row r="85">
      <c r="A85" s="34" t="inlineStr">
        <is>
          <t>2026-09-06</t>
        </is>
      </c>
      <c r="B85" s="34" t="inlineStr">
        <is>
          <t>2501-LLL (s121)</t>
        </is>
      </c>
      <c r="C85" s="34" t="inlineStr">
        <is>
          <t>EXTRACT+TABLE</t>
        </is>
      </c>
      <c r="D85" s="34" t="inlineStr">
        <is>
          <t>Double-pass 4 rows agree. Clean.</t>
        </is>
      </c>
    </row>
    <row r="86">
      <c r="A86" s="34" t="inlineStr">
        <is>
          <t>2026-09-06</t>
        </is>
      </c>
      <c r="B86" s="34" t="inlineStr">
        <is>
          <t>6801-L (s135)</t>
        </is>
      </c>
      <c r="C86" s="34" t="inlineStr">
        <is>
          <t>EXTRACT+TABLE</t>
        </is>
      </c>
      <c r="D86" s="34" t="inlineStr">
        <is>
          <t>Double-pass 18 rows agree (note odd PN spacing "8-5-NWO-FG" on page). Clean.</t>
        </is>
      </c>
    </row>
    <row r="87">
      <c r="A87" s="34" t="inlineStr">
        <is>
          <t>2026-09-06</t>
        </is>
      </c>
      <c r="B87" s="34" t="inlineStr">
        <is>
          <t>6801-LL (s136)</t>
        </is>
      </c>
      <c r="C87" s="34" t="inlineStr">
        <is>
          <t>EXTRACT+TABLE</t>
        </is>
      </c>
      <c r="D87" s="34" t="inlineStr">
        <is>
          <t>Double-pass 21 rows agree. 1 YEL: 8-8-NWO-FG prints B(2)=7/8-14 with dims duplicating the 8-10 rows (an 8-8 takes 3/4-16) - as-printed, likely scrambled page row.</t>
        </is>
      </c>
    </row>
    <row r="88">
      <c r="A88" s="34" t="inlineStr">
        <is>
          <t>2026-09-06</t>
        </is>
      </c>
      <c r="B88" s="34" t="inlineStr">
        <is>
          <t>6801-LLL (s137)</t>
        </is>
      </c>
      <c r="C88" s="34" t="inlineStr">
        <is>
          <t>EXTRACT+TABLE</t>
        </is>
      </c>
      <c r="D88" s="34" t="inlineStr">
        <is>
          <t>Double-pass 6 rows agree. Clean.</t>
        </is>
      </c>
    </row>
    <row r="89">
      <c r="A89" s="34" t="inlineStr">
        <is>
          <t>2026-09-06</t>
        </is>
      </c>
      <c r="B89" s="34" t="inlineStr">
        <is>
          <t>6500-L (s131)</t>
        </is>
      </c>
      <c r="C89" s="34" t="inlineStr">
        <is>
          <t>EXTRACT+TABLE</t>
        </is>
      </c>
      <c r="D89" s="34" t="inlineStr">
        <is>
          <t>Double-pass 6 rows agree. All 6 RED - same swivel-nut internal blocker as 6500; one Brennan 6500 STEP unlocks both.</t>
        </is>
      </c>
    </row>
    <row r="90">
      <c r="A90" s="34" t="inlineStr">
        <is>
          <t>2026-09-06</t>
        </is>
      </c>
      <c r="B90" s="34" t="inlineStr">
        <is>
          <t>MILESTONE</t>
        </is>
      </c>
      <c r="C90" s="34" t="inlineStr">
        <is>
          <t>COUNT</t>
        </is>
      </c>
      <c r="D90" s="34" t="inlineStr">
        <is>
          <t>54 series tabled: adds 2501-LL, 2501-LLL, 6801-L, 6801-LL, 6801-LLL, 6500-L.</t>
        </is>
      </c>
    </row>
    <row r="91">
      <c r="A91" s="34" t="inlineStr">
        <is>
          <t>2026-09-06</t>
        </is>
      </c>
      <c r="B91" s="34" t="inlineStr">
        <is>
          <t>2405-32-24</t>
        </is>
      </c>
      <c r="C91" s="34" t="inlineStr">
        <is>
          <t>TIEBREAK</t>
        </is>
      </c>
      <c r="D91" s="34" t="inlineStr">
        <is>
          <t>Brennan drawing (Chrome restored): overall 2.95 / hex 2.625 / bore O1.781 / 2-1/2-12 UN / 1-1/2-11-1/2 NPTF. Resolves AW anomalies: L2 2.05-&gt;2.95 (misprint), D 1.72-&gt;1.78 (page duplicated its own tap-drill 1.72). Row now VERIFIED; table patched green.</t>
        </is>
      </c>
    </row>
    <row r="92">
      <c r="A92" s="34" t="inlineStr">
        <is>
          <t>2026-09-06</t>
        </is>
      </c>
      <c r="B92" s="34" t="inlineStr">
        <is>
          <t>5404-32-20</t>
        </is>
      </c>
      <c r="C92" s="34" t="inlineStr">
        <is>
          <t>TIEBREAK-PARTIAL</t>
        </is>
      </c>
      <c r="D92" s="34" t="inlineStr">
        <is>
          <t>Brennan drawing: 2" male NPTF x 1-1/4" male NPTF, L 2.76 (=AW), hex 2.500 (=AW 2.50), bores O1.938/O1.250. CONFIRMS AW A/D columns swapped (threads reordered in table). NEW CONFLICT: AW bores 1.78/1.13 vs Brennan 1.938/1.250 - left open (CONFLICT-BORES), needs J514 140137C or STEP measure.</t>
        </is>
      </c>
    </row>
    <row r="93">
      <c r="A93" s="34" t="inlineStr">
        <is>
          <t>2026-09-06</t>
        </is>
      </c>
      <c r="B93" s="34" t="inlineStr">
        <is>
          <t>6400 master</t>
        </is>
      </c>
      <c r="C93" s="34" t="inlineStr">
        <is>
          <t>BUILD-PREP</t>
        </is>
      </c>
      <c r="D93" s="34" t="inlineStr">
        <is>
          <t>Aug-10 build sheet Stage 1 SUPERSEDED: its coarse JIC end predates the Sep-5 STEP-measured table. New 6400_profile_revC.png drawn from table values; chain closes vs measured STEPs (JIC -08 end sums 0.6570 = measured 0.657; tip derives O0.4260 = measured 0.426). Stages 2-6 of the sheet still valid. JIC end is identical construction to the validated 2404 end.</t>
        </is>
      </c>
    </row>
    <row r="94">
      <c r="A94" s="34" t="inlineStr">
        <is>
          <t>2026-09-06</t>
        </is>
      </c>
      <c r="B94" s="34" t="inlineStr">
        <is>
          <t>6400 table</t>
        </is>
      </c>
      <c r="C94" s="34" t="inlineStr">
        <is>
          <t>SW2-EXPORT</t>
        </is>
      </c>
      <c r="D94" s="34" t="inlineStr">
        <is>
          <t>DesignTable_6400_SW2.xlsx (row-1 layout, 08-08-O first) + 3 new columns DEPTH@BORECUT_A / START@BORECUT_B / DEPTH@BORECUT_B computed per config (step = hex mid-plane = orb_end + body/2, per Aug-10 sheet rule; BORESTEPL is a modeling ASSUMPTION, affects no released dim). 58/65 filled; 7 ORB -14/-32 rows left blank (blocked, correct).</t>
        </is>
      </c>
    </row>
    <row r="95">
      <c r="A95" s="34" t="inlineStr">
        <is>
          <t>2026-09-06</t>
        </is>
      </c>
      <c r="B95" s="34" t="inlineStr">
        <is>
          <t>6400 master</t>
        </is>
      </c>
      <c r="C95" s="34" t="inlineStr">
        <is>
          <t>BUILD+VALIDATE</t>
        </is>
      </c>
      <c r="D95" s="34" t="inlineStr">
        <is>
          <t>Master built by user; DRIVE fully defined; design table inserted, 65 configs generated. FOUND IN VALIDATION: the 7 blocked rows (ORB -14/-32 groove unmeasured) built as real-looking but WRONG geometry - blank design-table cells do not skip a parameter, SolidWorks leaves the dimension at its last value, so 6400-32-32-O got a 2.78 body with the reference size 0.63/0.85 bore depths = solid slug mid-part, no through bore, plus an inherited groove width. FIX: the 7 rows REMOVED from DesignTable_6400_SW2.xlsx (now 58 configs, every geometry cell populated; only $COMMENT blank). Full 65-row record retained in the review copy DesignTable_6400.xlsx with the 7 flagged. Those configs return when the Brennan STEP batch supplies ORB -14/-32 groove width. LESSON FOR ALL FUTURE MASTERS: never ship a design table with blank geometry cells - drop the row instead.</t>
        </is>
      </c>
    </row>
    <row r="96">
      <c r="A96" s="34" t="inlineStr">
        <is>
          <t>2026-09-06</t>
        </is>
      </c>
      <c r="B96" s="34" t="inlineStr">
        <is>
          <t>6400 blocked rows</t>
        </is>
      </c>
      <c r="C96" s="34" t="inlineStr">
        <is>
          <t>SCORING FIX</t>
        </is>
      </c>
      <c r="D96" s="34" t="inlineStr">
        <is>
          <t>User asked whether the 7 removed configs are still OMi catalog parts - they are, and the check exposed a mislabel: all 7 still carried ASSUMED and 6400-32-32-O carried VERIFIED despite a blank ORB_GRVW. Rescored all 7 to MISSING in the review copy with an explicit note that they remain IN SCOPE and are excluded from the SW2 import only. Library scope for 6400 stays 65: 58 modeled, 7 pending ORB -14/-32 groove width (one Brennan STEP unblocks all 7). Root cause: DataStatus was scored from source agreement without also testing for blank required cells - apply that second test to every topology at next re-score.</t>
        </is>
      </c>
    </row>
    <row r="97">
      <c r="A97" s="34" t="inlineStr">
        <is>
          <t>2026-09-15</t>
        </is>
      </c>
      <c r="B97" s="34" t="inlineStr">
        <is>
          <t>ORB groove 2nd source</t>
        </is>
      </c>
      <c r="C97" s="34" t="inlineStr">
        <is>
          <t>SOURCE (subagent, 2 fetch passes + mirror)</t>
        </is>
      </c>
      <c r="D97" s="34" t="inlineStr">
        <is>
          <t>Parker ORD-5700 Design Table 4-4 "Fitting end AS4395 used with J1926/1 and AS5202 bosses" (parker.com PDF; bayseal.com mirror identical). F (+.002/-.003) = groove ROOT DIA, G (+.015/-.000) = groove WIDTH. F matches library GRVDIA on ALL 13 dashes 2-32; G matches library GRVW on ALL 8 dashes 2-12 (.063/.063/.075/.075/.083/.094/.107/.125). G is NOT individually printed for -14/-16/-20/-24/-32 (text layer shows one .125 on the -12 row; looks like a merged cell but NOT confirmed visually) -&gt; NOT used as a second source for 16/20/24, and -14/-32 groove width remains MISSING. Dash -7 absent. K column unreadable. Stud/thread length not tabulated. Transcribed verbatim in 03_SCRIPTS/ms_nuts_orb.py; raw report 07_RAW_EXTRACTS/Report_ORB_groove_ORD5700.md.</t>
        </is>
      </c>
      <c r="E97" s="34" t="inlineStr">
        <is>
          <t>INFO</t>
        </is>
      </c>
      <c r="F97" s="34" t="inlineStr">
        <is>
          <t>NEXT RE-SCORE: ORB_GRVDIA (2-32) and ORB_GRVW (2-12) cells that were ASSUMED on Air-Way alone can be promoted to VERIFIED (Air-Way + ORD-5700 agree). Not yet applied to the 54 tables - do it in the same pass as the blank-cell MISSING re-score. Do NOT fill -14/-32 GRVW from the spanning cell.</t>
        </is>
      </c>
    </row>
    <row r="98">
      <c r="A98" s="34" t="inlineStr">
        <is>
          <t>2026-09-15</t>
        </is>
      </c>
      <c r="B98" s="34" t="inlineStr">
        <is>
          <t>ORB stud length (Parker 4300 G7)</t>
        </is>
      </c>
      <c r="C98" s="34" t="inlineStr">
        <is>
          <t>SOURCE (subagent)</t>
        </is>
      </c>
      <c r="D98" s="34" t="inlineStr">
        <is>
          <t>Parker Catalog 4300 p.G7 "Port Ends for SAE J1926-1 Port": light-duty and heavy-duty stud columns for dashes 2-32, transcribed verbatim in ms_nuts_orb.py. Header has 5 names vs 6 symbols (T, C4, D Max, L4 Min, X, Z Max); which of L4 Min / X / Z Max is "Minimum Thread" vs "Stud Length" is AMBIGUOUS in the text layer. Parker product data, not J1926-2.</t>
        </is>
      </c>
      <c r="E98" s="34" t="inlineStr">
        <is>
          <t>INFO</t>
        </is>
      </c>
      <c r="F98" s="34" t="inlineStr">
        <is>
          <t>Do not use for any design table until the header mapping is confirmed visually. Library ORB_THDL stays on Air-Way (+ Brennan STEP where measured).</t>
        </is>
      </c>
    </row>
    <row r="99">
      <c r="A99" s="34" t="inlineStr">
        <is>
          <t>2026-09-15</t>
        </is>
      </c>
      <c r="B99" s="34" t="inlineStr">
        <is>
          <t>Swivel nut standards (6500 / 6500-L / 2406 / 6900)</t>
        </is>
      </c>
      <c r="C99" s="34" t="inlineStr">
        <is>
          <t>SOURCE (subagent, 3 passes: text, coordinates, rendered image)</t>
        </is>
      </c>
      <c r="D99" s="34" t="inlineStr">
        <is>
          <t>AN818 Rev 20 w/Amd 4, 26-Sep-2024, Nut Tube Coupling Short (ASSIST ident 54315, token 5791795), Active, governed by SAE-AS4841: Figure 1 tables -2..-48 (A, B, C, H, J, L, M+tol, N, P hex+tol, Q min, R, S max, U) transcribed verbatim. MS51531D 30-Sep-2021, Nut Tube Coupling 37 Degree Flared (ASSIST ident 43344, token 5774431), Active, SAE J514 / UNF-2B industrial nut: B thread, C hex, D1 bore+tol, I1, J1 full thread min, L1 for B2-B32 transcribed verbatim. Cross-check: hex agrees on all 12 shared dashes (AN818 prints 3 dp); I1 == AN818 L exactly on all 12; bore differs .001-.003 and overall length differs &lt;=.010 (different standards, recorded not averaged). FINDING: NO MS/AN/MIL standard dimensions the female 37deg internal seat - MS33656J canceled -&gt; AS4395 (male), MS27073E canceled -&gt; AS4370, AN817 -&gt; AS5206; the only internal-flare end standard is SAE-AS1708 (Active, DoD-adopted, ASSIST hosts adoption notice only, body paywalled). Both nut tables in 03_SCRIPTS/ms_nuts_orb.py; raw report 07_RAW_EXTRACTS/Report_AN818_MS51531D.md.</t>
        </is>
      </c>
      <c r="E99" s="34" t="inlineStr">
        <is>
          <t>INFO</t>
        </is>
      </c>
      <c r="F99" s="34" t="inlineStr">
        <is>
          <t>DesignTable_6500.xlsx gained sheet NutRef_MS51531D (standard-nut envelope with per-cell status; internal seat MISSING). Part-row DataStatus UNCHANGED (still ASSUMED/blocked) because MS51531D note 5 says the drawing does not restrict designs - the Air-Way nut as sold must be confirmed by a Brennan 6500 STEP before any nut value enters the master model.</t>
        </is>
      </c>
    </row>
    <row r="100">
      <c r="A100" s="34" t="inlineStr">
        <is>
          <t>2026-09-15</t>
        </is>
      </c>
      <c r="B100" s="34" t="inlineStr">
        <is>
          <t>Session workspace</t>
        </is>
      </c>
      <c r="C100" s="34" t="inlineStr">
        <is>
          <t>NOTE</t>
        </is>
      </c>
      <c r="D100" s="34" t="inlineStr">
        <is>
          <t>Cloud workspace was reclaimed between sessions (all /tmp/omi files lost). Rebuilt from the handoff folder: only the master workbook and DesignTable_6500 were re-staged this session. Everything committed to OMi_Handoff is the authoritative copy; nothing was lost.</t>
        </is>
      </c>
      <c r="E100" s="34" t="inlineStr">
        <is>
          <t>INFO</t>
        </is>
      </c>
      <c r="F100" s="34" t="inlineStr">
        <is>
          <t>If a future session needs the generators or raw CSVs, re-stage them from 03_SCRIPTS / 07_RAW_EXTRACTS.</t>
        </is>
      </c>
    </row>
    <row r="101">
      <c r="A101" s="34" t="inlineStr">
        <is>
          <t>2026-09-15</t>
        </is>
      </c>
      <c r="B101" s="34" t="inlineStr">
        <is>
          <t>Brennan CAD portal STEP batch</t>
        </is>
      </c>
      <c r="C101" s="34" t="inlineStr">
        <is>
          <t>BLOCKED</t>
        </is>
      </c>
      <c r="D101" s="34" t="inlineStr">
        <is>
          <t>brennan.partcommunity.com confirmed (server-side fetch) to require login for STEP download; the Claude Chrome extension was disconnected, so the D6500 / ORB -14 / ORB -32 downloads could not be driven this session.</t>
        </is>
      </c>
      <c r="E101" s="34" t="inlineStr">
        <is>
          <t>BLOCKER</t>
        </is>
      </c>
      <c r="F101" s="34" t="inlineStr">
        <is>
          <t>User: restore Chrome window, reconnect the Claude extension, grant it site permission for brennan.partcommunity.com, and log in (assistant never handles credentials). Then the assistant drives the configurator for 6500-08-08, 6400-08-14-O, 6400-32-32-O first (one STEP each unblocks the 6500 nut, ORB -14 groove, ORB -32 groove).</t>
        </is>
      </c>
    </row>
    <row r="102">
      <c r="A102" s="34" t="inlineStr">
        <is>
          <t>2026-09-15</t>
        </is>
      </c>
      <c r="B102" s="34" t="inlineStr">
        <is>
          <t>Topologies sheet</t>
        </is>
      </c>
      <c r="C102" s="34" t="inlineStr">
        <is>
          <t>TRACKER UPDATE</t>
        </is>
      </c>
      <c r="D102" s="34" t="inlineStr">
        <is>
          <t>Master status column brought in line with the 04_DESIGN_TABLES folder: 2 BUILT (2404, 6400), 36 TABLED - master not built (variants folded into their root), 88 NOT STARTED. Added Build order (1-8) for the next masters: 2403, 2405, 2500, 2502, 2503, 2603, 5406, 6803.</t>
        </is>
      </c>
      <c r="E102" s="34" t="inlineStr">
        <is>
          <t>INFO</t>
        </is>
      </c>
      <c r="F102" s="34" t="inlineStr">
        <is>
          <t>Keep this sheet as the single progress tracker; update it whenever a master is built.</t>
        </is>
      </c>
    </row>
    <row r="103">
      <c r="A103" s="34" t="inlineStr">
        <is>
          <t>2026-09-16</t>
        </is>
      </c>
      <c r="B103" s="34" t="inlineStr">
        <is>
          <t>2403 master</t>
        </is>
      </c>
      <c r="C103" s="34" t="inlineStr">
        <is>
          <t>BUILD+VALIDATE</t>
        </is>
      </c>
      <c r="D103" s="34" t="inlineStr">
        <is>
          <t>User built 2403_MASTER from DesignTable_2403_SW2.xlsx: 49 configs (33 x 2403 + 16 x 2403-LH, LH folded in with HEXB=C2HEX and JIC axials copied per dash). Computed columns BODYDIA=HEXB/cos30, bore step at hex mid-plane (modeling assumption, same rule as 6400). Issue on first import: DEPTH@BORECUT_A/B, START@BORECUT_B, SEATB@DRIVE not found (feature dims still at default names) -&gt; renamed, table re-read, 32-24 section check passed (1.78 / 1.31). Thread features THD_EndA/B = Thread feature (Inch Die 0.7500-16, blind .2837), suppressed - NOT cosmetic threads (walkthrough corrected).</t>
        </is>
      </c>
      <c r="E103" s="34" t="inlineStr">
        <is>
          <t>INFO</t>
        </is>
      </c>
      <c r="F103" s="34" t="inlineStr">
        <is>
          <t>Lesson for the walkthroughs: say explicitly "rename the cut DEPTH dimension to DEPTH / offset to START" - default extrude dims are D1/D2 and the table cannot find them.</t>
        </is>
      </c>
    </row>
    <row r="104">
      <c r="A104" s="34" t="inlineStr">
        <is>
          <t>2026-09-16</t>
        </is>
      </c>
      <c r="B104" s="34" t="inlineStr">
        <is>
          <t>2405 SW2 table</t>
        </is>
      </c>
      <c r="C104" s="34" t="inlineStr">
        <is>
          <t>SW2-EXPORT</t>
        </is>
      </c>
      <c r="D104" s="34" t="inlineStr">
        <is>
          <t>DesignTable_2405_SW2.xlsx: 32 configs, 08-08 first. Computed: BODYDIA=HEXB/cos30; DEPTH@BORECUT_A = FPT_P1 (tap-drill pocket depth); DEPTH@BORECUT_B = L2 - FPT_P1 (through bore D3 cut from the JIC tip face to the pocket bottom - NOT through-all, because 2405-32-24 has D3 1.78 &gt; tap drill 1.72). MODELING ASSUMPTION: hex spans End A face to JIC relief flat (hex length derived). Validated per row: hex &gt; THDMAJ_B, tap drill &lt; hex flats, FPT_P1 &lt; hex length.</t>
        </is>
      </c>
      <c r="E104" s="34" t="inlineStr">
        <is>
          <t>INFO</t>
        </is>
      </c>
      <c r="F104" s="34" t="inlineStr">
        <is>
          <t>Female NPTF thread: Thread feature cannot make tapered threads; use Cosmetic Thread type Tapered Pipe on the pocket edge for the drawing callout only.</t>
        </is>
      </c>
    </row>
    <row r="105">
      <c r="A105" s="34" t="inlineStr">
        <is>
          <t>2026-09-16</t>
        </is>
      </c>
      <c r="B105" s="34" t="inlineStr">
        <is>
          <t>Build macro (03_SCRIPTS/gen_macro_straight.py -&gt; Build_&lt;topo&gt;_MASTER.bas)</t>
        </is>
      </c>
      <c r="C105" s="34" t="inlineStr">
        <is>
          <t>VALIDATED on 2403</t>
        </is>
      </c>
      <c r="D105" s="34" t="inlineStr">
        <is>
          <t>Macro-built 2403 matches the hand-built master: DRIVE fully defined with all 18 dims placed and named in walkthrough order, revolve volume 0.6853 in^3 == exact profile integral, hex cut removes 5.3% (corners only), bores named DEPTH/START/D1/D2, THD_EndA/B created via ThreadFeatureData (swFmSweepThread, Inch Die 0.7500-16, blind .2837) and suppressed, design table inserted -&gt; 49 configs + Default, self-checks all OK. 12 iterations to get there; report file Build_&lt;topo&gt;_report.txt streams every check.</t>
        </is>
      </c>
      <c r="E105" s="34" t="inlineStr">
        <is>
          <t>INFO</t>
        </is>
      </c>
      <c r="F105" s="34" t="inlineStr">
        <is>
          <t>SolidWorks 2026 API lessons (apply to every future macro): (1) FeatureCut4 returns Nothing unless UseFeatScope/UseAutoSelect/AssemblyFeatureScope/AutoSelectComponents are ALL False and NormalCut=False; (2) swEndCondThroughAllBoth is rejected - use a two-direction cut with ThroughAll/ThroughAll; (3) CreateDefinition(swFmCut) returns Nothing - extrude cuts must use FeatureCut4; (4) an "If Not ok Then Exit Sub" inside the bore routine silently terminated the procedure - avoid Exit Sub inside numbered/traced routines; (5) Thread feature: CreateDefinition(swFmSweepThread), set Edge (object), Type="Inch Die" (string, resolves to the .sldlfp profile), Size="0.7500-16", ThreadMethod=swThreadMethod_Cut, EndCondition=swThreadEndCondition_Blind, BlindDepth; InitializeThreadData is NOT callable with (edge,type,size); (6) angular dims may come out as the supplement and diameter dims as radius depending on text placement - macro retries placements until the value matches; (7) SaveAs fails silently if the target file is open - macro falls back to a timestamped name.</t>
        </is>
      </c>
    </row>
    <row r="106">
      <c r="A106" s="34" t="inlineStr">
        <is>
          <t>2026-09-16</t>
        </is>
      </c>
      <c r="B106" s="34" t="inlineStr">
        <is>
          <t>2405 master</t>
        </is>
      </c>
      <c r="C106" s="34" t="inlineStr">
        <is>
          <t>BUILD (hand) + NPTF</t>
        </is>
      </c>
      <c r="D106" s="34" t="inlineStr">
        <is>
          <t>User built 2405 by hand: 10-dim DRIVE, hex, tap-drill pocket BORECUT_A (.700 x .900) and JIC-side bore BORECUT_B (.390 x .890), THD_EndB (Thread feature), THD_EndA = real tapered NPTF via HELIXSK_A/HELIX_A (Ø.700, .900 high, pitch .0714, taper 1.7899 deg inward) + THDPROF_A (equilateral V, THDH .0571, pierce to helix start) + swept cut. Pitfall found: the V profile pierced at the pocket wall with its apex pointing INTO the pocket (air) -&gt; "failed to cut"; fixed by Mirror Entities about the base. Table with 4 helix columns to be imported by user; not yet confirmed.</t>
        </is>
      </c>
      <c r="E106" s="34" t="inlineStr">
        <is>
          <t>INFO</t>
        </is>
      </c>
      <c r="F106" s="34" t="inlineStr">
        <is>
          <t>2405 stays TABLED until the user confirms 32 configs and the 32-24 pocket/bore check.</t>
        </is>
      </c>
    </row>
    <row r="107">
      <c r="A107" s="34" t="inlineStr">
        <is>
          <t>2026-09-16</t>
        </is>
      </c>
      <c r="B107" s="34" t="inlineStr">
        <is>
          <t>SolidWorks 2026 SP3 regression</t>
        </is>
      </c>
      <c r="C107" s="34" t="inlineStr">
        <is>
          <t>Macro report + config spot-check</t>
        </is>
      </c>
      <c r="D107" s="34" t="inlineStr">
        <is>
          <t>After the SP3 update, a sketch dimension between a profile line and the revolve centreline is created by the API as the RADIUS (distance to axis) regardless of text placement; flipping it to diametric display (DisplayDimension.Diametric) reads back the diameter but the design table then does NOT drive it (values stayed at the master 08 values in every other config -&gt; legs undersized, corner sphere oversized). FIX applied to 2403/2405/2500/2603 masters: those dims are radius dims BODYR, THDMAJR_*, JIC*_CONER; SW2 table columns renamed and = catalog diameter / 2 (script 03_SCRIPTS/sp3fix.py). All other dims unchanged. Catalog/master data still holds diameters.</t>
        </is>
      </c>
      <c r="E107" s="34" t="inlineStr">
        <is>
          <t>HIGH</t>
        </is>
      </c>
      <c r="F107" s="34" t="inlineStr">
        <is>
          <t>Any new straight/elbow master must use radius dims for body, thread major and cone; hand-built 2404/6400 (pre-SP3 diameter dims) still rebuild but should be checked before table edits.</t>
        </is>
      </c>
    </row>
    <row r="108">
      <c r="A108" s="34" t="inlineStr">
        <is>
          <t>2026-09-16</t>
        </is>
      </c>
      <c r="B108" s="34" t="inlineStr">
        <is>
          <t>Macro config spot-check</t>
        </is>
      </c>
      <c r="C108" s="34" t="inlineStr">
        <is>
          <t>Added to all four Build_*_MASTER.bas</t>
        </is>
      </c>
      <c r="D108" s="34" t="inlineStr">
        <is>
          <t>After the design table loads, the macro switches to two configurations (small + largest), reads the driven dims back with Parameter(), checks one solid body, lists any feature with a rebuild error and prints the bounding box, then returns to the 08 reference. Reports 2403/2405/2500/2603 all pass (0 fails; 2405 only the known-unreliable 32-24 volume readback).</t>
        </is>
      </c>
      <c r="E108" s="34" t="inlineStr">
        <is>
          <t>INFO</t>
        </is>
      </c>
      <c r="F108" s="34" t="inlineStr">
        <is>
          <t>Visual check of THD_EndA on 2405-32-24 remains manual.</t>
        </is>
      </c>
    </row>
    <row r="109">
      <c r="A109" s="34" t="inlineStr">
        <is>
          <t>2026-09-16</t>
        </is>
      </c>
      <c r="B109" s="34" t="inlineStr">
        <is>
          <t>Thread feature on fine pitches</t>
        </is>
      </c>
      <c r="C109" s="34" t="inlineStr">
        <is>
          <t>Observed 2603-06-06-04</t>
        </is>
      </c>
      <c r="D109" s="34" t="inlineStr">
        <is>
          <t>Thread feature (Inch Die 0.7500-16 profile with dia/pitch override) fails to cut on -04/-06 ends because Profile_Land/Profile_Height are dialog-only and not table-drivable; the tooth is fixed at the 16-tpi size. Helix-and-V sweep attempted for JIC ends was NOT adopted (regressed the masters); masters keep the Thread feature. Fine-pitch configs (-04/-06 JIC ends) therefore show no thread cut in the model - drawings must carry the thread callout from the property.</t>
        </is>
      </c>
      <c r="E109" s="34" t="inlineStr">
        <is>
          <t>MEDIUM</t>
        </is>
      </c>
      <c r="F109" s="34" t="inlineStr">
        <is>
          <t>Open: per-pitch thread profile library (.sldlfp) or accept cosmetic representation on -04/-06.</t>
        </is>
      </c>
    </row>
    <row r="110">
      <c r="A110" s="34" t="inlineStr">
        <is>
          <t>2026-09-16</t>
        </is>
      </c>
      <c r="B110" s="34" t="inlineStr">
        <is>
          <t>Master build status</t>
        </is>
      </c>
      <c r="C110" s="34" t="inlineStr">
        <is>
          <t>Macro runs 2026-09-16 PM</t>
        </is>
      </c>
      <c r="D110" s="34" t="inlineStr">
        <is>
          <t>2405 (32 configs), 2500 (27), 2603 (41) built by macro on SP3 with clean reports; 2403 rebuilt (49). Saved parts: 2403_MASTER_macro_153332, 2405_MASTER_macro_153518, 2500_MASTER_macro, 2603_MASTER_macro .SLDPRT. Stale copies moved to _to_delete folders (user to delete).</t>
        </is>
      </c>
      <c r="E110" s="34" t="inlineStr">
        <is>
          <t>INFO</t>
        </is>
      </c>
      <c r="F110" s="34" t="inlineStr">
        <is>
          <t>Rename the two timestamped parts to the fixed names once the old files are closed.</t>
        </is>
      </c>
    </row>
    <row r="111">
      <c r="A111" s="34" t="n">
        <v>110</v>
      </c>
      <c r="B111" s="34" t="inlineStr">
        <is>
          <t>2026-09-16</t>
        </is>
      </c>
      <c r="C111" s="34" t="inlineStr">
        <is>
          <t>2502 master built</t>
        </is>
      </c>
      <c r="D111" s="34" t="inlineStr">
        <is>
          <t>Macro run + config spot-check</t>
        </is>
      </c>
      <c r="E111" s="34" t="inlineStr">
        <is>
          <t>2502 90 deg female pipe elbow built by Build_2502_MASTER.bas on SP3: 29 configs, 0 failures. Layout: origin = NPTF female face; LEGP boss revolve about X (x 0..N1, R = Y1/2); LEGJ JIC male revolve about Y with its axis at x = N1 (y 0..M1); CORNER sphere at (N1,0) R = max(BOSSR, BODYR); tap-drill pocket + bore to the JIC axis from the pipe face; bore from the JIC tip to the pipe axis; THD_EndB Thread feature; THD_EndA tapered NPTF helix sweep (2405 routine reused unchanged because the pipe face sits at x=0). Spot-check 2502-04-02 and 2502-24-24 read every driven dim from the table; extents 0..1.795 x -0.565..1.550 on the reference config.</t>
        </is>
      </c>
      <c r="F111" s="34" t="inlineStr">
        <is>
          <t>INFO</t>
        </is>
      </c>
      <c r="G111" s="34" t="inlineStr">
        <is>
          <t>Visual check of THD_EndA / THD_EndB unsuppressed on one small and one large config still to do.</t>
        </is>
      </c>
    </row>
    <row r="112">
      <c r="A112" s="34" t="n">
        <v>111</v>
      </c>
      <c r="B112" s="34" t="inlineStr">
        <is>
          <t>2026-09-16</t>
        </is>
      </c>
      <c r="C112" s="34" t="inlineStr">
        <is>
          <t>Angle dimension placement on off-origin legs</t>
        </is>
      </c>
      <c r="D112" s="34" t="inlineStr">
        <is>
          <t>Build_2502 report trace</t>
        </is>
      </c>
      <c r="E112" s="34" t="inlineStr">
        <is>
          <t>Dim_ang chose its alternate text placements by mirroring through the ORIGIN, which only works when the leg axis passes through it (2403/2500/2603). On 2502 the JIC leg axis is at x = N1, so all six candidates returned the supplement (120 deg instead of 60). FIX: Dim_ang now also tries the four quadrants around the vertex the two dimensioned lines share (found geometrically via SegVertex) and traces the angle it got at each attempt. Candidate 0 is unchanged, so the four existing masters are unaffected.</t>
        </is>
      </c>
      <c r="F112" s="34" t="inlineStr">
        <is>
          <t>MEDIUM</t>
        </is>
      </c>
      <c r="G112" s="34" t="inlineStr">
        <is>
          <t>Use the updated Dim_ang (03_SCRIPTS/sp3fix.py DIMANG) for every new topology whose legs do not pass through the origin (2503, 6803 branch).</t>
        </is>
      </c>
    </row>
    <row r="113">
      <c r="A113" s="34" t="n">
        <v>112</v>
      </c>
      <c r="B113" s="34" t="inlineStr">
        <is>
          <t>2026-09-16</t>
        </is>
      </c>
      <c r="C113" s="34" t="inlineStr">
        <is>
          <t>2502 modeling assumptions</t>
        </is>
      </c>
      <c r="D113" s="34" t="inlineStr">
        <is>
          <t>Generator asserts + row AxialSource</t>
        </is>
      </c>
      <c r="E113" s="34" t="inlineStr">
        <is>
          <t>Logged per row: boss modeled as a round dia Y1 (catalog gives Y1 as a width); JIC-leg body radius taken from the 2500 table for the same JIC dash (catalog has no JIC-leg body width for 2502); corner sphere R = max(BOSSR, BODYR); NPTF pocket depth and helix parameters copied from the 2405 table per pipe dash. Generator asserts every row: JIC leg longer than the corner, pipe leg longer than the corner, tap drill inside the boss, tap drill equal to the 2502 catalog value.</t>
        </is>
      </c>
      <c r="F113" s="34" t="inlineStr">
        <is>
          <t>MEDIUM</t>
        </is>
      </c>
      <c r="G113" s="34" t="inlineStr">
        <is>
          <t>Promote the JIC-leg body width and the pocket depth to VERIFIED if a 2502 drawing or STEP file becomes available.</t>
        </is>
      </c>
    </row>
    <row r="114">
      <c r="A114" s="34" t="n">
        <v>113</v>
      </c>
      <c r="B114" s="34" t="inlineStr">
        <is>
          <t>2026-09-16</t>
        </is>
      </c>
      <c r="C114" s="34" t="inlineStr">
        <is>
          <t>2502 tangency defect found and fixed</t>
        </is>
      </c>
      <c r="D114" s="34" t="inlineStr">
        <is>
          <t>All-config sweep (Check_2502_AllConfigs.bas) + build spot-check</t>
        </is>
      </c>
      <c r="E114" s="34" t="inlineStr">
        <is>
          <t>BORECUT_J failed with error 1 on 2502-20-20 and 2502-20-20-FG only. Cause: the tap-drill pocket floor sits at x = P1 and the JIC bore wall at x = N1 - D/2; on those two rows both are 1.160, so the pocket floor was exactly TANGENT to the bore cylinder (a plane grazing a cylinder - degenerate for the modelling kernel). Every other configuration clears by 0.025 or more. FIX: where the pocket would come within 0.02 of the bore wall the generator models it 0.02 short (1.16 -&gt; 1.14, those two rows only) and records the adjustment in that row AxialSource. MODELLING clearance, not a data change: the catalog NPTF thread depth is unchanged and remains the drawing callout. Verified 2502-20-20-FG rebuilds clean, one solid body, no feature errors.</t>
        </is>
      </c>
      <c r="F114" s="34" t="inlineStr">
        <is>
          <t>MEDIUM</t>
        </is>
      </c>
      <c r="G114" s="34" t="inlineStr">
        <is>
          <t>Apply the same pocket-vs-cross-bore-wall clearance test to any future topology with a pocket meeting a cross bore (2503, 6803 branch). The generator previously warned only when the pocket OVERSHOT the bore, so exact equality slipped through.</t>
        </is>
      </c>
    </row>
    <row r="115">
      <c r="A115" s="34" t="n">
        <v>114</v>
      </c>
      <c r="B115" s="34" t="inlineStr">
        <is>
          <t>2026-09-16</t>
        </is>
      </c>
      <c r="C115" s="34" t="inlineStr">
        <is>
          <t>Diagnostic macro pattern</t>
        </is>
      </c>
      <c r="D115" s="34" t="inlineStr">
        <is>
          <t>Check_2502_AllConfigs.bas (CheckAllConfigs2502)</t>
        </is>
      </c>
      <c r="E115" s="34" t="inlineStr">
        <is>
          <t>Read-only all-config sweep: rebuilds every configuration, finds each bore BY GEOMETRY (a cylindrical face of the right radius about the right axis) rather than by feature name, measures the bore extent along its axis, and lists features that are suppressed or carry a rebuild error. Two VBA traps found writing it: Dim inside a For loop does NOT reset the variable each pass (an error string carried across configurations and made clean configs look broken), and Body2.GetMassProperties returned nothing behind On Error Resume Next so every volume printed 0. Entry point renamed CheckAllConfigs2502 so it can coexist with a Build_ module - two Sub main in one VBA project is an ambiguous name error.</t>
        </is>
      </c>
      <c r="F115" s="34" t="inlineStr">
        <is>
          <t>INFO</t>
        </is>
      </c>
      <c r="G115" s="34" t="inlineStr">
        <is>
          <t>Run this sweep on each new topology before calling it BUILT; the build macro spot-check only samples two configurations.</t>
        </is>
      </c>
    </row>
    <row r="116">
      <c r="A116" s="34" t="n">
        <v>115</v>
      </c>
      <c r="B116" s="34" t="inlineStr">
        <is>
          <t>2026-09-23</t>
        </is>
      </c>
      <c r="C116" s="34" t="inlineStr">
        <is>
          <t>Forged-body masters 2502HX / 2500HX / 2603HX</t>
        </is>
      </c>
      <c r="D116" s="34" t="inlineStr">
        <is>
          <t>Brennan STEP files (09_STEP_FILES) parsed for surface types/radii; hex bars, 30deg double-cone corners and 2502 round collar rebuilt from Air-Way Y/Y1/N1 numbers; Build_25xxHX_MASTER.bas + DesignTable_25xxHX_SW2.xlsx</t>
        </is>
      </c>
      <c r="E116" s="34" t="inlineStr">
        <is>
          <t>Hex across flats = Air-Way Y (Y1 for 2502 collar); corner = double cone about the flat-normal axis, radius AC=h/cos30 at mid-plane, R1=AC-h*tan30 at the flats; JIC shoulder = M - endlen (MS33656J chain) matched Brennan exactly. ASSUMPTION logged in each table AxialSource: 2502 collar length CL=min(0.30*N1, N1-AC-0.03) (Brennan 06-04-FG shows 0.26). Edge fillets NOT modelled (FeatureFillet3 / ModelDoc2.FeatureFillet return Nothing on SW2026 SP3 - unresolved). All three masters rebuild clean with config spot-checks; helix threads kept visible per client instruction.</t>
        </is>
      </c>
      <c r="F116" s="34" t="inlineStr">
        <is>
          <t>MEDIUM</t>
        </is>
      </c>
      <c r="G116" s="34" t="inlineStr">
        <is>
          <t>Log the collar-length assumption on any drawing that dimensions it; revisit fillets when an API path is found.</t>
        </is>
      </c>
    </row>
    <row r="117">
      <c r="A117" s="34" t="n">
        <v>116</v>
      </c>
      <c r="B117" s="34" t="inlineStr">
        <is>
          <t>2026-09-23</t>
        </is>
      </c>
      <c r="C117" s="34" t="inlineStr">
        <is>
          <t>Series drawing macro (OMi_SeriesDrawings.bas)</t>
        </is>
      </c>
      <c r="D117" s="34" t="inlineStr">
        <is>
          <t>One B-size drawing per built series on the client 6600 sheet (02_TEMPLATES/OMi_SheetFormat_B_6600.SLDDRW): OpenDoc6 base, delete views, CreateDrawViewFromModelView3, early-bound InsertModelAnnotations3 (all views) after ForceRebuild3, prune to KEEP list via returned annotation array, SaveAs SLDDRW+PDF, write-through report log</t>
        </is>
      </c>
      <c r="E117" s="34" t="inlineStr">
        <is>
          <t>Produces 10_DRAWINGS/&lt;series&gt;_SERIES.PDF for 2403/2405/2500/2502/2603 with imported model dims. Not yet: section view, 37deg seat callouts, thread leaders, top/left views (the 6600 example layout); per-part batch loop (set ReferencedConfiguration per config) is the planned next step.</t>
        </is>
      </c>
      <c r="F117" s="34" t="inlineStr">
        <is>
          <t>LOW</t>
        </is>
      </c>
      <c r="G117" s="34" t="inlineStr">
        <is>
          <t>Client to run latest version and check report; then add the 6600-style views.</t>
        </is>
      </c>
    </row>
    <row r="118">
      <c r="A118" s="34" t="n">
        <v>117</v>
      </c>
      <c r="B118" s="34" t="inlineStr">
        <is>
          <t>2026-09-23</t>
        </is>
      </c>
      <c r="C118" s="34" t="inlineStr">
        <is>
          <t>Design tables for all remaining Air-Way-covered topologies (62 roots)</t>
        </is>
      </c>
      <c r="D118" s="34" t="inlineStr">
        <is>
          <t>Two independent WebFetch passes per Air-Way series page (forward + reverse enumeration), row sets compared programmatically (03_SCRIPTS/cmp.py), targeted third fetch on any conflict (1404-16-20/20-16 only), values copied EXACTLY as printed; generator 03_SCRIPTS/gen_tables.py</t>
        </is>
      </c>
      <c r="E118" s="34" t="inlineStr">
        <is>
          <t>1059 Air-Way rows across 62 roots -&gt; DesignTable_&lt;root&gt;.xlsx (catalog-letter columns @DRIVE/@HEX/@BORE, THDMAJ_* from recognised callouts only, $PRP@PartNo zero-padded, DataStatus ASSUMED single-source). 23 rows are MISSING because the page value is blank/garbled or the thread callout is not a standard size (left empty, quoted in $COMMENT). Raw extracts 07_RAW_EXTRACTS/&lt;root&gt;.csv. Stated ROWS= counts from the summariser were wrong on 9 pages (e.g. 2703 said 30 and 26, both enumerated 28) - enumeration always won.</t>
        </is>
      </c>
      <c r="F118" s="34" t="inlineStr">
        <is>
          <t>NONE</t>
        </is>
      </c>
      <c r="G118" s="34" t="inlineStr">
        <is>
          <t>Sibling ORFS (FF*) and FLARE-O (F*) series of the same roots were NOT extracted this pass - they are the seal-family columns for the same masters and still need their own double-pass.</t>
        </is>
      </c>
    </row>
    <row r="119">
      <c r="A119" s="34" t="n">
        <v>118</v>
      </c>
      <c r="B119" s="34" t="inlineStr">
        <is>
          <t>2026-09-23</t>
        </is>
      </c>
      <c r="C119" s="34" t="inlineStr">
        <is>
          <t>Air-Way source anomalies (this batch)</t>
        </is>
      </c>
      <c r="D119" s="34" t="inlineStr">
        <is>
          <t>Collected while extracting; full list 07_RAW_EXTRACTS/airway_anomalies_2026-09-23.txt (48 notes)</t>
        </is>
      </c>
      <c r="E119" s="34" t="inlineStr">
        <is>
          <t>Typos reproduced as printed and flagged, never corrected: thread callouts 1/8-24 (1501-2-4-FG), 1/8-18 (1502-4-2), 1/4918 (1504-4-4-FG), 14-18 (5604-4-4-4-FG), 1/4-14 (5605-8-8-8-FG), 1 7/8-14 (2650-24, 6501-24-24, 6502-24-24), 1 1/2-12 on a -32 end (2605-32-32-32-FG), 3/16-16 (2703-8-8-8-FG-LN), 1 5/16-18 (6602-16-10-6), 2 1/2-2 1/2 (6565-32-32), 1 1/2-11 (2706-24-24-LN); decimals .056 (2701-4-4-LN), 030 (4503-6-6-FG), .030/.039 (6504-6-8), .31 (6600-24-24-24-FG); implausible D on 5503 -FG rows (0.83/1.19/1.54/1.64) and 2702-12-12-FG-LN (looks like a -16 row); 4604-20-14-0 (zero for O); 2704 has no 4-4-4-LN row; 6505 D1 printed --- on 12 rows (treated as not-applicable, not MISSING); 6506 L17 blank on 5 rows (MISSING).</t>
        </is>
      </c>
      <c r="F119" s="34" t="inlineStr">
        <is>
          <t>LOW</t>
        </is>
      </c>
      <c r="G119" s="34" t="inlineStr">
        <is>
          <t>Confirm each with the client before any of these rows are released; the THDMAJ cell is empty for every unrecognised callout so the macro cannot cut a wrong thread.</t>
        </is>
      </c>
    </row>
    <row r="120">
      <c r="A120" s="34" t="n">
        <v>119</v>
      </c>
      <c r="B120" s="34" t="inlineStr">
        <is>
          <t>2026-09-23</t>
        </is>
      </c>
      <c r="C120" s="34" t="inlineStr">
        <is>
          <t>ScopeAction reconciliation vs OMi catalog</t>
        </is>
      </c>
      <c r="D120" s="34" t="inlineStr">
        <is>
          <t>OMi products.json feed crawled (cs-adapters 34 pages, flange 4, braze 2; limit=50; single pass 2026-09-23; 1831 SKUs captured, feed drops 1-5 records per page as before - 2613 absent entirely). Matched to Air-Way rows on (root, dash numbers, suffix set) ignoring token order and the 17xx "-61" code; 03_SCRIPTS/scope.py; raw SKU lists 07_RAW_EXTRACTS/omi_feed/</t>
        </is>
      </c>
      <c r="E120" s="34" t="inlineStr">
        <is>
          <t>364 Air-Way rows BUILD (OMi SKU exists), 695 DROP (Air-Way-only), 308 OMi SKUs with NO Air-Way row appended as MISSING configs (BUILD). Of those 308, 166 differ from an Air-Way row ONLY by the -FG suffix (OMi sells e.g. 1601-04-04-04-FG, Air-Way lists 1601-4-4-4): flagged BUILD-NEAR, dims deliberately NOT copied because forged/machined variants differ in length on series that list both (1501 N1, 2701 Y). Largest gaps: 1703 (OMi 19 SKUs, Air-Way 1 row), 1704 (25 vs 2), 6501 (14 OMi-only), 6901 (14), 4501 (11).</t>
        </is>
      </c>
      <c r="F120" s="34" t="inlineStr">
        <is>
          <t>HIGH</t>
        </is>
      </c>
      <c r="G120" s="34" t="inlineStr">
        <is>
          <t>CLIENT DECISION NEEDED: are OMi "-FG" SKUs dimensionally the Air-Way non-FG row, the Air-Way FG row, or neither? Until answered these configs stay MISSING and are not released.</t>
        </is>
      </c>
    </row>
    <row r="121">
      <c r="A121" s="34" t="n">
        <v>120</v>
      </c>
      <c r="B121" s="34" t="inlineStr">
        <is>
          <t>2026-09-23</t>
        </is>
      </c>
      <c r="C121" s="34" t="inlineStr">
        <is>
          <t>Topologies with OMi SKUs but no Air-Way carbon-steel series</t>
        </is>
      </c>
      <c r="D121" s="34" t="inlineStr">
        <is>
          <t>Cross of Topologies sheet vs Air-Way series index vs OMi feed</t>
        </is>
      </c>
      <c r="E121" s="34" t="inlineStr">
        <is>
          <t>18 roots (0618, 0619, 1724, 1800, 1803, 1804, 1824, 3474, 4000, 4001, 4005, 6420, 6425, 6566, 6701, 6815, 6832, 6835) now have DesignTable_&lt;root&gt;.xlsx SKELETONS: one MISSING row per OMi SKU, no dimensions. 1901/1902/1927-61/1927-62 are all -KIT SKUs -&gt; OUT OF SCOPE (kits). 2402/6316/6540/7202 not found in the CS feed crawl (C-/FS-only roots).</t>
        </is>
      </c>
      <c r="F121" s="34" t="inlineStr">
        <is>
          <t>MEDIUM</t>
        </is>
      </c>
      <c r="G121" s="34" t="inlineStr">
        <is>
          <t>Find a dimensional source per skeleton root (Parker/Brennan catalog page or STEP) - Air-Way has nothing for them.</t>
        </is>
      </c>
    </row>
    <row r="122">
      <c r="A122" s="34" t="n">
        <v>121</v>
      </c>
      <c r="B122" s="34" t="inlineStr">
        <is>
          <t>2026-09-23</t>
        </is>
      </c>
      <c r="C122" s="34" t="inlineStr">
        <is>
          <t>Design-table column naming (this batch)</t>
        </is>
      </c>
      <c r="D122" s="34" t="inlineStr">
        <is>
          <t>Reviewed against the 2026-09-06 TABLED batch (5602, 5504, 2700, 6403)</t>
        </is>
      </c>
      <c r="E122" s="34" t="inlineStr">
        <is>
          <t>Kept the catalog-letter convention (L@DRIVE, N1_2@DRIVE, C3HEX@HEX, D2@BORE, TAPDRILL1@BORE, THDMAJ_B1@DRIVE) so all TABLED sheets read the same; parenthesised "X (n)" -&gt; Xn, or X_n when the page also has a literal Xn (2605 has both "D (1)" and "D1"). Added $PRP@ScopeAction and $PRP@OMiSKU columns (custom properties only - harmless to the build macros).</t>
        </is>
      </c>
      <c r="F122" s="34" t="inlineStr">
        <is>
          <t>INFO</t>
        </is>
      </c>
      <c r="G122" s="34" t="inlineStr">
        <is>
          <t>The generic D1..D6 slot mapping (DimensionMap) still needs to be filled per root when each master is built.</t>
        </is>
      </c>
    </row>
    <row r="123">
      <c r="A123" s="34" t="n">
        <v>122</v>
      </c>
      <c r="B123" s="34" t="inlineStr">
        <is>
          <t>2026-09-23</t>
        </is>
      </c>
      <c r="C123" s="34" t="inlineStr">
        <is>
          <t>0304 / 0306 / 0318 / 0319 / 0403 (roots listed unpadded on Air-Way)</t>
        </is>
      </c>
      <c r="D123" s="34" t="inlineStr">
        <is>
          <t>Same double-pass extraction; part numbers zero-padded to the project form (304-4 -&gt; 0304-04)</t>
        </is>
      </c>
      <c r="E123" s="34" t="inlineStr">
        <is>
          <t>0318 nut and 0319 sleeve match the OMi feed 12/13 each (Air-Way -3 size has no OMi SKU). 0304: Air-Way 304 standard nut (9 rows, -4..-20) vs OMi 0304-C-02..-32 (13 SKUs, incl. -2/-3/-24/-32 and a -C suffix) -&gt; no size/suffix match, all OMi SKUs MISSING. 0306: Air-Way publishes only the ORFS FF306 bulkhead locknut (6 rows, ORFS threads) while OMi 0306-02..-32 are JIC bulkhead locknuts -&gt; different thread family, all 12 OMi SKUs MISSING. 0403 braze union: Air-Way rows carry UNPL / PF UNPL suffixes; OMi 0403-04-04..-20-20 (7) matched as BUILD-NEAR to the UNPL rows (dims not copied).</t>
        </is>
      </c>
      <c r="F123" s="34" t="inlineStr">
        <is>
          <t>MEDIUM</t>
        </is>
      </c>
      <c r="G123" s="34" t="inlineStr">
        <is>
          <t>Client: confirm what -C means on 0304-C and whether OMi 0306 is the JIC (not ORFS) locknut; then a second source (MS51531 / MS51533 already transcribed in NutRef sheet) can VERIFY 0318/0319.</t>
        </is>
      </c>
    </row>
    <row r="124">
      <c r="A124" t="n">
        <v>123</v>
      </c>
      <c r="B124" t="inlineStr">
        <is>
          <t>2026-09-23</t>
        </is>
      </c>
      <c r="C124" t="inlineStr">
        <is>
          <t>ScopeAction reconciliation applied to the 38 earlier tables (54 files incl. -L/-LL/-LLL/-LH/-N/-C/-P variants)</t>
        </is>
      </c>
      <c r="D124" t="inlineStr">
        <is>
          <t>Same OMi feed crawl and matching as QA #120 (03_SCRIPTS/scope2.py); variant SKUs routed to their variant table; 5404-N lengths (2-2 X 2 vs 04X2.000), 5406-02P vs 5406-P-02 and plug SOLID/H spellings normalised; report 07_RAW_EXTRACTS/scope_report_old_2026-09-23.json</t>
        </is>
      </c>
      <c r="E124" t="inlineStr">
        <is>
          <t>762 Air-Way rows BUILD, 740 DROP, 241 OMi SKUs appended as MISSING rows (101 differ only by -FG). 2404 matches 54/54 (agrees with the pilot). Tables with NO OMi SKUs at all: 2407, 6403, 6409, 2404-LL, 2501-LLL, 6801-LLL (Air-Way-only variants -&gt; every row DROP). Largest OMi-only gaps: 5404-N (21 lengths OMi sells that Air-Way does not list), 5406 (17), 6408 (13), 2406/2700/5404 (10 each). Existing dimension cells were NOT touched; only the two new columns and appended rows.</t>
        </is>
      </c>
      <c r="F124" t="inlineStr">
        <is>
          <t>MEDIUM</t>
        </is>
      </c>
      <c r="G124" t="inlineStr">
        <is>
          <t>Same client decision as #120 on the -FG SKUs; the 5404-N/5406/6408 gaps need a second dimensional source (they are simple plugs/caps/nipples - Parker or Brennan catalog will likely cover them).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K4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4" customWidth="1" style="34" min="1" max="1"/>
    <col width="11" customWidth="1" style="34" min="2" max="2"/>
    <col width="50" customWidth="1" style="34" min="3" max="3"/>
    <col width="26" customWidth="1" style="34" min="4" max="4"/>
    <col width="13" customWidth="1" style="34" min="5" max="5"/>
    <col width="66" customWidth="1" style="34" min="6" max="6"/>
    <col width="30" customWidth="1" style="34" min="7" max="7"/>
    <col width="20" customWidth="1" style="34" min="8" max="8"/>
    <col width="13" customWidth="1" style="34" min="9" max="10"/>
    <col width="30" customWidth="1" style="34" min="11" max="11"/>
  </cols>
  <sheetData>
    <row r="1" ht="23.25" customHeight="1" s="35">
      <c r="A1" s="57" t="inlineStr">
        <is>
          <t>GeometryRoot</t>
        </is>
      </c>
      <c r="B1" s="57" t="inlineStr">
        <is>
          <t>SeriesID_AirWay</t>
        </is>
      </c>
      <c r="C1" s="57" t="inlineStr">
        <is>
          <t>SeriesName</t>
        </is>
      </c>
      <c r="D1" s="57" t="inlineStr">
        <is>
          <t>Category</t>
        </is>
      </c>
      <c r="E1" s="57" t="inlineStr">
        <is>
          <t>Shape</t>
        </is>
      </c>
      <c r="F1" s="57" t="inlineStr">
        <is>
          <t>SourceURL</t>
        </is>
      </c>
      <c r="G1" s="57" t="inlineStr">
        <is>
          <t>StandardCited</t>
        </is>
      </c>
      <c r="H1" s="57" t="inlineStr">
        <is>
          <t>MasterModelStatus</t>
        </is>
      </c>
      <c r="I1" s="57" t="inlineStr">
        <is>
          <t>PilotPriority</t>
        </is>
      </c>
      <c r="J1" s="57" t="inlineStr">
        <is>
          <t>VariantCount</t>
        </is>
      </c>
      <c r="K1" s="57" t="inlineStr">
        <is>
          <t>Notes</t>
        </is>
      </c>
    </row>
    <row r="2" ht="15" customHeight="1" s="35">
      <c r="A2" s="37" t="inlineStr">
        <is>
          <t>1404</t>
        </is>
      </c>
      <c r="B2" s="37" t="inlineStr">
        <is>
          <t>55</t>
        </is>
      </c>
      <c r="C2" s="37" t="inlineStr">
        <is>
          <t>1404 Female Adapter Union to Male Pipe</t>
        </is>
      </c>
      <c r="D2" s="37" t="inlineStr">
        <is>
          <t>JIC 37 &amp; Beaded Hose</t>
        </is>
      </c>
      <c r="E2" s="37" t="inlineStr">
        <is>
          <t>Straight</t>
        </is>
      </c>
      <c r="F2" s="37" t="inlineStr">
        <is>
          <t>https://parts.air-way.com/hydraulic-fittings/jic-and-beaded-hose-fittings/straight/1404-female-adapter-union-to-male-pipe-series-55</t>
        </is>
      </c>
      <c r="G2" s="37" t="inlineStr">
        <is>
          <t>SAE J514 140130</t>
        </is>
      </c>
      <c r="H2" s="37" t="inlineStr">
        <is>
          <t>TABLED</t>
        </is>
      </c>
      <c r="I2" s="37" t="n"/>
      <c r="J2" s="37" t="n">
        <v>27</v>
      </c>
      <c r="K2" s="37" t="inlineStr">
        <is>
          <t>TABLED 2026-09-23: double-pass extraction 27 rows (sheet said 27); DesignTable_1404.xlsx; scope vs OMi feed: 24 BUILD / 3 DROP / 0 OMi-only (0 differ only by -FG); 1 source anomaly note(s) in 07_RAW_EXTRACTS/airway_anomalies_2026-09-23.txt</t>
        </is>
      </c>
    </row>
    <row r="3" ht="15" customHeight="1" s="35">
      <c r="A3" s="37" t="inlineStr">
        <is>
          <t>1404</t>
        </is>
      </c>
      <c r="B3" s="37" t="inlineStr">
        <is>
          <t>227</t>
        </is>
      </c>
      <c r="C3" s="37" t="inlineStr">
        <is>
          <t>SS1404 Female Adapter Union to Male Pipe series</t>
        </is>
      </c>
      <c r="D3" s="37" t="inlineStr">
        <is>
          <t>Stainless Steel Fittings</t>
        </is>
      </c>
      <c r="E3" s="37" t="inlineStr">
        <is>
          <t>Straight</t>
        </is>
      </c>
      <c r="F3" s="37" t="inlineStr">
        <is>
          <t>https://parts.air-way.com/hydraulic-fittings/stainless-steel-hydraulic-fittings/straight/ss1404-female-adapter-union-to-male-pipe-series-227</t>
        </is>
      </c>
      <c r="G3" s="37" t="inlineStr">
        <is>
          <t>SAE J514 140130</t>
        </is>
      </c>
      <c r="H3" s="37" t="inlineStr">
        <is>
          <t>NOT STARTED</t>
        </is>
      </c>
      <c r="I3" s="37" t="n"/>
      <c r="J3" s="37" t="n">
        <v>13</v>
      </c>
      <c r="K3" s="37" t="n"/>
    </row>
    <row r="4" ht="15" customHeight="1" s="35">
      <c r="A4" s="37" t="inlineStr">
        <is>
          <t>1405</t>
        </is>
      </c>
      <c r="B4" s="37" t="inlineStr">
        <is>
          <t>56</t>
        </is>
      </c>
      <c r="C4" s="37" t="inlineStr">
        <is>
          <t>1405 Female Adapter Union to Female Pipe</t>
        </is>
      </c>
      <c r="D4" s="37" t="inlineStr">
        <is>
          <t>JIC 37 &amp; Beaded Hose</t>
        </is>
      </c>
      <c r="E4" s="37" t="inlineStr">
        <is>
          <t>Straight</t>
        </is>
      </c>
      <c r="F4" s="37" t="inlineStr">
        <is>
          <t>https://parts.air-way.com/hydraulic-fittings/jic-and-beaded-hose-fittings/straight/1405-female-adapter-union-to-female-pipe-series-56</t>
        </is>
      </c>
      <c r="G4" s="37" t="inlineStr">
        <is>
          <t>SAE J514 140131</t>
        </is>
      </c>
      <c r="H4" s="37" t="inlineStr">
        <is>
          <t>TABLED</t>
        </is>
      </c>
      <c r="I4" s="37" t="n"/>
      <c r="J4" s="37" t="n">
        <v>17</v>
      </c>
      <c r="K4" s="37" t="inlineStr">
        <is>
          <t>TABLED 2026-09-23: double-pass extraction 17 rows (sheet said 17); DesignTable_1405.xlsx; scope vs OMi feed: 15 BUILD / 2 DROP / 3 OMi-only (0 differ only by -FG)</t>
        </is>
      </c>
    </row>
    <row r="5" ht="15" customHeight="1" s="35">
      <c r="A5" s="37" t="inlineStr">
        <is>
          <t>1405</t>
        </is>
      </c>
      <c r="B5" s="37" t="inlineStr">
        <is>
          <t>228</t>
        </is>
      </c>
      <c r="C5" s="37" t="inlineStr">
        <is>
          <t>SS1405 Female Adapter Union to Female Pipe series</t>
        </is>
      </c>
      <c r="D5" s="37" t="inlineStr">
        <is>
          <t>Stainless Steel Fittings</t>
        </is>
      </c>
      <c r="E5" s="37" t="inlineStr">
        <is>
          <t>Straight</t>
        </is>
      </c>
      <c r="F5" s="37" t="inlineStr">
        <is>
          <t>https://parts.air-way.com/hydraulic-fittings/stainless-steel-hydraulic-fittings/straight/ss1405-female-adapter-union-to-female-pipe-series-228</t>
        </is>
      </c>
      <c r="G5" s="37" t="inlineStr">
        <is>
          <t>SAE J514 140131</t>
        </is>
      </c>
      <c r="H5" s="37" t="inlineStr">
        <is>
          <t>NOT STARTED</t>
        </is>
      </c>
      <c r="I5" s="37" t="n"/>
      <c r="J5" s="37" t="n">
        <v>4</v>
      </c>
      <c r="K5" s="37" t="n"/>
    </row>
    <row r="6" ht="15" customHeight="1" s="35">
      <c r="A6" s="37" t="inlineStr">
        <is>
          <t>1501</t>
        </is>
      </c>
      <c r="B6" s="37" t="inlineStr">
        <is>
          <t>113</t>
        </is>
      </c>
      <c r="C6" s="37" t="inlineStr">
        <is>
          <t>1501 90° Female Adapter Union to Male Pipe</t>
        </is>
      </c>
      <c r="D6" s="37" t="inlineStr">
        <is>
          <t>JIC 37 &amp; Beaded Hose</t>
        </is>
      </c>
      <c r="E6" s="37" t="inlineStr">
        <is>
          <t>90°</t>
        </is>
      </c>
      <c r="F6" s="37" t="inlineStr">
        <is>
          <t>https://parts.air-way.com/hydraulic-fittings/jic-and-beaded-hose-fittings/90/1501-90-female-adapter-union-to-male-pipe-series-113</t>
        </is>
      </c>
      <c r="G6" s="37" t="inlineStr">
        <is>
          <t>SAE J514 140230</t>
        </is>
      </c>
      <c r="H6" s="37" t="inlineStr">
        <is>
          <t>TABLED</t>
        </is>
      </c>
      <c r="I6" s="37" t="n"/>
      <c r="J6" s="37" t="n">
        <v>48</v>
      </c>
      <c r="K6" s="37" t="inlineStr">
        <is>
          <t>TABLED 2026-09-23: double-pass extraction 48 rows (sheet said 48); DesignTable_1501.xlsx; scope vs OMi feed: 19 BUILD / 29 DROP / 2 OMi-only (2 differ only by -FG); 2 source anomaly note(s) in 07_RAW_EXTRACTS/airway_anomalies_2026-09-23.txt</t>
        </is>
      </c>
    </row>
    <row r="7" ht="15" customHeight="1" s="35">
      <c r="A7" s="37" t="inlineStr">
        <is>
          <t>1501</t>
        </is>
      </c>
      <c r="B7" s="37" t="inlineStr">
        <is>
          <t>267</t>
        </is>
      </c>
      <c r="C7" s="37" t="inlineStr">
        <is>
          <t>SS1501 90° Female Adapter Union to Male series</t>
        </is>
      </c>
      <c r="D7" s="37" t="inlineStr">
        <is>
          <t>Stainless Steel Fittings</t>
        </is>
      </c>
      <c r="E7" s="37" t="inlineStr">
        <is>
          <t>90°</t>
        </is>
      </c>
      <c r="F7" s="37" t="inlineStr">
        <is>
          <t>https://parts.air-way.com/hydraulic-fittings/stainless-steel-hydraulic-fittings/90/ss1501-90-female-adapter-union-to-male-series-267</t>
        </is>
      </c>
      <c r="G7" s="37" t="inlineStr">
        <is>
          <t>SAE J514 140230</t>
        </is>
      </c>
      <c r="H7" s="37" t="inlineStr">
        <is>
          <t>NOT STARTED</t>
        </is>
      </c>
      <c r="I7" s="37" t="n"/>
      <c r="J7" s="37" t="n">
        <v>5</v>
      </c>
      <c r="K7" s="37" t="n"/>
    </row>
    <row r="8" ht="15" customHeight="1" s="35">
      <c r="A8" s="37" t="inlineStr">
        <is>
          <t>1502</t>
        </is>
      </c>
      <c r="B8" s="37" t="inlineStr">
        <is>
          <t>114</t>
        </is>
      </c>
      <c r="C8" s="37" t="inlineStr">
        <is>
          <t>1502 90° Female Adapter Union to Female Pipe</t>
        </is>
      </c>
      <c r="D8" s="37" t="inlineStr">
        <is>
          <t>JIC 37 &amp; Beaded Hose</t>
        </is>
      </c>
      <c r="E8" s="37" t="inlineStr">
        <is>
          <t>90°</t>
        </is>
      </c>
      <c r="F8" s="37" t="inlineStr">
        <is>
          <t>https://parts.air-way.com/hydraulic-fittings/jic-and-beaded-hose-fittings/90/1502-90-female-adapter-union-to-female-pipe-series-114</t>
        </is>
      </c>
      <c r="G8" s="37" t="inlineStr">
        <is>
          <t>SAE J514 140231</t>
        </is>
      </c>
      <c r="H8" s="37" t="inlineStr">
        <is>
          <t>TABLED</t>
        </is>
      </c>
      <c r="I8" s="37" t="n"/>
      <c r="J8" s="37" t="n">
        <v>16</v>
      </c>
      <c r="K8" s="37" t="inlineStr">
        <is>
          <t>TABLED 2026-09-23: double-pass extraction 16 rows (sheet said 16); DesignTable_1502.xlsx; scope vs OMi feed: 2 BUILD / 14 DROP / 8 OMi-only (7 differ only by -FG); 1 source anomaly note(s) in 07_RAW_EXTRACTS/airway_anomalies_2026-09-23.txt</t>
        </is>
      </c>
    </row>
    <row r="9" ht="15" customHeight="1" s="35">
      <c r="A9" s="37" t="inlineStr">
        <is>
          <t>1503</t>
        </is>
      </c>
      <c r="B9" s="37" t="inlineStr">
        <is>
          <t>143</t>
        </is>
      </c>
      <c r="C9" s="37" t="inlineStr">
        <is>
          <t>1503 45° Female Adapter Union to Male Pipe</t>
        </is>
      </c>
      <c r="D9" s="37" t="inlineStr">
        <is>
          <t>JIC 37 &amp; Beaded Hose</t>
        </is>
      </c>
      <c r="E9" s="37" t="inlineStr">
        <is>
          <t>45°</t>
        </is>
      </c>
      <c r="F9" s="37" t="inlineStr">
        <is>
          <t>https://parts.air-way.com/hydraulic-fittings/jic-and-beaded-hose-fittings/45/1503-45-female-adapter-union-to-male-pipe-series-143</t>
        </is>
      </c>
      <c r="G9" s="37" t="inlineStr">
        <is>
          <t>SAE J514 140330</t>
        </is>
      </c>
      <c r="H9" s="37" t="inlineStr">
        <is>
          <t>TABLED</t>
        </is>
      </c>
      <c r="I9" s="37" t="n"/>
      <c r="J9" s="37" t="n">
        <v>35</v>
      </c>
      <c r="K9" s="37" t="inlineStr">
        <is>
          <t>TABLED 2026-09-23: double-pass extraction 35 rows (sheet said 35); DesignTable_1503.xlsx; scope vs OMi feed: 14 BUILD / 21 DROP / 5 OMi-only (5 differ only by -FG); 1 source anomaly note(s) in 07_RAW_EXTRACTS/airway_anomalies_2026-09-23.txt</t>
        </is>
      </c>
    </row>
    <row r="10" ht="15" customHeight="1" s="35">
      <c r="A10" s="37" t="inlineStr">
        <is>
          <t>1504</t>
        </is>
      </c>
      <c r="B10" s="37" t="inlineStr">
        <is>
          <t>144</t>
        </is>
      </c>
      <c r="C10" s="37" t="inlineStr">
        <is>
          <t>1504 45° Female Adapter Union to Female Pipe</t>
        </is>
      </c>
      <c r="D10" s="37" t="inlineStr">
        <is>
          <t>JIC 37 &amp; Beaded Hose</t>
        </is>
      </c>
      <c r="E10" s="37" t="inlineStr">
        <is>
          <t>45°</t>
        </is>
      </c>
      <c r="F10" s="37" t="inlineStr">
        <is>
          <t>https://parts.air-way.com/hydraulic-fittings/jic-and-beaded-hose-fittings/45/1504-45-female-adapter-union-to-female-pipe-series-144</t>
        </is>
      </c>
      <c r="G10" s="37" t="inlineStr">
        <is>
          <t>SAE J514 140331</t>
        </is>
      </c>
      <c r="H10" s="37" t="inlineStr">
        <is>
          <t>TABLED</t>
        </is>
      </c>
      <c r="I10" s="37" t="n"/>
      <c r="J10" s="37" t="n">
        <v>11</v>
      </c>
      <c r="K10" s="37" t="inlineStr">
        <is>
          <t>TABLED 2026-09-23: double-pass extraction 11 rows (sheet said 11); DesignTable_1504.xlsx; scope vs OMi feed: 1 BUILD / 10 DROP / 4 OMi-only (2 differ only by -FG); 1 source anomaly note(s) in 07_RAW_EXTRACTS/airway_anomalies_2026-09-23.txt</t>
        </is>
      </c>
    </row>
    <row r="11" ht="15" customHeight="1" s="35">
      <c r="A11" s="37" t="inlineStr">
        <is>
          <t>1601</t>
        </is>
      </c>
      <c r="B11" s="37" t="inlineStr">
        <is>
          <t>58</t>
        </is>
      </c>
      <c r="C11" s="37" t="inlineStr">
        <is>
          <t>1601 Female Adapter Union to Male Pipe Branch</t>
        </is>
      </c>
      <c r="D11" s="37" t="inlineStr">
        <is>
          <t>JIC 37 &amp; Beaded Hose</t>
        </is>
      </c>
      <c r="E11" s="37" t="inlineStr">
        <is>
          <t>Tee</t>
        </is>
      </c>
      <c r="F11" s="37" t="inlineStr">
        <is>
          <t>https://parts.air-way.com/hydraulic-fittings/jic-and-beaded-hose-fittings/tee/1601-female-adapter-union-to-male-pipe-branch-series-58</t>
        </is>
      </c>
      <c r="G11" s="37" t="inlineStr">
        <is>
          <t>none shown</t>
        </is>
      </c>
      <c r="H11" s="37" t="inlineStr">
        <is>
          <t>TABLED</t>
        </is>
      </c>
      <c r="I11" s="37" t="n"/>
      <c r="J11" s="37" t="n">
        <v>9</v>
      </c>
      <c r="K11" s="37" t="inlineStr">
        <is>
          <t>TABLED 2026-09-23: double-pass extraction 9 rows (sheet said 9); DesignTable_1601.xlsx; scope vs OMi feed: 0 BUILD / 9 DROP / 7 OMi-only (6 differ only by -FG)</t>
        </is>
      </c>
    </row>
    <row r="12" ht="15" customHeight="1" s="35">
      <c r="A12" s="37" t="inlineStr">
        <is>
          <t>1602</t>
        </is>
      </c>
      <c r="B12" s="37" t="inlineStr">
        <is>
          <t>59</t>
        </is>
      </c>
      <c r="C12" s="37" t="inlineStr">
        <is>
          <t>1602 Female Adapter Union to Female Pipe Branch</t>
        </is>
      </c>
      <c r="D12" s="37" t="inlineStr">
        <is>
          <t>JIC 37 &amp; Beaded Hose</t>
        </is>
      </c>
      <c r="E12" s="37" t="inlineStr">
        <is>
          <t>Tee</t>
        </is>
      </c>
      <c r="F12" s="37" t="inlineStr">
        <is>
          <t>https://parts.air-way.com/hydraulic-fittings/jic-and-beaded-hose-fittings/tee/1602-female-adapter-union-to-female-pipe-branch-series-59</t>
        </is>
      </c>
      <c r="G12" s="37" t="inlineStr">
        <is>
          <t>none shown</t>
        </is>
      </c>
      <c r="H12" s="37" t="inlineStr">
        <is>
          <t>TABLED</t>
        </is>
      </c>
      <c r="I12" s="37" t="n"/>
      <c r="J12" s="37" t="n">
        <v>4</v>
      </c>
      <c r="K12" s="37" t="inlineStr">
        <is>
          <t>TABLED 2026-09-23: double-pass extraction 4 rows (sheet said 4); DesignTable_1602.xlsx; scope vs OMi feed: 0 BUILD / 4 DROP / 7 OMi-only (3 differ only by -FG)</t>
        </is>
      </c>
    </row>
    <row r="13" ht="15" customHeight="1" s="35">
      <c r="A13" s="37" t="inlineStr">
        <is>
          <t>1603</t>
        </is>
      </c>
      <c r="B13" s="37" t="inlineStr">
        <is>
          <t>60</t>
        </is>
      </c>
      <c r="C13" s="37" t="inlineStr">
        <is>
          <t>1603 Female Adapter Union (Triple Swivel)</t>
        </is>
      </c>
      <c r="D13" s="37" t="inlineStr">
        <is>
          <t>JIC 37 &amp; Beaded Hose</t>
        </is>
      </c>
      <c r="E13" s="37" t="inlineStr">
        <is>
          <t>Tee</t>
        </is>
      </c>
      <c r="F13" s="37" t="inlineStr">
        <is>
          <t>https://parts.air-way.com/hydraulic-fittings/jic-and-beaded-hose-fittings/tee/1603-female-adapter-union-triple-swivel-series-60</t>
        </is>
      </c>
      <c r="G13" s="37" t="inlineStr">
        <is>
          <t>none shown</t>
        </is>
      </c>
      <c r="H13" s="37" t="inlineStr">
        <is>
          <t>TABLED</t>
        </is>
      </c>
      <c r="I13" s="37" t="n"/>
      <c r="J13" s="37" t="n">
        <v>7</v>
      </c>
      <c r="K13" s="37" t="inlineStr">
        <is>
          <t>TABLED 2026-09-23: double-pass extraction 7 rows (sheet said 7); DesignTable_1603.xlsx; scope vs OMi feed: 0 BUILD / 7 DROP / 6 OMi-only (6 differ only by -FG)</t>
        </is>
      </c>
    </row>
    <row r="14" ht="15" customHeight="1" s="35">
      <c r="A14" s="37" t="inlineStr">
        <is>
          <t>1700</t>
        </is>
      </c>
      <c r="B14" s="37" t="inlineStr">
        <is>
          <t>61</t>
        </is>
      </c>
      <c r="C14" s="37" t="inlineStr">
        <is>
          <t>1700-61 Code 61 Flange Adapter</t>
        </is>
      </c>
      <c r="D14" s="37" t="inlineStr">
        <is>
          <t>JIC 37 &amp; Beaded Hose</t>
        </is>
      </c>
      <c r="E14" s="37" t="inlineStr">
        <is>
          <t>Straight</t>
        </is>
      </c>
      <c r="F14" s="37" t="inlineStr">
        <is>
          <t>https://parts.air-way.com/hydraulic-fittings/jic-and-beaded-hose-fittings/straight/1700-61-code-61-flange-adapter-series-61</t>
        </is>
      </c>
      <c r="G14" s="37" t="inlineStr">
        <is>
          <t>none shown</t>
        </is>
      </c>
      <c r="H14" s="37" t="inlineStr">
        <is>
          <t>TABLED</t>
        </is>
      </c>
      <c r="I14" s="37" t="n"/>
      <c r="J14" s="37" t="n">
        <v>13</v>
      </c>
      <c r="K14" s="37" t="inlineStr">
        <is>
          <t>TABLED 2026-09-23: double-pass extraction 13 rows (sheet said 13); DesignTable_1700.xlsx; scope vs OMi feed: 10 BUILD / 3 DROP / 3 OMi-only (0 differ only by -FG)</t>
        </is>
      </c>
    </row>
    <row r="15" ht="15" customHeight="1" s="35">
      <c r="A15" s="37" t="inlineStr">
        <is>
          <t>1701</t>
        </is>
      </c>
      <c r="B15" s="37" t="inlineStr">
        <is>
          <t>115</t>
        </is>
      </c>
      <c r="C15" s="37" t="inlineStr">
        <is>
          <t>1701-61 90° Code 61 Bent Tube Flange Adapter Elbow</t>
        </is>
      </c>
      <c r="D15" s="37" t="inlineStr">
        <is>
          <t>JIC 37 &amp; Beaded Hose</t>
        </is>
      </c>
      <c r="E15" s="37" t="inlineStr">
        <is>
          <t>90°</t>
        </is>
      </c>
      <c r="F15" s="37" t="inlineStr">
        <is>
          <t>https://parts.air-way.com/hydraulic-fittings/jic-and-beaded-hose-fittings/90/1701-61-90-code-61-bent-tube-flange-adapter-elbow-series-115</t>
        </is>
      </c>
      <c r="G15" s="37" t="inlineStr">
        <is>
          <t>none shown</t>
        </is>
      </c>
      <c r="H15" s="37" t="inlineStr">
        <is>
          <t>NOT STARTED</t>
        </is>
      </c>
      <c r="I15" s="37" t="n"/>
      <c r="J15" s="37" t="n">
        <v>4</v>
      </c>
      <c r="K15" s="37" t="n"/>
    </row>
    <row r="16" ht="15" customHeight="1" s="35">
      <c r="A16" s="37" t="inlineStr">
        <is>
          <t>1703</t>
        </is>
      </c>
      <c r="B16" s="37" t="inlineStr">
        <is>
          <t>146</t>
        </is>
      </c>
      <c r="C16" s="37" t="inlineStr">
        <is>
          <t>1703-61 45° Code 61 Flange Adapter Elbow</t>
        </is>
      </c>
      <c r="D16" s="37" t="inlineStr">
        <is>
          <t>JIC 37 &amp; Beaded Hose</t>
        </is>
      </c>
      <c r="E16" s="37" t="inlineStr">
        <is>
          <t>45°</t>
        </is>
      </c>
      <c r="F16" s="37" t="inlineStr">
        <is>
          <t>https://parts.air-way.com/hydraulic-fittings/jic-and-beaded-hose-fittings/45/1703-61-45-code-61-flange-adapter-elbow-series-146</t>
        </is>
      </c>
      <c r="G16" s="37" t="inlineStr">
        <is>
          <t>none shown</t>
        </is>
      </c>
      <c r="H16" s="37" t="inlineStr">
        <is>
          <t>TABLED</t>
        </is>
      </c>
      <c r="I16" s="37" t="n"/>
      <c r="J16" s="37" t="n">
        <v>1</v>
      </c>
      <c r="K16" s="37" t="inlineStr">
        <is>
          <t>TABLED 2026-09-23: double-pass extraction 1 rows (sheet said 1); DesignTable_1703.xlsx; scope vs OMi feed: 0 BUILD / 1 DROP / 19 OMi-only (1 differ only by -FG); 1 source anomaly note(s) in 07_RAW_EXTRACTS/airway_anomalies_2026-09-23.txt</t>
        </is>
      </c>
    </row>
    <row r="17" ht="15" customHeight="1" s="35">
      <c r="A17" s="37" t="inlineStr">
        <is>
          <t>1704</t>
        </is>
      </c>
      <c r="B17" s="37" t="inlineStr">
        <is>
          <t>339</t>
        </is>
      </c>
      <c r="C17" s="37" t="inlineStr">
        <is>
          <t>F1704-61 90° Code 61 Flange Adapter Elbow</t>
        </is>
      </c>
      <c r="D17" s="37" t="inlineStr">
        <is>
          <t>FLARE-O</t>
        </is>
      </c>
      <c r="E17" s="37" t="inlineStr">
        <is>
          <t>90°</t>
        </is>
      </c>
      <c r="F17" s="37" t="inlineStr">
        <is>
          <t>https://parts.air-way.com/hydraulic-fittings/flare-o-hydraulic-fittings/90/f1704-61-90-code-61-flange-adapter-elbow-series-339</t>
        </is>
      </c>
      <c r="G17" s="37" t="inlineStr">
        <is>
          <t>none shown</t>
        </is>
      </c>
      <c r="H17" s="37" t="inlineStr">
        <is>
          <t>NOT STARTED</t>
        </is>
      </c>
      <c r="I17" s="37" t="n"/>
      <c r="J17" s="37" t="n">
        <v>1</v>
      </c>
      <c r="K17" s="37" t="n"/>
    </row>
    <row r="18" ht="15" customHeight="1" s="35">
      <c r="A18" s="37" t="inlineStr">
        <is>
          <t>1704</t>
        </is>
      </c>
      <c r="B18" s="37" t="inlineStr">
        <is>
          <t>116</t>
        </is>
      </c>
      <c r="C18" s="37" t="inlineStr">
        <is>
          <t>1704-61 90° Code 61 Flange Adapter Elbow</t>
        </is>
      </c>
      <c r="D18" s="37" t="inlineStr">
        <is>
          <t>JIC 37 &amp; Beaded Hose</t>
        </is>
      </c>
      <c r="E18" s="37" t="inlineStr">
        <is>
          <t>90°</t>
        </is>
      </c>
      <c r="F18" s="37" t="inlineStr">
        <is>
          <t>https://parts.air-way.com/hydraulic-fittings/jic-and-beaded-hose-fittings/90/1704-61-90-code-61-flange-adapter-elbow-series-116</t>
        </is>
      </c>
      <c r="G18" s="37" t="inlineStr">
        <is>
          <t>none shown</t>
        </is>
      </c>
      <c r="H18" s="37" t="inlineStr">
        <is>
          <t>TABLED</t>
        </is>
      </c>
      <c r="I18" s="37" t="n"/>
      <c r="J18" s="37" t="n">
        <v>2</v>
      </c>
      <c r="K18" s="37" t="inlineStr">
        <is>
          <t>TABLED 2026-09-23: double-pass extraction 2 rows (sheet said 2); DesignTable_1704.xlsx; scope vs OMi feed: 0 BUILD / 2 DROP / 25 OMi-only (2 differ only by -FG)</t>
        </is>
      </c>
    </row>
    <row r="19" ht="15" customHeight="1" s="35">
      <c r="A19" s="37" t="inlineStr">
        <is>
          <t>2101</t>
        </is>
      </c>
      <c r="B19" s="37" t="inlineStr">
        <is>
          <t>491</t>
        </is>
      </c>
      <c r="C19" s="37" t="inlineStr">
        <is>
          <t>2101 (1215) series</t>
        </is>
      </c>
      <c r="D19" s="37" t="inlineStr">
        <is>
          <t>Test Point Adapters</t>
        </is>
      </c>
      <c r="E19" s="37" t="inlineStr">
        <is>
          <t>(none — leaf category)</t>
        </is>
      </c>
      <c r="F19" s="37" t="inlineStr">
        <is>
          <t>https://parts.air-way.com/hydraulic-fittings/test-point-adapters/2101-1215-series-491</t>
        </is>
      </c>
      <c r="G19" s="37" t="inlineStr">
        <is>
          <t>none formally cited (description says "9/16-18 unf type E")</t>
        </is>
      </c>
      <c r="H19" s="37" t="inlineStr">
        <is>
          <t>NOT STARTED</t>
        </is>
      </c>
      <c r="I19" s="37" t="n"/>
      <c r="J19" s="37" t="n">
        <v>6</v>
      </c>
      <c r="K19" s="37" t="n"/>
    </row>
    <row r="20" ht="15" customHeight="1" s="35">
      <c r="A20" s="37" t="inlineStr">
        <is>
          <t>2103</t>
        </is>
      </c>
      <c r="B20" s="37" t="inlineStr">
        <is>
          <t>490</t>
        </is>
      </c>
      <c r="C20" s="37" t="inlineStr">
        <is>
          <t>2103 (1620) series</t>
        </is>
      </c>
      <c r="D20" s="37" t="inlineStr">
        <is>
          <t>Test Point Adapters</t>
        </is>
      </c>
      <c r="E20" s="37" t="inlineStr">
        <is>
          <t>(none — leaf category)</t>
        </is>
      </c>
      <c r="F20" s="37" t="inlineStr">
        <is>
          <t>https://parts.air-way.com/hydraulic-fittings/test-point-adapters/2103-1620-series-490</t>
        </is>
      </c>
      <c r="G20" s="37" t="inlineStr">
        <is>
          <t>ISO 228 G1/4 (in series description)</t>
        </is>
      </c>
      <c r="H20" s="37" t="inlineStr">
        <is>
          <t>NOT STARTED</t>
        </is>
      </c>
      <c r="I20" s="37" t="n"/>
      <c r="J20" s="37" t="n">
        <v>7</v>
      </c>
      <c r="K20" s="37" t="n"/>
    </row>
    <row r="21" ht="15" customHeight="1" s="35">
      <c r="A21" s="37" t="inlineStr">
        <is>
          <t>2403</t>
        </is>
      </c>
      <c r="B21" s="37" t="inlineStr">
        <is>
          <t>322</t>
        </is>
      </c>
      <c r="C21" s="37" t="inlineStr">
        <is>
          <t>F2403 Male Union</t>
        </is>
      </c>
      <c r="D21" s="37" t="inlineStr">
        <is>
          <t>FLARE-O</t>
        </is>
      </c>
      <c r="E21" s="37" t="inlineStr">
        <is>
          <t>Straight</t>
        </is>
      </c>
      <c r="F21" s="37" t="inlineStr">
        <is>
          <t>https://parts.air-way.com/hydraulic-fittings/flare-o-hydraulic-fittings/straight/f2403-male-union-series-322</t>
        </is>
      </c>
      <c r="G21" s="37" t="inlineStr">
        <is>
          <t>SAE J514 070101</t>
        </is>
      </c>
      <c r="H21" s="37" t="inlineStr">
        <is>
          <t>NOT STARTED</t>
        </is>
      </c>
      <c r="I21" s="37" t="n"/>
      <c r="J21" s="37" t="n">
        <v>18</v>
      </c>
      <c r="K21" s="37" t="n"/>
    </row>
    <row r="22" ht="15" customHeight="1" s="35">
      <c r="A22" s="37" t="inlineStr">
        <is>
          <t>2403</t>
        </is>
      </c>
      <c r="B22" s="37" t="inlineStr">
        <is>
          <t>459</t>
        </is>
      </c>
      <c r="C22" s="37" t="inlineStr">
        <is>
          <t>MBS2403 Threaded Straight Fitting, BSPP 60° Cone Union</t>
        </is>
      </c>
      <c r="D22" s="37" t="inlineStr">
        <is>
          <t>International &amp; Metric</t>
        </is>
      </c>
      <c r="E22" s="37" t="inlineStr">
        <is>
          <t>BSPP ISO 8434-6</t>
        </is>
      </c>
      <c r="F22" s="37" t="inlineStr">
        <is>
          <t>https://parts.air-way.com/hydraulic-fittings/international-metric/bspp-iso-8434-6/mbs2403-threaded-straight-fitting-bspp-60-cone-union-series-459</t>
        </is>
      </c>
      <c r="G22" s="37" t="inlineStr">
        <is>
          <t>ISO 8434-6</t>
        </is>
      </c>
      <c r="H22" s="37" t="inlineStr">
        <is>
          <t>NOT STARTED</t>
        </is>
      </c>
      <c r="I22" s="37" t="n"/>
      <c r="J22" s="37" t="n">
        <v>6</v>
      </c>
      <c r="K22" s="37" t="n"/>
    </row>
    <row r="23" ht="15" customHeight="1" s="35">
      <c r="A23" s="37" t="inlineStr">
        <is>
          <t>2403</t>
        </is>
      </c>
      <c r="B23" s="37" t="inlineStr">
        <is>
          <t>62</t>
        </is>
      </c>
      <c r="C23" s="37" t="inlineStr">
        <is>
          <t>2403 Male Union</t>
        </is>
      </c>
      <c r="D23" s="37" t="inlineStr">
        <is>
          <t>JIC 37 &amp; Beaded Hose</t>
        </is>
      </c>
      <c r="E23" s="37" t="inlineStr">
        <is>
          <t>Straight</t>
        </is>
      </c>
      <c r="F23" s="37" t="inlineStr">
        <is>
          <t>https://parts.air-way.com/hydraulic-fittings/jic-and-beaded-hose-fittings/straight/2403-male-tube-union-series-62</t>
        </is>
      </c>
      <c r="G23" s="37" t="inlineStr">
        <is>
          <t>SAE J514 070101 / MS51501</t>
        </is>
      </c>
      <c r="H23" s="37" t="inlineStr">
        <is>
          <t>NOT STARTED</t>
        </is>
      </c>
      <c r="I23" s="37" t="n"/>
      <c r="J23" s="37" t="n">
        <v>33</v>
      </c>
      <c r="K23" s="37" t="n"/>
    </row>
    <row r="24" ht="15" customHeight="1" s="35">
      <c r="A24" s="37" t="inlineStr">
        <is>
          <t>2403</t>
        </is>
      </c>
      <c r="B24" s="37" t="inlineStr">
        <is>
          <t>9</t>
        </is>
      </c>
      <c r="C24" s="37" t="inlineStr">
        <is>
          <t>FF2403 Male Union</t>
        </is>
      </c>
      <c r="D24" s="37" t="inlineStr">
        <is>
          <t>ORFS</t>
        </is>
      </c>
      <c r="E24" s="37" t="inlineStr">
        <is>
          <t>Straight</t>
        </is>
      </c>
      <c r="F24" s="37" t="inlineStr">
        <is>
          <t>https://parts.air-way.com/hydraulic-fittings/o-ring-face-seal-orfs-hydraulic-fittings/straight/ff2403-male-union-series-9</t>
        </is>
      </c>
      <c r="G24" s="37" t="inlineStr">
        <is>
          <t>SAE J1453 520101</t>
        </is>
      </c>
      <c r="H24" s="37" t="inlineStr">
        <is>
          <t>NOT STARTED</t>
        </is>
      </c>
      <c r="I24" s="37" t="n"/>
      <c r="J24" s="37" t="n">
        <v>15</v>
      </c>
      <c r="K24" s="37" t="n"/>
    </row>
    <row r="25" ht="15" customHeight="1" s="35">
      <c r="A25" s="37" t="inlineStr">
        <is>
          <t>2403</t>
        </is>
      </c>
      <c r="B25" s="37" t="inlineStr">
        <is>
          <t>230</t>
        </is>
      </c>
      <c r="C25" s="37" t="inlineStr">
        <is>
          <t>SS2403 Male Tube Union series</t>
        </is>
      </c>
      <c r="D25" s="37" t="inlineStr">
        <is>
          <t>Stainless Steel Fittings</t>
        </is>
      </c>
      <c r="E25" s="37" t="inlineStr">
        <is>
          <t>Straight</t>
        </is>
      </c>
      <c r="F25" s="37" t="inlineStr">
        <is>
          <t>https://parts.air-way.com/hydraulic-fittings/stainless-steel-hydraulic-fittings/straight/ss2403-male-tube-union-series-230</t>
        </is>
      </c>
      <c r="G25" s="37" t="inlineStr">
        <is>
          <t>SAE J514 070101 / MS51501</t>
        </is>
      </c>
      <c r="H25" s="37" t="inlineStr">
        <is>
          <t>NOT STARTED</t>
        </is>
      </c>
      <c r="I25" s="37" t="n"/>
      <c r="J25" s="37" t="n">
        <v>18</v>
      </c>
      <c r="K25" s="37" t="n"/>
    </row>
    <row r="26" ht="15" customHeight="1" s="35">
      <c r="A26" s="37" t="inlineStr">
        <is>
          <t>2403-LH</t>
        </is>
      </c>
      <c r="B26" s="37" t="inlineStr">
        <is>
          <t>63</t>
        </is>
      </c>
      <c r="C26" s="37" t="inlineStr">
        <is>
          <t>2403-LH Large Hex Union</t>
        </is>
      </c>
      <c r="D26" s="37" t="inlineStr">
        <is>
          <t>JIC 37 &amp; Beaded Hose</t>
        </is>
      </c>
      <c r="E26" s="37" t="inlineStr">
        <is>
          <t>Straight</t>
        </is>
      </c>
      <c r="F26" s="37" t="inlineStr">
        <is>
          <t>https://parts.air-way.com/hydraulic-fittings/jic-and-beaded-hose-fittings/straight/2403-lh-large-hex-union-series-63</t>
        </is>
      </c>
      <c r="G26" s="37" t="inlineStr">
        <is>
          <t>SAE J514 070119 / MS51519</t>
        </is>
      </c>
      <c r="H26" s="37" t="inlineStr">
        <is>
          <t>NOT STARTED</t>
        </is>
      </c>
      <c r="I26" s="37" t="n"/>
      <c r="J26" s="37" t="n">
        <v>16</v>
      </c>
      <c r="K26" s="37" t="n"/>
    </row>
    <row r="27" ht="15" customHeight="1" s="35">
      <c r="A27" s="37" t="inlineStr">
        <is>
          <t>2403-LH</t>
        </is>
      </c>
      <c r="B27" s="37" t="inlineStr">
        <is>
          <t>231</t>
        </is>
      </c>
      <c r="C27" s="37" t="inlineStr">
        <is>
          <t>SS2403-LH Large Hex Union series</t>
        </is>
      </c>
      <c r="D27" s="37" t="inlineStr">
        <is>
          <t>Stainless Steel Fittings</t>
        </is>
      </c>
      <c r="E27" s="37" t="inlineStr">
        <is>
          <t>Straight</t>
        </is>
      </c>
      <c r="F27" s="37" t="inlineStr">
        <is>
          <t>https://parts.air-way.com/hydraulic-fittings/stainless-steel-hydraulic-fittings/straight/ss2403-lh-large-hex-union-series-231</t>
        </is>
      </c>
      <c r="G27" s="37" t="inlineStr">
        <is>
          <t>SAE J514 070119 / MS51519</t>
        </is>
      </c>
      <c r="H27" s="37" t="inlineStr">
        <is>
          <t>NOT STARTED</t>
        </is>
      </c>
      <c r="I27" s="37" t="n"/>
      <c r="J27" s="37" t="n">
        <v>16</v>
      </c>
      <c r="K27" s="37" t="n"/>
    </row>
    <row r="28" ht="15" customHeight="1" s="35">
      <c r="A28" s="37" t="inlineStr">
        <is>
          <t>2404</t>
        </is>
      </c>
      <c r="B28" s="37" t="inlineStr">
        <is>
          <t>439</t>
        </is>
      </c>
      <c r="C28" s="37" t="inlineStr">
        <is>
          <t>Brass - 2404 - SBC Male Connector series</t>
        </is>
      </c>
      <c r="D28" s="37" t="inlineStr">
        <is>
          <t>Brass Fittings</t>
        </is>
      </c>
      <c r="E28" s="37" t="inlineStr">
        <is>
          <t>Straight</t>
        </is>
      </c>
      <c r="F28" s="37" t="inlineStr">
        <is>
          <t>https://parts.air-way.com/hydraulic-fittings/brass-hydraulic-fittings/straight/brass-2404-sbc-male-connector-series-439</t>
        </is>
      </c>
      <c r="G28" s="37" t="inlineStr">
        <is>
          <t>none</t>
        </is>
      </c>
      <c r="H28" s="45" t="inlineStr">
        <is>
          <t>PILOT</t>
        </is>
      </c>
      <c r="I28" s="37" t="n"/>
      <c r="J28" s="37" t="n">
        <v>18</v>
      </c>
      <c r="K28" s="37" t="n"/>
    </row>
    <row r="29" ht="15" customHeight="1" s="35">
      <c r="A29" s="37" t="inlineStr">
        <is>
          <t>2404</t>
        </is>
      </c>
      <c r="B29" s="37" t="inlineStr">
        <is>
          <t>324</t>
        </is>
      </c>
      <c r="C29" s="37" t="inlineStr">
        <is>
          <t>F2404 Male Connector</t>
        </is>
      </c>
      <c r="D29" s="37" t="inlineStr">
        <is>
          <t>FLARE-O</t>
        </is>
      </c>
      <c r="E29" s="37" t="inlineStr">
        <is>
          <t>Straight</t>
        </is>
      </c>
      <c r="F29" s="37" t="inlineStr">
        <is>
          <t>https://parts.air-way.com/hydraulic-fittings/flare-o-hydraulic-fittings/straight/f2404-male-connector-series-324</t>
        </is>
      </c>
      <c r="G29" s="37" t="inlineStr">
        <is>
          <t>SAE J514 070102</t>
        </is>
      </c>
      <c r="H29" s="45" t="inlineStr">
        <is>
          <t>PILOT</t>
        </is>
      </c>
      <c r="I29" s="37" t="n"/>
      <c r="J29" s="37" t="n">
        <v>31</v>
      </c>
      <c r="K29" s="37" t="n"/>
    </row>
    <row r="30" ht="15" customHeight="1" s="35">
      <c r="A30" s="37" t="inlineStr">
        <is>
          <t>2404</t>
        </is>
      </c>
      <c r="B30" s="37" t="inlineStr">
        <is>
          <t>460</t>
        </is>
      </c>
      <c r="C30" s="37" t="inlineStr">
        <is>
          <t>MBS2404 Threaded Straight Fitting, BSPP 60° Cone to BSPT</t>
        </is>
      </c>
      <c r="D30" s="37" t="inlineStr">
        <is>
          <t>International &amp; Metric</t>
        </is>
      </c>
      <c r="E30" s="37" t="inlineStr">
        <is>
          <t>BSPP ISO 8434-6</t>
        </is>
      </c>
      <c r="F30" s="37" t="inlineStr">
        <is>
          <t>https://parts.air-way.com/hydraulic-fittings/international-metric/bspp-iso-8434-6/mbs2404-threaded-straight-fitting-bspp-60-cone-to-bspt-series-460</t>
        </is>
      </c>
      <c r="G30" s="37" t="inlineStr">
        <is>
          <t>ISO 8434-6</t>
        </is>
      </c>
      <c r="H30" s="45" t="inlineStr">
        <is>
          <t>PILOT</t>
        </is>
      </c>
      <c r="I30" s="37" t="n"/>
      <c r="J30" s="37" t="n">
        <v>3</v>
      </c>
      <c r="K30" s="37" t="n"/>
    </row>
    <row r="31" ht="15" customHeight="1" s="35">
      <c r="A31" s="37" t="inlineStr">
        <is>
          <t>2404</t>
        </is>
      </c>
      <c r="B31" s="37" t="inlineStr">
        <is>
          <t>461</t>
        </is>
      </c>
      <c r="C31" s="37" t="inlineStr">
        <is>
          <t>MBS2404-NPTF Threaded Straight Fitting, BSPP 60° Cone to NPTF</t>
        </is>
      </c>
      <c r="D31" s="37" t="inlineStr">
        <is>
          <t>International &amp; Metric</t>
        </is>
      </c>
      <c r="E31" s="37" t="inlineStr">
        <is>
          <t>BSPP ISO 8434-6</t>
        </is>
      </c>
      <c r="F31" s="37" t="inlineStr">
        <is>
          <t>https://parts.air-way.com/hydraulic-fittings/international-metric/bspp-iso-8434-6/mbs2404-nptf-threaded-straight-fitting-bspp-60-cone-to-nptf-series-461</t>
        </is>
      </c>
      <c r="G31" s="37" t="inlineStr">
        <is>
          <t>ISO 8434-6 to SAE J514</t>
        </is>
      </c>
      <c r="H31" s="45" t="inlineStr">
        <is>
          <t>PILOT</t>
        </is>
      </c>
      <c r="I31" s="37" t="n"/>
      <c r="J31" s="37" t="n">
        <v>7</v>
      </c>
      <c r="K31" s="37" t="n"/>
    </row>
    <row r="32" ht="15" customHeight="1" s="35">
      <c r="A32" s="37" t="inlineStr">
        <is>
          <t>2404</t>
        </is>
      </c>
      <c r="B32" s="37" t="inlineStr">
        <is>
          <t>471</t>
        </is>
      </c>
      <c r="C32" s="37" t="inlineStr">
        <is>
          <t>MBT2404 Threaded Straight Fitting, JIC to BSPT</t>
        </is>
      </c>
      <c r="D32" s="37" t="inlineStr">
        <is>
          <t>International &amp; Metric</t>
        </is>
      </c>
      <c r="E32" s="37" t="inlineStr">
        <is>
          <t>BSPT</t>
        </is>
      </c>
      <c r="F32" s="37" t="inlineStr">
        <is>
          <t>https://parts.air-way.com/hydraulic-fittings/international-metric/bspt/mbt2404-threaded-straight-fitting-jic-to-bspt-series-471</t>
        </is>
      </c>
      <c r="G32" s="37" t="inlineStr">
        <is>
          <t>SAE J514</t>
        </is>
      </c>
      <c r="H32" s="45" t="inlineStr">
        <is>
          <t>PILOT</t>
        </is>
      </c>
      <c r="I32" s="37" t="n"/>
      <c r="J32" s="37" t="n">
        <v>12</v>
      </c>
      <c r="K32" s="37" t="n"/>
    </row>
    <row r="33" ht="15" customHeight="1" s="35">
      <c r="A33" s="37" t="inlineStr">
        <is>
          <t>2404</t>
        </is>
      </c>
      <c r="B33" s="37" t="inlineStr">
        <is>
          <t>64</t>
        </is>
      </c>
      <c r="C33" s="37" t="inlineStr">
        <is>
          <t>2404 Male Connector</t>
        </is>
      </c>
      <c r="D33" s="37" t="inlineStr">
        <is>
          <t>JIC 37 &amp; Beaded Hose</t>
        </is>
      </c>
      <c r="E33" s="37" t="inlineStr">
        <is>
          <t>Straight</t>
        </is>
      </c>
      <c r="F33" s="37" t="inlineStr">
        <is>
          <t>https://parts.air-way.com/hydraulic-fittings/jic-and-beaded-hose-fittings/straight/2404-male-connector-series-64</t>
        </is>
      </c>
      <c r="G33" s="37" t="inlineStr">
        <is>
          <t>SAE J514 070102 / MS51500</t>
        </is>
      </c>
      <c r="H33" s="45" t="inlineStr">
        <is>
          <t>PILOT</t>
        </is>
      </c>
      <c r="I33" s="37" t="n"/>
      <c r="J33" s="37" t="n">
        <v>51</v>
      </c>
      <c r="K33" s="37" t="n"/>
    </row>
    <row r="34" ht="15" customHeight="1" s="35">
      <c r="A34" s="37" t="inlineStr">
        <is>
          <t>2404</t>
        </is>
      </c>
      <c r="B34" s="37" t="inlineStr">
        <is>
          <t>10</t>
        </is>
      </c>
      <c r="C34" s="37" t="inlineStr">
        <is>
          <t>FF2404 Male Connector</t>
        </is>
      </c>
      <c r="D34" s="37" t="inlineStr">
        <is>
          <t>ORFS</t>
        </is>
      </c>
      <c r="E34" s="37" t="inlineStr">
        <is>
          <t>Straight</t>
        </is>
      </c>
      <c r="F34" s="37" t="inlineStr">
        <is>
          <t>https://parts.air-way.com/hydraulic-fittings/o-ring-face-seal-orfs-hydraulic-fittings/straight/ff2404-male-connector-series-10</t>
        </is>
      </c>
      <c r="G34" s="37" t="inlineStr">
        <is>
          <t>—</t>
        </is>
      </c>
      <c r="H34" s="45" t="inlineStr">
        <is>
          <t>PILOT</t>
        </is>
      </c>
      <c r="I34" s="37" t="n"/>
      <c r="J34" s="37" t="n">
        <v>24</v>
      </c>
      <c r="K34" s="37" t="n"/>
    </row>
    <row r="35" ht="15" customHeight="1" s="35">
      <c r="A35" s="37" t="inlineStr">
        <is>
          <t>2404</t>
        </is>
      </c>
      <c r="B35" s="37" t="inlineStr">
        <is>
          <t>232</t>
        </is>
      </c>
      <c r="C35" s="37" t="inlineStr">
        <is>
          <t>SS2404 Male Connector series</t>
        </is>
      </c>
      <c r="D35" s="37" t="inlineStr">
        <is>
          <t>Stainless Steel Fittings</t>
        </is>
      </c>
      <c r="E35" s="37" t="inlineStr">
        <is>
          <t>Straight</t>
        </is>
      </c>
      <c r="F35" s="37" t="inlineStr">
        <is>
          <t>https://parts.air-way.com/hydraulic-fittings/stainless-steel-hydraulic-fittings/straight/ss2404-male-connector-series-232</t>
        </is>
      </c>
      <c r="G35" s="37" t="inlineStr">
        <is>
          <t>SAE J514 070102 / MS51500</t>
        </is>
      </c>
      <c r="H35" s="45" t="inlineStr">
        <is>
          <t>PILOT</t>
        </is>
      </c>
      <c r="I35" s="37" t="n"/>
      <c r="J35" s="37" t="n">
        <v>36</v>
      </c>
      <c r="K35" s="37" t="n"/>
    </row>
    <row r="36" ht="15" customHeight="1" s="35">
      <c r="A36" s="37" t="inlineStr">
        <is>
          <t>2404-L</t>
        </is>
      </c>
      <c r="B36" s="37" t="inlineStr">
        <is>
          <t>65</t>
        </is>
      </c>
      <c r="C36" s="37" t="inlineStr">
        <is>
          <t>2404-L Male Long Connector</t>
        </is>
      </c>
      <c r="D36" s="37" t="inlineStr">
        <is>
          <t>JIC 37 &amp; Beaded Hose</t>
        </is>
      </c>
      <c r="E36" s="37" t="inlineStr">
        <is>
          <t>Straight</t>
        </is>
      </c>
      <c r="F36" s="37" t="inlineStr">
        <is>
          <t>https://parts.air-way.com/hydraulic-fittings/jic-and-beaded-hose-fittings/straight/2404-l-male-long-connector-series-65</t>
        </is>
      </c>
      <c r="G36" s="37" t="inlineStr">
        <is>
          <t>none shown</t>
        </is>
      </c>
      <c r="H36" s="37" t="inlineStr">
        <is>
          <t>NOT STARTED</t>
        </is>
      </c>
      <c r="I36" s="37" t="n"/>
      <c r="J36" s="37" t="n">
        <v>8</v>
      </c>
      <c r="K36" s="37" t="n"/>
    </row>
    <row r="37" ht="15" customHeight="1" s="35">
      <c r="A37" s="37" t="inlineStr">
        <is>
          <t>2404-L</t>
        </is>
      </c>
      <c r="B37" s="37" t="inlineStr">
        <is>
          <t>233</t>
        </is>
      </c>
      <c r="C37" s="37" t="inlineStr">
        <is>
          <t>SS2404-L Male Long Connector series</t>
        </is>
      </c>
      <c r="D37" s="37" t="inlineStr">
        <is>
          <t>Stainless Steel Fittings</t>
        </is>
      </c>
      <c r="E37" s="37" t="inlineStr">
        <is>
          <t>Straight</t>
        </is>
      </c>
      <c r="F37" s="37" t="inlineStr">
        <is>
          <t>https://parts.air-way.com/hydraulic-fittings/stainless-steel-hydraulic-fittings/straight/ss2404-l-male-long-connector-series-233</t>
        </is>
      </c>
      <c r="G37" s="37" t="inlineStr">
        <is>
          <t>SAE J514 (no numeric code shown)</t>
        </is>
      </c>
      <c r="H37" s="37" t="inlineStr">
        <is>
          <t>NOT STARTED</t>
        </is>
      </c>
      <c r="I37" s="37" t="n"/>
      <c r="J37" s="37" t="n">
        <v>2</v>
      </c>
      <c r="K37" s="37" t="n"/>
    </row>
    <row r="38" ht="15" customHeight="1" s="35">
      <c r="A38" s="37" t="inlineStr">
        <is>
          <t>2404-LL</t>
        </is>
      </c>
      <c r="B38" s="37" t="inlineStr">
        <is>
          <t>66</t>
        </is>
      </c>
      <c r="C38" s="37" t="inlineStr">
        <is>
          <t>2404-LL Male Extra Long Connector</t>
        </is>
      </c>
      <c r="D38" s="37" t="inlineStr">
        <is>
          <t>JIC 37 &amp; Beaded Hose</t>
        </is>
      </c>
      <c r="E38" s="37" t="inlineStr">
        <is>
          <t>Straight</t>
        </is>
      </c>
      <c r="F38" s="37" t="inlineStr">
        <is>
          <t>https://parts.air-way.com/hydraulic-fittings/jic-and-beaded-hose-fittings/straight/2404-ll-male-extra-long-connector-series-66</t>
        </is>
      </c>
      <c r="G38" s="37" t="inlineStr">
        <is>
          <t>none shown</t>
        </is>
      </c>
      <c r="H38" s="37" t="inlineStr">
        <is>
          <t>NOT STARTED</t>
        </is>
      </c>
      <c r="I38" s="37" t="n"/>
      <c r="J38" s="37" t="n">
        <v>7</v>
      </c>
      <c r="K38" s="37" t="n"/>
    </row>
    <row r="39" ht="15" customHeight="1" s="35">
      <c r="A39" s="37" t="inlineStr">
        <is>
          <t>2405</t>
        </is>
      </c>
      <c r="B39" s="37" t="inlineStr">
        <is>
          <t>437</t>
        </is>
      </c>
      <c r="C39" s="37" t="inlineStr">
        <is>
          <t>Brass - 2405 - FMB Female Connector series</t>
        </is>
      </c>
      <c r="D39" s="37" t="inlineStr">
        <is>
          <t>Brass Fittings</t>
        </is>
      </c>
      <c r="E39" s="37" t="inlineStr">
        <is>
          <t>Straight</t>
        </is>
      </c>
      <c r="F39" s="37" t="inlineStr">
        <is>
          <t>https://parts.air-way.com/hydraulic-fittings/brass-hydraulic-fittings/straight/brass-2405-fmb-female-connector-series-437</t>
        </is>
      </c>
      <c r="G39" s="37" t="inlineStr">
        <is>
          <t>none</t>
        </is>
      </c>
      <c r="H39" s="37" t="inlineStr">
        <is>
          <t>NOT STARTED</t>
        </is>
      </c>
      <c r="I39" s="37" t="n"/>
      <c r="J39" s="37" t="n">
        <v>5</v>
      </c>
      <c r="K39" s="37" t="n"/>
    </row>
    <row r="40" ht="15" customHeight="1" s="35">
      <c r="A40" s="37" t="inlineStr">
        <is>
          <t>2405</t>
        </is>
      </c>
      <c r="B40" s="37" t="inlineStr">
        <is>
          <t>328</t>
        </is>
      </c>
      <c r="C40" s="37" t="inlineStr">
        <is>
          <t>F2405 Female Connector</t>
        </is>
      </c>
      <c r="D40" s="37" t="inlineStr">
        <is>
          <t>FLARE-O</t>
        </is>
      </c>
      <c r="E40" s="37" t="inlineStr">
        <is>
          <t>Straight</t>
        </is>
      </c>
      <c r="F40" s="37" t="inlineStr">
        <is>
          <t>https://parts.air-way.com/hydraulic-fittings/flare-o-hydraulic-fittings/straight/f2405-female-connector-series-328</t>
        </is>
      </c>
      <c r="G40" s="37" t="inlineStr">
        <is>
          <t>SAE J514 070103</t>
        </is>
      </c>
      <c r="H40" s="37" t="inlineStr">
        <is>
          <t>NOT STARTED</t>
        </is>
      </c>
      <c r="I40" s="37" t="n"/>
      <c r="J40" s="37" t="n">
        <v>13</v>
      </c>
      <c r="K40" s="37" t="n"/>
    </row>
    <row r="41" ht="15" customHeight="1" s="35">
      <c r="A41" s="37" t="inlineStr">
        <is>
          <t>2405</t>
        </is>
      </c>
      <c r="B41" s="37" t="inlineStr">
        <is>
          <t>68</t>
        </is>
      </c>
      <c r="C41" s="37" t="inlineStr">
        <is>
          <t>2405 Female Connector</t>
        </is>
      </c>
      <c r="D41" s="37" t="inlineStr">
        <is>
          <t>JIC 37 &amp; Beaded Hose</t>
        </is>
      </c>
      <c r="E41" s="37" t="inlineStr">
        <is>
          <t>Straight</t>
        </is>
      </c>
      <c r="F41" s="37" t="inlineStr">
        <is>
          <t>https://parts.air-way.com/hydraulic-fittings/jic-and-beaded-hose-fittings/straight/2405-female-connector-series-68</t>
        </is>
      </c>
      <c r="G41" s="37" t="inlineStr">
        <is>
          <t>SAE J514 070103 / MS51503</t>
        </is>
      </c>
      <c r="H41" s="37" t="inlineStr">
        <is>
          <t>NOT STARTED</t>
        </is>
      </c>
      <c r="I41" s="37" t="n"/>
      <c r="J41" s="37" t="n">
        <v>32</v>
      </c>
      <c r="K41" s="37" t="n"/>
    </row>
    <row r="42" ht="15" customHeight="1" s="35">
      <c r="A42" s="37" t="inlineStr">
        <is>
          <t>2405</t>
        </is>
      </c>
      <c r="B42" s="37" t="inlineStr">
        <is>
          <t>234</t>
        </is>
      </c>
      <c r="C42" s="37" t="inlineStr">
        <is>
          <t>SS2405 Female Connector series</t>
        </is>
      </c>
      <c r="D42" s="37" t="inlineStr">
        <is>
          <t>Stainless Steel Fittings</t>
        </is>
      </c>
      <c r="E42" s="37" t="inlineStr">
        <is>
          <t>Straight</t>
        </is>
      </c>
      <c r="F42" s="37" t="inlineStr">
        <is>
          <t>https://parts.air-way.com/hydraulic-fittings/stainless-steel-hydraulic-fittings/straight/ss2405-female-connector-series-234</t>
        </is>
      </c>
      <c r="G42" s="37" t="inlineStr">
        <is>
          <t>SAE J514 070103 / MS51503</t>
        </is>
      </c>
      <c r="H42" s="37" t="inlineStr">
        <is>
          <t>NOT STARTED</t>
        </is>
      </c>
      <c r="I42" s="37" t="n"/>
      <c r="J42" s="37" t="n">
        <v>16</v>
      </c>
      <c r="K42" s="37" t="n"/>
    </row>
    <row r="43" ht="15" customHeight="1" s="35">
      <c r="A43" s="37" t="inlineStr">
        <is>
          <t>2406</t>
        </is>
      </c>
      <c r="B43" s="37" t="inlineStr">
        <is>
          <t>329</t>
        </is>
      </c>
      <c r="C43" s="37" t="inlineStr">
        <is>
          <t>F2406 Reducing Adapter (One Piece)</t>
        </is>
      </c>
      <c r="D43" s="37" t="inlineStr">
        <is>
          <t>FLARE-O</t>
        </is>
      </c>
      <c r="E43" s="37" t="inlineStr">
        <is>
          <t>Straight</t>
        </is>
      </c>
      <c r="F43" s="37" t="inlineStr">
        <is>
          <t>https://parts.air-way.com/hydraulic-fittings/flare-o-hydraulic-fittings/straight/f2406-reducing-adapter-one-piece-series-329</t>
        </is>
      </c>
      <c r="G43" s="37" t="inlineStr">
        <is>
          <t>none shown</t>
        </is>
      </c>
      <c r="H43" s="37" t="inlineStr">
        <is>
          <t>NOT STARTED</t>
        </is>
      </c>
      <c r="I43" s="37" t="n"/>
      <c r="J43" s="37" t="n">
        <v>24</v>
      </c>
      <c r="K43" s="37" t="n"/>
    </row>
    <row r="44" ht="15" customHeight="1" s="35">
      <c r="A44" s="37" t="inlineStr">
        <is>
          <t>2406</t>
        </is>
      </c>
      <c r="B44" s="37" t="inlineStr">
        <is>
          <t>69</t>
        </is>
      </c>
      <c r="C44" s="37" t="inlineStr">
        <is>
          <t>2406 Reducing Adapter (One Piece)</t>
        </is>
      </c>
      <c r="D44" s="37" t="inlineStr">
        <is>
          <t>JIC 37 &amp; Beaded Hose</t>
        </is>
      </c>
      <c r="E44" s="37" t="inlineStr">
        <is>
          <t>Straight</t>
        </is>
      </c>
      <c r="F44" s="37" t="inlineStr">
        <is>
          <t>https://parts.air-way.com/hydraulic-fittings/jic-and-beaded-hose-fittings/straight/2406-reducing-adapter-one-piece-series-69</t>
        </is>
      </c>
      <c r="G44" s="37" t="inlineStr">
        <is>
          <t>MS39323</t>
        </is>
      </c>
      <c r="H44" s="37" t="inlineStr">
        <is>
          <t>NOT STARTED</t>
        </is>
      </c>
      <c r="I44" s="37" t="n"/>
      <c r="J44" s="37" t="n">
        <v>49</v>
      </c>
      <c r="K44" s="37" t="n"/>
    </row>
    <row r="45" ht="15" customHeight="1" s="35">
      <c r="A45" s="37" t="inlineStr">
        <is>
          <t>2406</t>
        </is>
      </c>
      <c r="B45" s="37" t="inlineStr">
        <is>
          <t>235</t>
        </is>
      </c>
      <c r="C45" s="37" t="inlineStr">
        <is>
          <t>SS2406 Reducing Adapter (One Piece) series</t>
        </is>
      </c>
      <c r="D45" s="37" t="inlineStr">
        <is>
          <t>Stainless Steel Fittings</t>
        </is>
      </c>
      <c r="E45" s="37" t="inlineStr">
        <is>
          <t>Straight</t>
        </is>
      </c>
      <c r="F45" s="37" t="inlineStr">
        <is>
          <t>https://parts.air-way.com/hydraulic-fittings/stainless-steel-hydraulic-fittings/straight/ss2406-reducing-adapter-one-piece-series-235</t>
        </is>
      </c>
      <c r="G45" s="37" t="inlineStr">
        <is>
          <t>MS39323</t>
        </is>
      </c>
      <c r="H45" s="37" t="inlineStr">
        <is>
          <t>NOT STARTED</t>
        </is>
      </c>
      <c r="I45" s="37" t="n"/>
      <c r="J45" s="37" t="n">
        <v>27</v>
      </c>
      <c r="K45" s="37" t="n"/>
    </row>
    <row r="46" ht="15" customHeight="1" s="35">
      <c r="A46" s="37" t="inlineStr">
        <is>
          <t>2407</t>
        </is>
      </c>
      <c r="B46" s="37" t="inlineStr">
        <is>
          <t>330</t>
        </is>
      </c>
      <c r="C46" s="37" t="inlineStr">
        <is>
          <t>F2407 Reducing Adapter</t>
        </is>
      </c>
      <c r="D46" s="37" t="inlineStr">
        <is>
          <t>FLARE-O</t>
        </is>
      </c>
      <c r="E46" s="37" t="inlineStr">
        <is>
          <t>Straight</t>
        </is>
      </c>
      <c r="F46" s="37" t="inlineStr">
        <is>
          <t>https://parts.air-way.com/hydraulic-fittings/flare-o-hydraulic-fittings/straight/f2407-reducing-adapter-series-330</t>
        </is>
      </c>
      <c r="G46" s="37" t="inlineStr">
        <is>
          <t>SAE J514 070123</t>
        </is>
      </c>
      <c r="H46" s="37" t="inlineStr">
        <is>
          <t>NOT STARTED</t>
        </is>
      </c>
      <c r="I46" s="37" t="n"/>
      <c r="J46" s="37" t="n">
        <v>1</v>
      </c>
      <c r="K46" s="37" t="n"/>
    </row>
    <row r="47" ht="15" customHeight="1" s="35">
      <c r="A47" s="37" t="inlineStr">
        <is>
          <t>2407</t>
        </is>
      </c>
      <c r="B47" s="37" t="inlineStr">
        <is>
          <t>70</t>
        </is>
      </c>
      <c r="C47" s="37" t="inlineStr">
        <is>
          <t>2407 Reducing Adapter</t>
        </is>
      </c>
      <c r="D47" s="37" t="inlineStr">
        <is>
          <t>JIC 37 &amp; Beaded Hose</t>
        </is>
      </c>
      <c r="E47" s="37" t="inlineStr">
        <is>
          <t>Straight</t>
        </is>
      </c>
      <c r="F47" s="37" t="inlineStr">
        <is>
          <t>https://parts.air-way.com/hydraulic-fittings/jic-and-beaded-hose-fittings/straight/2407-reducing-adapter-series-70</t>
        </is>
      </c>
      <c r="G47" s="37" t="inlineStr">
        <is>
          <t>SAE J514 070123 / MS51534 / MS39323</t>
        </is>
      </c>
      <c r="H47" s="37" t="inlineStr">
        <is>
          <t>NOT STARTED</t>
        </is>
      </c>
      <c r="I47" s="37" t="n"/>
      <c r="J47" s="37" t="n">
        <v>26</v>
      </c>
      <c r="K47" s="37" t="n"/>
    </row>
    <row r="48" ht="15" customHeight="1" s="35">
      <c r="A48" s="37" t="inlineStr">
        <is>
          <t>2407</t>
        </is>
      </c>
      <c r="B48" s="37" t="inlineStr">
        <is>
          <t>11</t>
        </is>
      </c>
      <c r="C48" s="37" t="inlineStr">
        <is>
          <t>FF2407 Reducing Adapter</t>
        </is>
      </c>
      <c r="D48" s="37" t="inlineStr">
        <is>
          <t>ORFS</t>
        </is>
      </c>
      <c r="E48" s="37" t="inlineStr">
        <is>
          <t>Straight</t>
        </is>
      </c>
      <c r="F48" s="37" t="inlineStr">
        <is>
          <t>https://parts.air-way.com/hydraulic-fittings/o-ring-face-seal-orfs-hydraulic-fittings/straight/ff2407-reducing-adapter-series-11</t>
        </is>
      </c>
      <c r="G48" s="37" t="inlineStr">
        <is>
          <t>SAE J1453 520123</t>
        </is>
      </c>
      <c r="H48" s="37" t="inlineStr">
        <is>
          <t>NOT STARTED</t>
        </is>
      </c>
      <c r="I48" s="37" t="n"/>
      <c r="J48" s="37" t="n">
        <v>25</v>
      </c>
      <c r="K48" s="37" t="n"/>
    </row>
    <row r="49" ht="15" customHeight="1" s="35">
      <c r="A49" s="37" t="inlineStr">
        <is>
          <t>2407</t>
        </is>
      </c>
      <c r="B49" s="37" t="inlineStr">
        <is>
          <t>236</t>
        </is>
      </c>
      <c r="C49" s="37" t="inlineStr">
        <is>
          <t>SS2407 Reducing Adapter series</t>
        </is>
      </c>
      <c r="D49" s="37" t="inlineStr">
        <is>
          <t>Stainless Steel Fittings</t>
        </is>
      </c>
      <c r="E49" s="37" t="inlineStr">
        <is>
          <t>Straight</t>
        </is>
      </c>
      <c r="F49" s="37" t="inlineStr">
        <is>
          <t>https://parts.air-way.com/hydraulic-fittings/stainless-steel-hydraulic-fittings/straight/ss2407-reducing-adapter-series-236</t>
        </is>
      </c>
      <c r="G49" s="37" t="inlineStr">
        <is>
          <t>SAE J514 070123 / MS51534 / MS39323</t>
        </is>
      </c>
      <c r="H49" s="37" t="inlineStr">
        <is>
          <t>NOT STARTED</t>
        </is>
      </c>
      <c r="I49" s="37" t="n"/>
      <c r="J49" s="37" t="n">
        <v>12</v>
      </c>
      <c r="K49" s="37" t="n"/>
    </row>
    <row r="50" ht="15" customHeight="1" s="35">
      <c r="A50" s="37" t="inlineStr">
        <is>
          <t>2408</t>
        </is>
      </c>
      <c r="B50" s="37" t="inlineStr">
        <is>
          <t>331</t>
        </is>
      </c>
      <c r="C50" s="37" t="inlineStr">
        <is>
          <t>F2408 Male JIC Plug</t>
        </is>
      </c>
      <c r="D50" s="37" t="inlineStr">
        <is>
          <t>FLARE-O</t>
        </is>
      </c>
      <c r="E50" s="37" t="inlineStr">
        <is>
          <t>Straight</t>
        </is>
      </c>
      <c r="F50" s="37" t="inlineStr">
        <is>
          <t>https://parts.air-way.com/hydraulic-fittings/flare-o-hydraulic-fittings/straight/f2408-male-jic-plug-series-331</t>
        </is>
      </c>
      <c r="G50" s="37" t="inlineStr">
        <is>
          <t>SAE J514 070109</t>
        </is>
      </c>
      <c r="H50" s="37" t="inlineStr">
        <is>
          <t>NOT STARTED</t>
        </is>
      </c>
      <c r="I50" s="37" t="n"/>
      <c r="J50" s="37" t="n">
        <v>12</v>
      </c>
      <c r="K50" s="37" t="n"/>
    </row>
    <row r="51" ht="15" customHeight="1" s="35">
      <c r="A51" s="37" t="inlineStr">
        <is>
          <t>2408</t>
        </is>
      </c>
      <c r="B51" s="37" t="inlineStr">
        <is>
          <t>462</t>
        </is>
      </c>
      <c r="C51" s="37" t="inlineStr">
        <is>
          <t>MBS2408 Threaded Straight Fitting, BSPP 60° Cone Plug</t>
        </is>
      </c>
      <c r="D51" s="37" t="inlineStr">
        <is>
          <t>International &amp; Metric</t>
        </is>
      </c>
      <c r="E51" s="37" t="inlineStr">
        <is>
          <t>BSPP ISO 8434-6</t>
        </is>
      </c>
      <c r="F51" s="37" t="inlineStr">
        <is>
          <t>https://parts.air-way.com/hydraulic-fittings/international-metric/bspp-iso-8434-6/mbs2408-threaded-straight-fitting-bspp-60-cone-plug-series-462</t>
        </is>
      </c>
      <c r="G51" s="37" t="inlineStr">
        <is>
          <t>ISO 8434-6</t>
        </is>
      </c>
      <c r="H51" s="37" t="inlineStr">
        <is>
          <t>NOT STARTED</t>
        </is>
      </c>
      <c r="I51" s="37" t="n"/>
      <c r="J51" s="37" t="n">
        <v>4</v>
      </c>
      <c r="K51" s="37" t="n"/>
    </row>
    <row r="52" ht="15" customHeight="1" s="35">
      <c r="A52" s="37" t="inlineStr">
        <is>
          <t>2408</t>
        </is>
      </c>
      <c r="B52" s="37" t="inlineStr">
        <is>
          <t>71</t>
        </is>
      </c>
      <c r="C52" s="37" t="inlineStr">
        <is>
          <t>2408 Male Plug</t>
        </is>
      </c>
      <c r="D52" s="37" t="inlineStr">
        <is>
          <t>JIC 37 &amp; Beaded Hose</t>
        </is>
      </c>
      <c r="E52" s="37" t="inlineStr">
        <is>
          <t>Straight</t>
        </is>
      </c>
      <c r="F52" s="37" t="inlineStr">
        <is>
          <t>https://parts.air-way.com/hydraulic-fittings/jic-and-beaded-hose-fittings/straight/2408-male-plug-series-71</t>
        </is>
      </c>
      <c r="G52" s="37" t="inlineStr">
        <is>
          <t>SAE J514 070109 / MS51518</t>
        </is>
      </c>
      <c r="H52" s="37" t="inlineStr">
        <is>
          <t>NOT STARTED</t>
        </is>
      </c>
      <c r="I52" s="37" t="n"/>
      <c r="J52" s="37" t="n">
        <v>16</v>
      </c>
      <c r="K52" s="37" t="n"/>
    </row>
    <row r="53" ht="15" customHeight="1" s="35">
      <c r="A53" s="37" t="inlineStr">
        <is>
          <t>2408</t>
        </is>
      </c>
      <c r="B53" s="37" t="inlineStr">
        <is>
          <t>12</t>
        </is>
      </c>
      <c r="C53" s="37" t="inlineStr">
        <is>
          <t>FF2408 Male Plug</t>
        </is>
      </c>
      <c r="D53" s="37" t="inlineStr">
        <is>
          <t>ORFS</t>
        </is>
      </c>
      <c r="E53" s="37" t="inlineStr">
        <is>
          <t>Straight</t>
        </is>
      </c>
      <c r="F53" s="37" t="inlineStr">
        <is>
          <t>https://parts.air-way.com/hydraulic-fittings/o-ring-face-seal-orfs-hydraulic-fittings/straight/ff2408-male-plug-series-12</t>
        </is>
      </c>
      <c r="G53" s="37" t="inlineStr">
        <is>
          <t>SAE J1453 520109</t>
        </is>
      </c>
      <c r="H53" s="37" t="inlineStr">
        <is>
          <t>NOT STARTED</t>
        </is>
      </c>
      <c r="I53" s="37" t="n"/>
      <c r="J53" s="37" t="n">
        <v>8</v>
      </c>
      <c r="K53" s="37" t="n"/>
    </row>
    <row r="54" ht="15" customHeight="1" s="35">
      <c r="A54" s="37" t="inlineStr">
        <is>
          <t>2408</t>
        </is>
      </c>
      <c r="B54" s="37" t="inlineStr">
        <is>
          <t>237</t>
        </is>
      </c>
      <c r="C54" s="37" t="inlineStr">
        <is>
          <t>SS2408 Male Tube Plug series</t>
        </is>
      </c>
      <c r="D54" s="37" t="inlineStr">
        <is>
          <t>Stainless Steel Fittings</t>
        </is>
      </c>
      <c r="E54" s="37" t="inlineStr">
        <is>
          <t>Straight</t>
        </is>
      </c>
      <c r="F54" s="37" t="inlineStr">
        <is>
          <t>https://parts.air-way.com/hydraulic-fittings/stainless-steel-hydraulic-fittings/straight/ss2408-male-tube-plug-series-237</t>
        </is>
      </c>
      <c r="G54" s="37" t="inlineStr">
        <is>
          <t>SAE J514 070109 / MS51518</t>
        </is>
      </c>
      <c r="H54" s="37" t="inlineStr">
        <is>
          <t>NOT STARTED</t>
        </is>
      </c>
      <c r="I54" s="37" t="n"/>
      <c r="J54" s="37" t="n">
        <v>12</v>
      </c>
      <c r="K54" s="37" t="n"/>
    </row>
    <row r="55" ht="15" customHeight="1" s="35">
      <c r="A55" s="37" t="inlineStr">
        <is>
          <t>2500</t>
        </is>
      </c>
      <c r="B55" s="37" t="inlineStr">
        <is>
          <t>340</t>
        </is>
      </c>
      <c r="C55" s="37" t="inlineStr">
        <is>
          <t>F2500 90° Union Elbow</t>
        </is>
      </c>
      <c r="D55" s="37" t="inlineStr">
        <is>
          <t>FLARE-O</t>
        </is>
      </c>
      <c r="E55" s="37" t="inlineStr">
        <is>
          <t>90°</t>
        </is>
      </c>
      <c r="F55" s="37" t="inlineStr">
        <is>
          <t>https://parts.air-way.com/hydraulic-fittings/flare-o-hydraulic-fittings/90/f2500-90-union-elbow-series-340</t>
        </is>
      </c>
      <c r="G55" s="37" t="inlineStr">
        <is>
          <t>SAE J514 070201</t>
        </is>
      </c>
      <c r="H55" s="37" t="inlineStr">
        <is>
          <t>NOT STARTED</t>
        </is>
      </c>
      <c r="I55" s="37" t="n"/>
      <c r="J55" s="37" t="n">
        <v>9</v>
      </c>
      <c r="K55" s="37" t="n"/>
    </row>
    <row r="56" ht="15" customHeight="1" s="35">
      <c r="A56" s="37" t="inlineStr">
        <is>
          <t>2500</t>
        </is>
      </c>
      <c r="B56" s="37" t="inlineStr">
        <is>
          <t>117</t>
        </is>
      </c>
      <c r="C56" s="37" t="inlineStr">
        <is>
          <t>2500 90° Union Elbow</t>
        </is>
      </c>
      <c r="D56" s="37" t="inlineStr">
        <is>
          <t>JIC 37 &amp; Beaded Hose</t>
        </is>
      </c>
      <c r="E56" s="37" t="inlineStr">
        <is>
          <t>90°</t>
        </is>
      </c>
      <c r="F56" s="37" t="inlineStr">
        <is>
          <t>https://parts.air-way.com/hydraulic-fittings/jic-and-beaded-hose-fittings/90/2500-90-union-elbow-series-117</t>
        </is>
      </c>
      <c r="G56" s="37" t="inlineStr">
        <is>
          <t>SAE J514 070201 / MS51505</t>
        </is>
      </c>
      <c r="H56" s="37" t="inlineStr">
        <is>
          <t>NOT STARTED</t>
        </is>
      </c>
      <c r="I56" s="37" t="n"/>
      <c r="J56" s="37" t="n">
        <v>28</v>
      </c>
      <c r="K56" s="37" t="n"/>
    </row>
    <row r="57" ht="15" customHeight="1" s="35">
      <c r="A57" s="37" t="inlineStr">
        <is>
          <t>2500</t>
        </is>
      </c>
      <c r="B57" s="37" t="inlineStr">
        <is>
          <t>20</t>
        </is>
      </c>
      <c r="C57" s="37" t="inlineStr">
        <is>
          <t>FF2500 90° Union Elbow</t>
        </is>
      </c>
      <c r="D57" s="37" t="inlineStr">
        <is>
          <t>ORFS</t>
        </is>
      </c>
      <c r="E57" s="37" t="inlineStr">
        <is>
          <t>90°</t>
        </is>
      </c>
      <c r="F57" s="37" t="inlineStr">
        <is>
          <t>https://parts.air-way.com/hydraulic-fittings/o-ring-face-seal-orfs-hydraulic-fittings/90/ff2500-90-union-elbow-series-20</t>
        </is>
      </c>
      <c r="G57" s="37" t="inlineStr">
        <is>
          <t>SAE J1453 520201</t>
        </is>
      </c>
      <c r="H57" s="37" t="inlineStr">
        <is>
          <t>NOT STARTED</t>
        </is>
      </c>
      <c r="I57" s="37" t="n"/>
      <c r="J57" s="37" t="n">
        <v>7</v>
      </c>
      <c r="K57" s="37" t="n"/>
    </row>
    <row r="58" ht="15" customHeight="1" s="35">
      <c r="A58" s="37" t="inlineStr">
        <is>
          <t>2500</t>
        </is>
      </c>
      <c r="B58" s="37" t="inlineStr">
        <is>
          <t>269</t>
        </is>
      </c>
      <c r="C58" s="37" t="inlineStr">
        <is>
          <t>SS2500 90° Union Elbow series</t>
        </is>
      </c>
      <c r="D58" s="37" t="inlineStr">
        <is>
          <t>Stainless Steel Fittings</t>
        </is>
      </c>
      <c r="E58" s="37" t="inlineStr">
        <is>
          <t>90°</t>
        </is>
      </c>
      <c r="F58" s="37" t="inlineStr">
        <is>
          <t>https://parts.air-way.com/hydraulic-fittings/stainless-steel-hydraulic-fittings/90/ss2500-90-union-elbow-series-269</t>
        </is>
      </c>
      <c r="G58" s="37" t="inlineStr">
        <is>
          <t>SAE J514 070201 / MS51505</t>
        </is>
      </c>
      <c r="H58" s="37" t="inlineStr">
        <is>
          <t>NOT STARTED</t>
        </is>
      </c>
      <c r="I58" s="37" t="n"/>
      <c r="J58" s="37" t="n">
        <v>10</v>
      </c>
      <c r="K58" s="37" t="n"/>
    </row>
    <row r="59" ht="15" customHeight="1" s="35">
      <c r="A59" s="37" t="inlineStr">
        <is>
          <t>2501</t>
        </is>
      </c>
      <c r="B59" s="37" t="inlineStr">
        <is>
          <t>426</t>
        </is>
      </c>
      <c r="C59" s="37" t="inlineStr">
        <is>
          <t>Brass - 2501 - EBC 90 Degree Male Elbow series</t>
        </is>
      </c>
      <c r="D59" s="37" t="inlineStr">
        <is>
          <t>Brass Fittings</t>
        </is>
      </c>
      <c r="E59" s="37" t="inlineStr">
        <is>
          <t>90°</t>
        </is>
      </c>
      <c r="F59" s="37" t="inlineStr">
        <is>
          <t>https://parts.air-way.com/hydraulic-fittings/brass-hydraulic-fittings/90/brass-2501-ebc-90-degree-male-elbow-series-426</t>
        </is>
      </c>
      <c r="G59" s="37" t="inlineStr">
        <is>
          <t>none</t>
        </is>
      </c>
      <c r="H59" s="37" t="inlineStr">
        <is>
          <t>NOT STARTED</t>
        </is>
      </c>
      <c r="I59" s="37" t="n"/>
      <c r="J59" s="37" t="n">
        <v>11</v>
      </c>
      <c r="K59" s="37" t="n"/>
    </row>
    <row r="60" ht="15" customHeight="1" s="35">
      <c r="A60" s="37" t="inlineStr">
        <is>
          <t>2501</t>
        </is>
      </c>
      <c r="B60" s="37" t="inlineStr">
        <is>
          <t>341</t>
        </is>
      </c>
      <c r="C60" s="37" t="inlineStr">
        <is>
          <t>F2501 90° Male Elbow</t>
        </is>
      </c>
      <c r="D60" s="37" t="inlineStr">
        <is>
          <t>FLARE-O</t>
        </is>
      </c>
      <c r="E60" s="37" t="inlineStr">
        <is>
          <t>90°</t>
        </is>
      </c>
      <c r="F60" s="37" t="inlineStr">
        <is>
          <t>https://parts.air-way.com/hydraulic-fittings/flare-o-hydraulic-fittings/90/f2501-90-male-elbow-series-341</t>
        </is>
      </c>
      <c r="G60" s="37" t="inlineStr">
        <is>
          <t>SAE J514 070202</t>
        </is>
      </c>
      <c r="H60" s="37" t="inlineStr">
        <is>
          <t>NOT STARTED</t>
        </is>
      </c>
      <c r="I60" s="37" t="n"/>
      <c r="J60" s="37" t="n">
        <v>24</v>
      </c>
      <c r="K60" s="37" t="n"/>
    </row>
    <row r="61" ht="15" customHeight="1" s="35">
      <c r="A61" s="37" t="inlineStr">
        <is>
          <t>2501</t>
        </is>
      </c>
      <c r="B61" s="37" t="inlineStr">
        <is>
          <t>473</t>
        </is>
      </c>
      <c r="C61" s="37" t="inlineStr">
        <is>
          <t>MBT2501, JIC to BSPT 90° Elbow</t>
        </is>
      </c>
      <c r="D61" s="37" t="inlineStr">
        <is>
          <t>International &amp; Metric</t>
        </is>
      </c>
      <c r="E61" s="37" t="inlineStr">
        <is>
          <t>BSPT</t>
        </is>
      </c>
      <c r="F61" s="37" t="inlineStr">
        <is>
          <t>https://parts.air-way.com/hydraulic-fittings/international-metric/bspt/mbt2501-jic-to-bspt-90-elbow-series-473</t>
        </is>
      </c>
      <c r="G61" s="37" t="inlineStr">
        <is>
          <t>SAE J514</t>
        </is>
      </c>
      <c r="H61" s="37" t="inlineStr">
        <is>
          <t>NOT STARTED</t>
        </is>
      </c>
      <c r="I61" s="37" t="n"/>
      <c r="J61" s="37" t="n">
        <v>13</v>
      </c>
      <c r="K61" s="37" t="n"/>
    </row>
    <row r="62" ht="15" customHeight="1" s="35">
      <c r="A62" s="37" t="inlineStr">
        <is>
          <t>2501</t>
        </is>
      </c>
      <c r="B62" s="37" t="inlineStr">
        <is>
          <t>118</t>
        </is>
      </c>
      <c r="C62" s="37" t="inlineStr">
        <is>
          <t>2501 90° Male Elbow</t>
        </is>
      </c>
      <c r="D62" s="37" t="inlineStr">
        <is>
          <t>JIC 37 &amp; Beaded Hose</t>
        </is>
      </c>
      <c r="E62" s="37" t="inlineStr">
        <is>
          <t>90°</t>
        </is>
      </c>
      <c r="F62" s="37" t="inlineStr">
        <is>
          <t>https://parts.air-way.com/hydraulic-fittings/jic-and-beaded-hose-fittings/90/2501-90-male-elbow-series-118</t>
        </is>
      </c>
      <c r="G62" s="37" t="inlineStr">
        <is>
          <t>SAE J514 070202 / MS51504</t>
        </is>
      </c>
      <c r="H62" s="37" t="inlineStr">
        <is>
          <t>NOT STARTED</t>
        </is>
      </c>
      <c r="I62" s="37" t="n"/>
      <c r="J62" s="37" t="n">
        <v>78</v>
      </c>
      <c r="K62" s="37" t="inlineStr">
        <is>
          <t>Count corrected 73 -&gt; 78 by full 3-pass table extraction.</t>
        </is>
      </c>
    </row>
    <row r="63" ht="15" customHeight="1" s="35">
      <c r="A63" s="37" t="inlineStr">
        <is>
          <t>2501</t>
        </is>
      </c>
      <c r="B63" s="37" t="inlineStr">
        <is>
          <t>21</t>
        </is>
      </c>
      <c r="C63" s="37" t="inlineStr">
        <is>
          <t>FF2501 90° Male Elbow</t>
        </is>
      </c>
      <c r="D63" s="37" t="inlineStr">
        <is>
          <t>ORFS</t>
        </is>
      </c>
      <c r="E63" s="37" t="inlineStr">
        <is>
          <t>90°</t>
        </is>
      </c>
      <c r="F63" s="37" t="inlineStr">
        <is>
          <t>https://parts.air-way.com/hydraulic-fittings/o-ring-face-seal-orfs-hydraulic-fittings/90/ff2501-90-male-elbow-series-21</t>
        </is>
      </c>
      <c r="G63" s="37" t="inlineStr">
        <is>
          <t>—</t>
        </is>
      </c>
      <c r="H63" s="37" t="inlineStr">
        <is>
          <t>NOT STARTED</t>
        </is>
      </c>
      <c r="I63" s="37" t="n"/>
      <c r="J63" s="37" t="n">
        <v>18</v>
      </c>
      <c r="K63" s="37" t="n"/>
    </row>
    <row r="64" ht="15" customHeight="1" s="35">
      <c r="A64" s="37" t="inlineStr">
        <is>
          <t>2501</t>
        </is>
      </c>
      <c r="B64" s="37" t="inlineStr">
        <is>
          <t>270</t>
        </is>
      </c>
      <c r="C64" s="37" t="inlineStr">
        <is>
          <t>SS2501 90° Male Elbow series</t>
        </is>
      </c>
      <c r="D64" s="37" t="inlineStr">
        <is>
          <t>Stainless Steel Fittings</t>
        </is>
      </c>
      <c r="E64" s="37" t="inlineStr">
        <is>
          <t>90°</t>
        </is>
      </c>
      <c r="F64" s="37" t="inlineStr">
        <is>
          <t>https://parts.air-way.com/hydraulic-fittings/stainless-steel-hydraulic-fittings/90/ss2501-90-male-elbow-series-270</t>
        </is>
      </c>
      <c r="G64" s="37" t="inlineStr">
        <is>
          <t>SAE J514 070202 / MS51504</t>
        </is>
      </c>
      <c r="H64" s="37" t="inlineStr">
        <is>
          <t>NOT STARTED</t>
        </is>
      </c>
      <c r="I64" s="37" t="n"/>
      <c r="J64" s="37" t="n">
        <v>26</v>
      </c>
      <c r="K64" s="37" t="n"/>
    </row>
    <row r="65" ht="15" customHeight="1" s="35">
      <c r="A65" s="37" t="inlineStr">
        <is>
          <t>2501-L</t>
        </is>
      </c>
      <c r="B65" s="37" t="inlineStr">
        <is>
          <t>119</t>
        </is>
      </c>
      <c r="C65" s="37" t="inlineStr">
        <is>
          <t>2501-L 90° Male Long Elbow</t>
        </is>
      </c>
      <c r="D65" s="37" t="inlineStr">
        <is>
          <t>JIC 37 &amp; Beaded Hose</t>
        </is>
      </c>
      <c r="E65" s="37" t="inlineStr">
        <is>
          <t>90°</t>
        </is>
      </c>
      <c r="F65" s="37" t="inlineStr">
        <is>
          <t>https://parts.air-way.com/hydraulic-fittings/jic-and-beaded-hose-fittings/90/2501-l-90-male-long-elbow-series-119</t>
        </is>
      </c>
      <c r="G65" s="37" t="inlineStr">
        <is>
          <t>SAE J514 071502</t>
        </is>
      </c>
      <c r="H65" s="37" t="inlineStr">
        <is>
          <t>NOT STARTED</t>
        </is>
      </c>
      <c r="I65" s="37" t="n"/>
      <c r="J65" s="37" t="n">
        <v>21</v>
      </c>
      <c r="K65" s="37" t="n"/>
    </row>
    <row r="66" ht="15" customHeight="1" s="35">
      <c r="A66" s="37" t="inlineStr">
        <is>
          <t>2501-L</t>
        </is>
      </c>
      <c r="B66" s="37" t="inlineStr">
        <is>
          <t>271</t>
        </is>
      </c>
      <c r="C66" s="37" t="inlineStr">
        <is>
          <t>SS2501-L 90° Male Long Elbow series</t>
        </is>
      </c>
      <c r="D66" s="37" t="inlineStr">
        <is>
          <t>Stainless Steel Fittings</t>
        </is>
      </c>
      <c r="E66" s="37" t="inlineStr">
        <is>
          <t>90°</t>
        </is>
      </c>
      <c r="F66" s="37" t="inlineStr">
        <is>
          <t>https://parts.air-way.com/hydraulic-fittings/stainless-steel-hydraulic-fittings/90/ss2501-l-90-male-long-elbow-series-271</t>
        </is>
      </c>
      <c r="G66" s="37" t="inlineStr">
        <is>
          <t>SAE J514 071502</t>
        </is>
      </c>
      <c r="H66" s="37" t="inlineStr">
        <is>
          <t>NOT STARTED</t>
        </is>
      </c>
      <c r="I66" s="37" t="n"/>
      <c r="J66" s="37" t="n">
        <v>2</v>
      </c>
      <c r="K66" s="37" t="n"/>
    </row>
    <row r="67" ht="15" customHeight="1" s="35">
      <c r="A67" s="37" t="inlineStr">
        <is>
          <t>2501-LL</t>
        </is>
      </c>
      <c r="B67" s="37" t="inlineStr">
        <is>
          <t>120</t>
        </is>
      </c>
      <c r="C67" s="37" t="inlineStr">
        <is>
          <t>2501-LL 90° Male Extra Long Elbow</t>
        </is>
      </c>
      <c r="D67" s="37" t="inlineStr">
        <is>
          <t>JIC 37 &amp; Beaded Hose</t>
        </is>
      </c>
      <c r="E67" s="37" t="inlineStr">
        <is>
          <t>90°</t>
        </is>
      </c>
      <c r="F67" s="37" t="inlineStr">
        <is>
          <t>https://parts.air-way.com/hydraulic-fittings/jic-and-beaded-hose-fittings/90/2501-ll-90-male-extra-long-elbow-series-120</t>
        </is>
      </c>
      <c r="G67" s="37" t="inlineStr">
        <is>
          <t>SAE J514 071602</t>
        </is>
      </c>
      <c r="H67" s="37" t="inlineStr">
        <is>
          <t>NOT STARTED</t>
        </is>
      </c>
      <c r="I67" s="37" t="n"/>
      <c r="J67" s="37" t="n">
        <v>16</v>
      </c>
      <c r="K67" s="37" t="n"/>
    </row>
    <row r="68" ht="15" customHeight="1" s="35">
      <c r="A68" s="37" t="inlineStr">
        <is>
          <t>2501-LLL</t>
        </is>
      </c>
      <c r="B68" s="37" t="inlineStr">
        <is>
          <t>121</t>
        </is>
      </c>
      <c r="C68" s="37" t="inlineStr">
        <is>
          <t>2501-LLL 90° Male Extra Extra Long Elbow</t>
        </is>
      </c>
      <c r="D68" s="37" t="inlineStr">
        <is>
          <t>JIC 37 &amp; Beaded Hose</t>
        </is>
      </c>
      <c r="E68" s="37" t="inlineStr">
        <is>
          <t>90°</t>
        </is>
      </c>
      <c r="F68" s="37" t="inlineStr">
        <is>
          <t>https://parts.air-way.com/hydraulic-fittings/jic-and-beaded-hose-fittings/90/2501-lll-90-male-extra-extra-long-elbow-series-121</t>
        </is>
      </c>
      <c r="G68" s="37" t="inlineStr">
        <is>
          <t>none shown</t>
        </is>
      </c>
      <c r="H68" s="37" t="inlineStr">
        <is>
          <t>NOT STARTED</t>
        </is>
      </c>
      <c r="I68" s="37" t="n"/>
      <c r="J68" s="37" t="n">
        <v>4</v>
      </c>
      <c r="K68" s="37" t="n"/>
    </row>
    <row r="69" ht="15" customHeight="1" s="35">
      <c r="A69" s="37" t="inlineStr">
        <is>
          <t>2502</t>
        </is>
      </c>
      <c r="B69" s="37" t="inlineStr">
        <is>
          <t>427</t>
        </is>
      </c>
      <c r="C69" s="37" t="inlineStr">
        <is>
          <t>Brass - 2502 - EBF 90 Degree Female Elbow series</t>
        </is>
      </c>
      <c r="D69" s="37" t="inlineStr">
        <is>
          <t>Brass Fittings</t>
        </is>
      </c>
      <c r="E69" s="37" t="inlineStr">
        <is>
          <t>90°</t>
        </is>
      </c>
      <c r="F69" s="37" t="inlineStr">
        <is>
          <t>https://parts.air-way.com/hydraulic-fittings/brass-hydraulic-fittings/90/brass-2502-ebf-90-degree-female-elbow-series-427</t>
        </is>
      </c>
      <c r="G69" s="37" t="inlineStr">
        <is>
          <t>none</t>
        </is>
      </c>
      <c r="H69" s="37" t="inlineStr">
        <is>
          <t>NOT STARTED</t>
        </is>
      </c>
      <c r="I69" s="37" t="n"/>
      <c r="J69" s="37" t="n">
        <v>1</v>
      </c>
      <c r="K69" s="37" t="n"/>
    </row>
    <row r="70" ht="15" customHeight="1" s="35">
      <c r="A70" s="37" t="inlineStr">
        <is>
          <t>2502</t>
        </is>
      </c>
      <c r="B70" s="37" t="inlineStr">
        <is>
          <t>345</t>
        </is>
      </c>
      <c r="C70" s="37" t="inlineStr">
        <is>
          <t>F2502 90° Female Elbow</t>
        </is>
      </c>
      <c r="D70" s="37" t="inlineStr">
        <is>
          <t>FLARE-O</t>
        </is>
      </c>
      <c r="E70" s="37" t="inlineStr">
        <is>
          <t>90°</t>
        </is>
      </c>
      <c r="F70" s="37" t="inlineStr">
        <is>
          <t>https://parts.air-way.com/hydraulic-fittings/flare-o-hydraulic-fittings/90/f2502-90-female-elbow-series-345</t>
        </is>
      </c>
      <c r="G70" s="37" t="inlineStr">
        <is>
          <t>SAE J514 070203</t>
        </is>
      </c>
      <c r="H70" s="37" t="inlineStr">
        <is>
          <t>NOT STARTED</t>
        </is>
      </c>
      <c r="I70" s="37" t="n"/>
      <c r="J70" s="37" t="n">
        <v>2</v>
      </c>
      <c r="K70" s="37" t="n"/>
    </row>
    <row r="71" ht="15" customHeight="1" s="35">
      <c r="A71" s="37" t="inlineStr">
        <is>
          <t>2502</t>
        </is>
      </c>
      <c r="B71" s="37" t="inlineStr">
        <is>
          <t>122</t>
        </is>
      </c>
      <c r="C71" s="37" t="inlineStr">
        <is>
          <t>2502 90° Female Elbow</t>
        </is>
      </c>
      <c r="D71" s="37" t="inlineStr">
        <is>
          <t>JIC 37 &amp; Beaded Hose</t>
        </is>
      </c>
      <c r="E71" s="37" t="inlineStr">
        <is>
          <t>90°</t>
        </is>
      </c>
      <c r="F71" s="37" t="inlineStr">
        <is>
          <t>https://parts.air-way.com/hydraulic-fittings/jic-and-beaded-hose-fittings/90/2502-90-female-elbow-series-122</t>
        </is>
      </c>
      <c r="G71" s="37" t="inlineStr">
        <is>
          <t>SAE J514 070203 / MS51506</t>
        </is>
      </c>
      <c r="H71" s="37" t="inlineStr">
        <is>
          <t>NOT STARTED</t>
        </is>
      </c>
      <c r="I71" s="37" t="n"/>
      <c r="J71" s="37" t="n">
        <v>29</v>
      </c>
      <c r="K71" s="37" t="n"/>
    </row>
    <row r="72" ht="15" customHeight="1" s="35">
      <c r="A72" s="37" t="inlineStr">
        <is>
          <t>2502</t>
        </is>
      </c>
      <c r="B72" s="37" t="inlineStr">
        <is>
          <t>273</t>
        </is>
      </c>
      <c r="C72" s="37" t="inlineStr">
        <is>
          <t>SS2502 90° Female Elbow series</t>
        </is>
      </c>
      <c r="D72" s="37" t="inlineStr">
        <is>
          <t>Stainless Steel Fittings</t>
        </is>
      </c>
      <c r="E72" s="37" t="inlineStr">
        <is>
          <t>90°</t>
        </is>
      </c>
      <c r="F72" s="37" t="inlineStr">
        <is>
          <t>https://parts.air-way.com/hydraulic-fittings/stainless-steel-hydraulic-fittings/90/ss2502-90-female-elbow-series-273</t>
        </is>
      </c>
      <c r="G72" s="37" t="inlineStr">
        <is>
          <t>SAE J514 070203 / MS51506</t>
        </is>
      </c>
      <c r="H72" s="37" t="inlineStr">
        <is>
          <t>NOT STARTED</t>
        </is>
      </c>
      <c r="I72" s="37" t="n"/>
      <c r="J72" s="37" t="n">
        <v>7</v>
      </c>
      <c r="K72" s="37" t="n"/>
    </row>
    <row r="73" ht="15" customHeight="1" s="35">
      <c r="A73" s="37" t="inlineStr">
        <is>
          <t>2503</t>
        </is>
      </c>
      <c r="B73" s="37" t="inlineStr">
        <is>
          <t>429</t>
        </is>
      </c>
      <c r="C73" s="37" t="inlineStr">
        <is>
          <t>Brass - 2503 - FBC 45 Degree Male Elbow series</t>
        </is>
      </c>
      <c r="D73" s="37" t="inlineStr">
        <is>
          <t>Brass Fittings</t>
        </is>
      </c>
      <c r="E73" s="37" t="inlineStr">
        <is>
          <t>45°</t>
        </is>
      </c>
      <c r="F73" s="37" t="inlineStr">
        <is>
          <t>https://parts.air-way.com/hydraulic-fittings/brass-hydraulic-fittings/45/brass-2503-fbc-45-degree-male-elbow-series-429</t>
        </is>
      </c>
      <c r="G73" s="37" t="inlineStr">
        <is>
          <t>none</t>
        </is>
      </c>
      <c r="H73" s="37" t="inlineStr">
        <is>
          <t>NOT STARTED</t>
        </is>
      </c>
      <c r="I73" s="37" t="n"/>
      <c r="J73" s="37" t="n">
        <v>3</v>
      </c>
      <c r="K73" s="37" t="n"/>
    </row>
    <row r="74" ht="15" customHeight="1" s="35">
      <c r="A74" s="37" t="inlineStr">
        <is>
          <t>2503</t>
        </is>
      </c>
      <c r="B74" s="37" t="inlineStr">
        <is>
          <t>354</t>
        </is>
      </c>
      <c r="C74" s="37" t="inlineStr">
        <is>
          <t>F2503 45° Male Elbow</t>
        </is>
      </c>
      <c r="D74" s="37" t="inlineStr">
        <is>
          <t>FLARE-O</t>
        </is>
      </c>
      <c r="E74" s="37" t="inlineStr">
        <is>
          <t>45°</t>
        </is>
      </c>
      <c r="F74" s="37" t="inlineStr">
        <is>
          <t>https://parts.air-way.com/hydraulic-fittings/flare-o-hydraulic-fittings/45/f2503-45-male-elbow-series-354</t>
        </is>
      </c>
      <c r="G74" s="37" t="inlineStr">
        <is>
          <t>SAE J514 070302</t>
        </is>
      </c>
      <c r="H74" s="37" t="inlineStr">
        <is>
          <t>NOT STARTED</t>
        </is>
      </c>
      <c r="I74" s="37" t="n"/>
      <c r="J74" s="37" t="n">
        <v>17</v>
      </c>
      <c r="K74" s="37" t="n"/>
    </row>
    <row r="75" ht="15" customHeight="1" s="35">
      <c r="A75" s="37" t="inlineStr">
        <is>
          <t>2503</t>
        </is>
      </c>
      <c r="B75" s="37" t="inlineStr">
        <is>
          <t>147</t>
        </is>
      </c>
      <c r="C75" s="37" t="inlineStr">
        <is>
          <t>2503 45° Male Elbow</t>
        </is>
      </c>
      <c r="D75" s="37" t="inlineStr">
        <is>
          <t>JIC 37 &amp; Beaded Hose</t>
        </is>
      </c>
      <c r="E75" s="37" t="inlineStr">
        <is>
          <t>45°</t>
        </is>
      </c>
      <c r="F75" s="37" t="inlineStr">
        <is>
          <t>https://parts.air-way.com/hydraulic-fittings/jic-and-beaded-hose-fittings/45/2503-45-male-elbow-series-147</t>
        </is>
      </c>
      <c r="G75" s="37" t="inlineStr">
        <is>
          <t>SAE J514 070302 / MS51508</t>
        </is>
      </c>
      <c r="H75" s="37" t="inlineStr">
        <is>
          <t>NOT STARTED</t>
        </is>
      </c>
      <c r="I75" s="37" t="n"/>
      <c r="J75" s="37" t="n">
        <v>60</v>
      </c>
      <c r="K75" s="37" t="n"/>
    </row>
    <row r="76" ht="15" customHeight="1" s="35">
      <c r="A76" s="37" t="inlineStr">
        <is>
          <t>2503</t>
        </is>
      </c>
      <c r="B76" s="37" t="inlineStr">
        <is>
          <t>28</t>
        </is>
      </c>
      <c r="C76" s="37" t="inlineStr">
        <is>
          <t>FF2503 45° Male Elbow</t>
        </is>
      </c>
      <c r="D76" s="37" t="inlineStr">
        <is>
          <t>ORFS</t>
        </is>
      </c>
      <c r="E76" s="37" t="inlineStr">
        <is>
          <t>45°</t>
        </is>
      </c>
      <c r="F76" s="37" t="inlineStr">
        <is>
          <t>https://parts.air-way.com/hydraulic-fittings/o-ring-face-seal-orfs-hydraulic-fittings/45/ff2503-45-male-elbow-series-28</t>
        </is>
      </c>
      <c r="G76" s="37" t="inlineStr">
        <is>
          <t>—</t>
        </is>
      </c>
      <c r="H76" s="37" t="inlineStr">
        <is>
          <t>NOT STARTED</t>
        </is>
      </c>
      <c r="I76" s="37" t="n"/>
      <c r="J76" s="37" t="n">
        <v>10</v>
      </c>
      <c r="K76" s="37" t="n"/>
    </row>
    <row r="77" ht="15" customHeight="1" s="35">
      <c r="A77" s="37" t="inlineStr">
        <is>
          <t>2503</t>
        </is>
      </c>
      <c r="B77" s="37" t="inlineStr">
        <is>
          <t>286</t>
        </is>
      </c>
      <c r="C77" s="37" t="inlineStr">
        <is>
          <t>SS2503 45° Male Elbow series</t>
        </is>
      </c>
      <c r="D77" s="37" t="inlineStr">
        <is>
          <t>Stainless Steel Fittings</t>
        </is>
      </c>
      <c r="E77" s="37" t="inlineStr">
        <is>
          <t>45°</t>
        </is>
      </c>
      <c r="F77" s="37" t="inlineStr">
        <is>
          <t>https://parts.air-way.com/hydraulic-fittings/stainless-steel-hydraulic-fittings/45/ss2503-45-male-elbow-series-286</t>
        </is>
      </c>
      <c r="G77" s="37" t="inlineStr">
        <is>
          <t>SAE J514 070302 / MS51508</t>
        </is>
      </c>
      <c r="H77" s="37" t="inlineStr">
        <is>
          <t>NOT STARTED</t>
        </is>
      </c>
      <c r="I77" s="37" t="n"/>
      <c r="J77" s="37" t="n">
        <v>13</v>
      </c>
      <c r="K77" s="37" t="n"/>
    </row>
    <row r="78" ht="15" customHeight="1" s="35">
      <c r="A78" s="37" t="inlineStr">
        <is>
          <t>2504</t>
        </is>
      </c>
      <c r="B78" s="37" t="inlineStr">
        <is>
          <t>148</t>
        </is>
      </c>
      <c r="C78" s="37" t="inlineStr">
        <is>
          <t>2504 45° Union Elbow</t>
        </is>
      </c>
      <c r="D78" s="37" t="inlineStr">
        <is>
          <t>JIC 37 &amp; Beaded Hose</t>
        </is>
      </c>
      <c r="E78" s="37" t="inlineStr">
        <is>
          <t>45°</t>
        </is>
      </c>
      <c r="F78" s="37" t="inlineStr">
        <is>
          <t>https://parts.air-way.com/hydraulic-fittings/jic-and-beaded-hose-fittings/45/2504-45-union-elbow-series-148</t>
        </is>
      </c>
      <c r="G78" s="37" t="inlineStr">
        <is>
          <t>none shown</t>
        </is>
      </c>
      <c r="H78" s="37" t="inlineStr">
        <is>
          <t>TABLED</t>
        </is>
      </c>
      <c r="I78" s="37" t="n"/>
      <c r="J78" s="37" t="n">
        <v>7</v>
      </c>
      <c r="K78" s="37" t="inlineStr">
        <is>
          <t>TABLED 2026-09-23: double-pass extraction 7 rows (sheet said 7); DesignTable_2504.xlsx; scope vs OMi feed: 0 BUILD / 7 DROP / 4 OMi-only (4 differ only by -FG)</t>
        </is>
      </c>
    </row>
    <row r="79" ht="15" customHeight="1" s="35">
      <c r="A79" s="37" t="inlineStr">
        <is>
          <t>2505</t>
        </is>
      </c>
      <c r="B79" s="37" t="inlineStr">
        <is>
          <t>149</t>
        </is>
      </c>
      <c r="C79" s="37" t="inlineStr">
        <is>
          <t>2505 45° Female Elbow</t>
        </is>
      </c>
      <c r="D79" s="37" t="inlineStr">
        <is>
          <t>JIC 37 &amp; Beaded Hose</t>
        </is>
      </c>
      <c r="E79" s="37" t="inlineStr">
        <is>
          <t>45°</t>
        </is>
      </c>
      <c r="F79" s="37" t="inlineStr">
        <is>
          <t>https://parts.air-way.com/hydraulic-fittings/jic-and-beaded-hose-fittings/45/2505-45-female-elbow-series-149</t>
        </is>
      </c>
      <c r="G79" s="37" t="inlineStr">
        <is>
          <t>none shown</t>
        </is>
      </c>
      <c r="H79" s="37" t="inlineStr">
        <is>
          <t>TABLED</t>
        </is>
      </c>
      <c r="I79" s="37" t="n"/>
      <c r="J79" s="37" t="n">
        <v>6</v>
      </c>
      <c r="K79" s="37" t="inlineStr">
        <is>
          <t>TABLED 2026-09-23: double-pass extraction 6 rows (sheet said 6); DesignTable_2505.xlsx; scope vs OMi feed: 0 BUILD / 6 DROP / 3 OMi-only (3 differ only by -FG)</t>
        </is>
      </c>
    </row>
    <row r="80" ht="15" customHeight="1" s="35">
      <c r="A80" s="37" t="inlineStr">
        <is>
          <t>2601</t>
        </is>
      </c>
      <c r="B80" s="37" t="inlineStr">
        <is>
          <t>363</t>
        </is>
      </c>
      <c r="C80" s="37" t="inlineStr">
        <is>
          <t>F2601 Male Branch Tee</t>
        </is>
      </c>
      <c r="D80" s="37" t="inlineStr">
        <is>
          <t>FLARE-O</t>
        </is>
      </c>
      <c r="E80" s="37" t="inlineStr">
        <is>
          <t>Tee</t>
        </is>
      </c>
      <c r="F80" s="37" t="inlineStr">
        <is>
          <t>https://parts.air-way.com/hydraulic-fittings/flare-o-hydraulic-fittings/tee/f2601-male-branch-tee-series-363</t>
        </is>
      </c>
      <c r="G80" s="37" t="inlineStr">
        <is>
          <t>SAE J514 070425</t>
        </is>
      </c>
      <c r="H80" s="37" t="inlineStr">
        <is>
          <t>NOT STARTED</t>
        </is>
      </c>
      <c r="I80" s="37" t="n"/>
      <c r="J80" s="37" t="n">
        <v>5</v>
      </c>
      <c r="K80" s="37" t="n"/>
    </row>
    <row r="81" ht="15" customHeight="1" s="35">
      <c r="A81" s="37" t="inlineStr">
        <is>
          <t>2601</t>
        </is>
      </c>
      <c r="B81" s="37" t="inlineStr">
        <is>
          <t>170</t>
        </is>
      </c>
      <c r="C81" s="37" t="inlineStr">
        <is>
          <t>2601 Male Branch Tee</t>
        </is>
      </c>
      <c r="D81" s="37" t="inlineStr">
        <is>
          <t>JIC 37 &amp; Beaded Hose</t>
        </is>
      </c>
      <c r="E81" s="37" t="inlineStr">
        <is>
          <t>Tee</t>
        </is>
      </c>
      <c r="F81" s="37" t="inlineStr">
        <is>
          <t>https://parts.air-way.com/hydraulic-fittings/jic-and-beaded-hose-fittings/tee/2601-male-branch-tee-series-170</t>
        </is>
      </c>
      <c r="G81" s="37" t="inlineStr">
        <is>
          <t>SAE J514 070425 / MS51512</t>
        </is>
      </c>
      <c r="H81" s="37" t="inlineStr">
        <is>
          <t>NOT STARTED</t>
        </is>
      </c>
      <c r="I81" s="37" t="n"/>
      <c r="J81" s="37" t="n">
        <v>28</v>
      </c>
      <c r="K81" s="37" t="n"/>
    </row>
    <row r="82" ht="15" customHeight="1" s="35">
      <c r="A82" s="37" t="inlineStr">
        <is>
          <t>2601</t>
        </is>
      </c>
      <c r="B82" s="37" t="inlineStr">
        <is>
          <t>296</t>
        </is>
      </c>
      <c r="C82" s="37" t="inlineStr">
        <is>
          <t>SS2601 Male Branch Tee series</t>
        </is>
      </c>
      <c r="D82" s="37" t="inlineStr">
        <is>
          <t>Stainless Steel Fittings</t>
        </is>
      </c>
      <c r="E82" s="37" t="inlineStr">
        <is>
          <t>Tee</t>
        </is>
      </c>
      <c r="F82" s="37" t="inlineStr">
        <is>
          <t>https://parts.air-way.com/hydraulic-fittings/stainless-steel-hydraulic-fittings/tee/ss2601-male-branch-tee-series-296</t>
        </is>
      </c>
      <c r="G82" s="37" t="inlineStr">
        <is>
          <t>SAE J514 070425 / MS51512</t>
        </is>
      </c>
      <c r="H82" s="37" t="inlineStr">
        <is>
          <t>NOT STARTED</t>
        </is>
      </c>
      <c r="I82" s="37" t="n"/>
      <c r="J82" s="37" t="n">
        <v>3</v>
      </c>
      <c r="K82" s="37" t="n"/>
    </row>
    <row r="83" ht="15" customHeight="1" s="35">
      <c r="A83" s="37" t="inlineStr">
        <is>
          <t>2602</t>
        </is>
      </c>
      <c r="B83" s="37" t="inlineStr">
        <is>
          <t>364</t>
        </is>
      </c>
      <c r="C83" s="37" t="inlineStr">
        <is>
          <t>F2602 Female Branch Tee</t>
        </is>
      </c>
      <c r="D83" s="37" t="inlineStr">
        <is>
          <t>FLARE-O</t>
        </is>
      </c>
      <c r="E83" s="37" t="inlineStr">
        <is>
          <t>Tee</t>
        </is>
      </c>
      <c r="F83" s="37" t="inlineStr">
        <is>
          <t>https://parts.air-way.com/hydraulic-fittings/flare-o-hydraulic-fittings/tee/f2602-female-branch-tee-series-364</t>
        </is>
      </c>
      <c r="G83" s="37" t="inlineStr">
        <is>
          <t>SAE J514 070427</t>
        </is>
      </c>
      <c r="H83" s="37" t="inlineStr">
        <is>
          <t>NOT STARTED</t>
        </is>
      </c>
      <c r="I83" s="37" t="n"/>
      <c r="J83" s="37" t="n">
        <v>2</v>
      </c>
      <c r="K83" s="37" t="n"/>
    </row>
    <row r="84" ht="15" customHeight="1" s="35">
      <c r="A84" s="37" t="inlineStr">
        <is>
          <t>2602</t>
        </is>
      </c>
      <c r="B84" s="37" t="inlineStr">
        <is>
          <t>171</t>
        </is>
      </c>
      <c r="C84" s="37" t="inlineStr">
        <is>
          <t>2602 Female Branch Tee</t>
        </is>
      </c>
      <c r="D84" s="37" t="inlineStr">
        <is>
          <t>JIC 37 &amp; Beaded Hose</t>
        </is>
      </c>
      <c r="E84" s="37" t="inlineStr">
        <is>
          <t>Tee</t>
        </is>
      </c>
      <c r="F84" s="37" t="inlineStr">
        <is>
          <t>https://parts.air-way.com/hydraulic-fittings/jic-and-beaded-hose-fittings/tee/2602-female-branch-tee-series-171</t>
        </is>
      </c>
      <c r="G84" s="37" t="inlineStr">
        <is>
          <t>SAE J514 070427 / MS51513</t>
        </is>
      </c>
      <c r="H84" s="37" t="inlineStr">
        <is>
          <t>NOT STARTED</t>
        </is>
      </c>
      <c r="I84" s="37" t="n"/>
      <c r="J84" s="37" t="n">
        <v>21</v>
      </c>
      <c r="K84" s="37" t="n"/>
    </row>
    <row r="85" ht="15" customHeight="1" s="35">
      <c r="A85" s="37" t="inlineStr">
        <is>
          <t>2602</t>
        </is>
      </c>
      <c r="B85" s="37" t="inlineStr">
        <is>
          <t>297</t>
        </is>
      </c>
      <c r="C85" s="37" t="inlineStr">
        <is>
          <t>SS2602 Female Branch Tee series</t>
        </is>
      </c>
      <c r="D85" s="37" t="inlineStr">
        <is>
          <t>Stainless Steel Fittings</t>
        </is>
      </c>
      <c r="E85" s="37" t="inlineStr">
        <is>
          <t>Tee</t>
        </is>
      </c>
      <c r="F85" s="37" t="inlineStr">
        <is>
          <t>https://parts.air-way.com/hydraulic-fittings/stainless-steel-hydraulic-fittings/tee/ss2602-female-branch-tee-series-297</t>
        </is>
      </c>
      <c r="G85" s="37" t="inlineStr">
        <is>
          <t>SAE J514 070427 / MS51513</t>
        </is>
      </c>
      <c r="H85" s="37" t="inlineStr">
        <is>
          <t>NOT STARTED</t>
        </is>
      </c>
      <c r="I85" s="37" t="n"/>
      <c r="J85" s="37" t="n">
        <v>4</v>
      </c>
      <c r="K85" s="37" t="n"/>
    </row>
    <row r="86" ht="15" customHeight="1" s="35">
      <c r="A86" s="37" t="inlineStr">
        <is>
          <t>2603</t>
        </is>
      </c>
      <c r="B86" s="37" t="inlineStr">
        <is>
          <t>432</t>
        </is>
      </c>
      <c r="C86" s="37" t="inlineStr">
        <is>
          <t>Brass - 2603 - TBC Union Tee series</t>
        </is>
      </c>
      <c r="D86" s="37" t="inlineStr">
        <is>
          <t>Brass Fittings</t>
        </is>
      </c>
      <c r="E86" s="37" t="inlineStr">
        <is>
          <t>Tee</t>
        </is>
      </c>
      <c r="F86" s="37" t="inlineStr">
        <is>
          <t>https://parts.air-way.com/hydraulic-fittings/brass-hydraulic-fittings/tee/brass-2603-tbc-union-tee-series-432</t>
        </is>
      </c>
      <c r="G86" s="37" t="inlineStr">
        <is>
          <t>none</t>
        </is>
      </c>
      <c r="H86" s="37" t="inlineStr">
        <is>
          <t>NOT STARTED</t>
        </is>
      </c>
      <c r="I86" s="37" t="n"/>
      <c r="J86" s="37" t="n">
        <v>1</v>
      </c>
      <c r="K86" s="37" t="n"/>
    </row>
    <row r="87" ht="15" customHeight="1" s="35">
      <c r="A87" s="37" t="inlineStr">
        <is>
          <t>2603</t>
        </is>
      </c>
      <c r="B87" s="37" t="inlineStr">
        <is>
          <t>365</t>
        </is>
      </c>
      <c r="C87" s="37" t="inlineStr">
        <is>
          <t>F2603 Union Tee</t>
        </is>
      </c>
      <c r="D87" s="37" t="inlineStr">
        <is>
          <t>FLARE-O</t>
        </is>
      </c>
      <c r="E87" s="37" t="inlineStr">
        <is>
          <t>Tee</t>
        </is>
      </c>
      <c r="F87" s="37" t="inlineStr">
        <is>
          <t>https://parts.air-way.com/hydraulic-fittings/flare-o-hydraulic-fittings/tee/f2603-union-tee-series-365</t>
        </is>
      </c>
      <c r="G87" s="37" t="inlineStr">
        <is>
          <t>SAE J514 070401</t>
        </is>
      </c>
      <c r="H87" s="37" t="inlineStr">
        <is>
          <t>NOT STARTED</t>
        </is>
      </c>
      <c r="I87" s="37" t="n"/>
      <c r="J87" s="37" t="n">
        <v>8</v>
      </c>
      <c r="K87" s="37" t="n"/>
    </row>
    <row r="88" ht="15" customHeight="1" s="35">
      <c r="A88" s="37" t="inlineStr">
        <is>
          <t>2603</t>
        </is>
      </c>
      <c r="B88" s="37" t="inlineStr">
        <is>
          <t>172</t>
        </is>
      </c>
      <c r="C88" s="37" t="inlineStr">
        <is>
          <t>2603 Union Tee</t>
        </is>
      </c>
      <c r="D88" s="37" t="inlineStr">
        <is>
          <t>JIC 37 &amp; Beaded Hose</t>
        </is>
      </c>
      <c r="E88" s="37" t="inlineStr">
        <is>
          <t>Tee</t>
        </is>
      </c>
      <c r="F88" s="37" t="inlineStr">
        <is>
          <t>https://parts.air-way.com/hydraulic-fittings/jic-and-beaded-hose-fittings/tee/2603-union-tee-series-172</t>
        </is>
      </c>
      <c r="G88" s="37" t="inlineStr">
        <is>
          <t>SAE J514 070401 / MS51510</t>
        </is>
      </c>
      <c r="H88" s="37" t="inlineStr">
        <is>
          <t>NOT STARTED</t>
        </is>
      </c>
      <c r="I88" s="37" t="n"/>
      <c r="J88" s="37" t="n">
        <v>43</v>
      </c>
      <c r="K88" s="37" t="n"/>
    </row>
    <row r="89" ht="15" customHeight="1" s="35">
      <c r="A89" s="37" t="inlineStr">
        <is>
          <t>2603</t>
        </is>
      </c>
      <c r="B89" s="37" t="inlineStr">
        <is>
          <t>32</t>
        </is>
      </c>
      <c r="C89" s="37" t="inlineStr">
        <is>
          <t>FF2603 Union Tee</t>
        </is>
      </c>
      <c r="D89" s="37" t="inlineStr">
        <is>
          <t>ORFS</t>
        </is>
      </c>
      <c r="E89" s="37" t="inlineStr">
        <is>
          <t>Tee</t>
        </is>
      </c>
      <c r="F89" s="37" t="inlineStr">
        <is>
          <t>https://parts.air-way.com/hydraulic-fittings/o-ring-face-seal-orfs-hydraulic-fittings/tee/ff2603-union-tee-series-32</t>
        </is>
      </c>
      <c r="G89" s="37" t="inlineStr">
        <is>
          <t>SAE J1453 520401</t>
        </is>
      </c>
      <c r="H89" s="37" t="inlineStr">
        <is>
          <t>NOT STARTED</t>
        </is>
      </c>
      <c r="I89" s="37" t="n"/>
      <c r="J89" s="37" t="n">
        <v>18</v>
      </c>
      <c r="K89" s="37" t="n"/>
    </row>
    <row r="90" ht="15" customHeight="1" s="35">
      <c r="A90" s="37" t="inlineStr">
        <is>
          <t>2603</t>
        </is>
      </c>
      <c r="B90" s="37" t="inlineStr">
        <is>
          <t>298</t>
        </is>
      </c>
      <c r="C90" s="37" t="inlineStr">
        <is>
          <t>SS2603 Union Tee series</t>
        </is>
      </c>
      <c r="D90" s="37" t="inlineStr">
        <is>
          <t>Stainless Steel Fittings</t>
        </is>
      </c>
      <c r="E90" s="37" t="inlineStr">
        <is>
          <t>Tee</t>
        </is>
      </c>
      <c r="F90" s="37" t="inlineStr">
        <is>
          <t>https://parts.air-way.com/hydraulic-fittings/stainless-steel-hydraulic-fittings/tee/ss2603-union-tee-series-298</t>
        </is>
      </c>
      <c r="G90" s="37" t="inlineStr">
        <is>
          <t>SAE J514 070401 / MS51510</t>
        </is>
      </c>
      <c r="H90" s="37" t="inlineStr">
        <is>
          <t>NOT STARTED</t>
        </is>
      </c>
      <c r="I90" s="37" t="n"/>
      <c r="J90" s="37" t="n">
        <v>10</v>
      </c>
      <c r="K90" s="37" t="n"/>
    </row>
    <row r="91" ht="15" customHeight="1" s="35">
      <c r="A91" s="37" t="inlineStr">
        <is>
          <t>2605</t>
        </is>
      </c>
      <c r="B91" s="37" t="inlineStr">
        <is>
          <t>366</t>
        </is>
      </c>
      <c r="C91" s="37" t="inlineStr">
        <is>
          <t>F2605 Male Run Tee</t>
        </is>
      </c>
      <c r="D91" s="37" t="inlineStr">
        <is>
          <t>FLARE-O</t>
        </is>
      </c>
      <c r="E91" s="37" t="inlineStr">
        <is>
          <t>Tee</t>
        </is>
      </c>
      <c r="F91" s="37" t="inlineStr">
        <is>
          <t>https://parts.air-way.com/hydraulic-fittings/flare-o-hydraulic-fittings/tee/f2605-male-run-tee-series-366</t>
        </is>
      </c>
      <c r="G91" s="37" t="inlineStr">
        <is>
          <t>SAE J514 070424</t>
        </is>
      </c>
      <c r="H91" s="37" t="inlineStr">
        <is>
          <t>NOT STARTED</t>
        </is>
      </c>
      <c r="I91" s="37" t="n"/>
      <c r="J91" s="37" t="n">
        <v>4</v>
      </c>
      <c r="K91" s="37" t="n"/>
    </row>
    <row r="92" ht="15" customHeight="1" s="35">
      <c r="A92" s="37" t="inlineStr">
        <is>
          <t>2605</t>
        </is>
      </c>
      <c r="B92" s="37" t="inlineStr">
        <is>
          <t>173</t>
        </is>
      </c>
      <c r="C92" s="37" t="inlineStr">
        <is>
          <t>2605 Male Run Tee</t>
        </is>
      </c>
      <c r="D92" s="37" t="inlineStr">
        <is>
          <t>JIC 37 &amp; Beaded Hose</t>
        </is>
      </c>
      <c r="E92" s="37" t="inlineStr">
        <is>
          <t>Tee</t>
        </is>
      </c>
      <c r="F92" s="37" t="inlineStr">
        <is>
          <t>https://parts.air-way.com/hydraulic-fittings/jic-and-beaded-hose-fittings/tee/2605-male-run-tee-series-173</t>
        </is>
      </c>
      <c r="G92" s="37" t="inlineStr">
        <is>
          <t>SAE J514 070424 / MS51511</t>
        </is>
      </c>
      <c r="H92" s="37" t="inlineStr">
        <is>
          <t>TABLED</t>
        </is>
      </c>
      <c r="I92" s="37" t="n"/>
      <c r="J92" s="37" t="n">
        <v>30</v>
      </c>
      <c r="K92" s="37" t="inlineStr">
        <is>
          <t>TABLED 2026-09-23: double-pass extraction 31 rows (sheet said 30); DesignTable_2605.xlsx; scope vs OMi feed: 7 BUILD / 24 DROP / 0 OMi-only (0 differ only by -FG); 2 source anomaly note(s) in 07_RAW_EXTRACTS/airway_anomalies_2026-09-23.txt</t>
        </is>
      </c>
    </row>
    <row r="93" ht="15" customHeight="1" s="35">
      <c r="A93" s="37" t="inlineStr">
        <is>
          <t>2605</t>
        </is>
      </c>
      <c r="B93" s="37" t="inlineStr">
        <is>
          <t>299</t>
        </is>
      </c>
      <c r="C93" s="37" t="inlineStr">
        <is>
          <t>SS2605 Male Run Tee series</t>
        </is>
      </c>
      <c r="D93" s="37" t="inlineStr">
        <is>
          <t>Stainless Steel Fittings</t>
        </is>
      </c>
      <c r="E93" s="37" t="inlineStr">
        <is>
          <t>Tee</t>
        </is>
      </c>
      <c r="F93" s="37" t="inlineStr">
        <is>
          <t>https://parts.air-way.com/hydraulic-fittings/stainless-steel-hydraulic-fittings/tee/ss2605-male-run-tee-series-299</t>
        </is>
      </c>
      <c r="G93" s="37" t="inlineStr">
        <is>
          <t>SAE J514 070424 / MS51511</t>
        </is>
      </c>
      <c r="H93" s="37" t="inlineStr">
        <is>
          <t>NOT STARTED</t>
        </is>
      </c>
      <c r="I93" s="37" t="n"/>
      <c r="J93" s="37" t="n">
        <v>5</v>
      </c>
      <c r="K93" s="37" t="n"/>
    </row>
    <row r="94" ht="15" customHeight="1" s="35">
      <c r="A94" s="37" t="inlineStr">
        <is>
          <t>2606</t>
        </is>
      </c>
      <c r="B94" s="37" t="inlineStr">
        <is>
          <t>174</t>
        </is>
      </c>
      <c r="C94" s="37" t="inlineStr">
        <is>
          <t>2606 Female Run Tee</t>
        </is>
      </c>
      <c r="D94" s="37" t="inlineStr">
        <is>
          <t>JIC 37 &amp; Beaded Hose</t>
        </is>
      </c>
      <c r="E94" s="37" t="inlineStr">
        <is>
          <t>Tee</t>
        </is>
      </c>
      <c r="F94" s="37" t="inlineStr">
        <is>
          <t>https://parts.air-way.com/hydraulic-fittings/jic-and-beaded-hose-fittings/tee/2606-female-run-tee-series-174</t>
        </is>
      </c>
      <c r="G94" s="37" t="inlineStr">
        <is>
          <t>SAE J514 070426 / MS51514</t>
        </is>
      </c>
      <c r="H94" s="37" t="inlineStr">
        <is>
          <t>TABLED</t>
        </is>
      </c>
      <c r="I94" s="37" t="n"/>
      <c r="J94" s="37" t="n">
        <v>7</v>
      </c>
      <c r="K94" s="37" t="inlineStr">
        <is>
          <t>TABLED 2026-09-23: double-pass extraction 7 rows (sheet said 7); DesignTable_2606.xlsx; scope vs OMi feed: 0 BUILD / 7 DROP / 5 OMi-only (4 differ only by -FG)</t>
        </is>
      </c>
    </row>
    <row r="95" ht="15" customHeight="1" s="35">
      <c r="A95" s="37" t="inlineStr">
        <is>
          <t>2606</t>
        </is>
      </c>
      <c r="B95" s="37" t="inlineStr">
        <is>
          <t>300</t>
        </is>
      </c>
      <c r="C95" s="37" t="inlineStr">
        <is>
          <t>SS2606 Female Run Tee series</t>
        </is>
      </c>
      <c r="D95" s="37" t="inlineStr">
        <is>
          <t>Stainless Steel Fittings</t>
        </is>
      </c>
      <c r="E95" s="37" t="inlineStr">
        <is>
          <t>Tee</t>
        </is>
      </c>
      <c r="F95" s="37" t="inlineStr">
        <is>
          <t>https://parts.air-way.com/hydraulic-fittings/stainless-steel-hydraulic-fittings/tee/ss2606-female-run-tee-series-300</t>
        </is>
      </c>
      <c r="G95" s="37" t="inlineStr">
        <is>
          <t>SAE J514 070426 / MS51514</t>
        </is>
      </c>
      <c r="H95" s="37" t="inlineStr">
        <is>
          <t>NOT STARTED</t>
        </is>
      </c>
      <c r="I95" s="37" t="n"/>
      <c r="J95" s="37" t="n">
        <v>3</v>
      </c>
      <c r="K95" s="37" t="n"/>
    </row>
    <row r="96" ht="15" customHeight="1" s="35">
      <c r="A96" s="37" t="inlineStr">
        <is>
          <t>2607</t>
        </is>
      </c>
      <c r="B96" s="37" t="inlineStr">
        <is>
          <t>175</t>
        </is>
      </c>
      <c r="C96" s="37" t="inlineStr">
        <is>
          <t>2607 Male Run/Branch Tee</t>
        </is>
      </c>
      <c r="D96" s="37" t="inlineStr">
        <is>
          <t>JIC 37 &amp; Beaded Hose</t>
        </is>
      </c>
      <c r="E96" s="37" t="inlineStr">
        <is>
          <t>Tee</t>
        </is>
      </c>
      <c r="F96" s="37" t="inlineStr">
        <is>
          <t>https://parts.air-way.com/hydraulic-fittings/jic-and-beaded-hose-fittings/tee/2607-male-run-branch-tee-series-175</t>
        </is>
      </c>
      <c r="G96" s="37" t="inlineStr">
        <is>
          <t>none shown</t>
        </is>
      </c>
      <c r="H96" s="37" t="inlineStr">
        <is>
          <t>NOT STARTED</t>
        </is>
      </c>
      <c r="I96" s="37" t="n"/>
      <c r="J96" s="37" t="n">
        <v>3</v>
      </c>
      <c r="K96" s="37" t="n"/>
    </row>
    <row r="97" ht="15" customHeight="1" s="35">
      <c r="A97" s="37" t="inlineStr">
        <is>
          <t>2608</t>
        </is>
      </c>
      <c r="B97" s="37" t="inlineStr">
        <is>
          <t>176</t>
        </is>
      </c>
      <c r="C97" s="37" t="inlineStr">
        <is>
          <t>2608 Female Run/Male Branch Tee</t>
        </is>
      </c>
      <c r="D97" s="37" t="inlineStr">
        <is>
          <t>JIC 37 &amp; Beaded Hose</t>
        </is>
      </c>
      <c r="E97" s="37" t="inlineStr">
        <is>
          <t>Tee</t>
        </is>
      </c>
      <c r="F97" s="37" t="inlineStr">
        <is>
          <t>https://parts.air-way.com/hydraulic-fittings/jic-and-beaded-hose-fittings/tee/2608-female-run-male-branch-tee-series-176</t>
        </is>
      </c>
      <c r="G97" s="37" t="inlineStr">
        <is>
          <t>none shown</t>
        </is>
      </c>
      <c r="H97" s="37" t="inlineStr">
        <is>
          <t>NOT STARTED</t>
        </is>
      </c>
      <c r="I97" s="37" t="n"/>
      <c r="J97" s="37" t="n">
        <v>2</v>
      </c>
      <c r="K97" s="37" t="n"/>
    </row>
    <row r="98" ht="15" customHeight="1" s="35">
      <c r="A98" s="37" t="inlineStr">
        <is>
          <t>2609</t>
        </is>
      </c>
      <c r="B98" s="37" t="inlineStr">
        <is>
          <t>177</t>
        </is>
      </c>
      <c r="C98" s="37" t="inlineStr">
        <is>
          <t>2609 Female Run/Branch Tee</t>
        </is>
      </c>
      <c r="D98" s="37" t="inlineStr">
        <is>
          <t>JIC 37 &amp; Beaded Hose</t>
        </is>
      </c>
      <c r="E98" s="37" t="inlineStr">
        <is>
          <t>Tee</t>
        </is>
      </c>
      <c r="F98" s="37" t="inlineStr">
        <is>
          <t>https://parts.air-way.com/hydraulic-fittings/jic-and-beaded-hose-fittings/tee/2609-female-run-branch-tee-series-177</t>
        </is>
      </c>
      <c r="G98" s="37" t="inlineStr">
        <is>
          <t>none shown</t>
        </is>
      </c>
      <c r="H98" s="37" t="inlineStr">
        <is>
          <t>TABLED</t>
        </is>
      </c>
      <c r="I98" s="37" t="n"/>
      <c r="J98" s="37" t="n">
        <v>1</v>
      </c>
      <c r="K98" s="37" t="inlineStr">
        <is>
          <t>TABLED 2026-09-23: double-pass extraction 1 rows (sheet said 1); DesignTable_2609.xlsx; scope vs OMi feed: 0 BUILD / 1 DROP / 1 OMi-only (0 differ only by -FG)</t>
        </is>
      </c>
    </row>
    <row r="99" ht="15" customHeight="1" s="35">
      <c r="A99" s="37" t="inlineStr">
        <is>
          <t>2610</t>
        </is>
      </c>
      <c r="B99" s="37" t="inlineStr">
        <is>
          <t>178</t>
        </is>
      </c>
      <c r="C99" s="37" t="inlineStr">
        <is>
          <t>2610 Male Run/Run Tee</t>
        </is>
      </c>
      <c r="D99" s="37" t="inlineStr">
        <is>
          <t>JIC 37 &amp; Beaded Hose</t>
        </is>
      </c>
      <c r="E99" s="37" t="inlineStr">
        <is>
          <t>Tee</t>
        </is>
      </c>
      <c r="F99" s="37" t="inlineStr">
        <is>
          <t>https://parts.air-way.com/hydraulic-fittings/jic-and-beaded-hose-fittings/tee/2610-male-run-run-tee-series-178</t>
        </is>
      </c>
      <c r="G99" s="37" t="inlineStr">
        <is>
          <t>none shown</t>
        </is>
      </c>
      <c r="H99" s="37" t="inlineStr">
        <is>
          <t>NOT STARTED</t>
        </is>
      </c>
      <c r="I99" s="37" t="n"/>
      <c r="J99" s="37" t="n">
        <v>1</v>
      </c>
      <c r="K99" s="37" t="n"/>
    </row>
    <row r="100" ht="15" customHeight="1" s="35">
      <c r="A100" s="37" t="inlineStr">
        <is>
          <t>2611</t>
        </is>
      </c>
      <c r="B100" s="37" t="inlineStr">
        <is>
          <t>179</t>
        </is>
      </c>
      <c r="C100" s="37" t="inlineStr">
        <is>
          <t>2611 Male Run/Female Branch Tee</t>
        </is>
      </c>
      <c r="D100" s="37" t="inlineStr">
        <is>
          <t>JIC 37 &amp; Beaded Hose</t>
        </is>
      </c>
      <c r="E100" s="37" t="inlineStr">
        <is>
          <t>Tee</t>
        </is>
      </c>
      <c r="F100" s="37" t="inlineStr">
        <is>
          <t>https://parts.air-way.com/hydraulic-fittings/jic-and-beaded-hose-fittings/tee/2611-male-run-female-branch-tee-series-179</t>
        </is>
      </c>
      <c r="G100" s="37" t="inlineStr">
        <is>
          <t>none shown</t>
        </is>
      </c>
      <c r="H100" s="37" t="inlineStr">
        <is>
          <t>TABLED</t>
        </is>
      </c>
      <c r="I100" s="37" t="n"/>
      <c r="J100" s="37" t="n">
        <v>5</v>
      </c>
      <c r="K100" s="37" t="inlineStr">
        <is>
          <t>TABLED 2026-09-23: double-pass extraction 5 rows (sheet said 5); DesignTable_2611.xlsx; scope vs OMi feed: 0 BUILD / 5 DROP / 3 OMi-only (2 differ only by -FG)</t>
        </is>
      </c>
    </row>
    <row r="101" ht="15" customHeight="1" s="35">
      <c r="A101" s="37" t="inlineStr">
        <is>
          <t>2612</t>
        </is>
      </c>
      <c r="B101" s="37" t="inlineStr">
        <is>
          <t>180</t>
        </is>
      </c>
      <c r="C101" s="37" t="inlineStr">
        <is>
          <t>2612 Female Run/Run Tee</t>
        </is>
      </c>
      <c r="D101" s="37" t="inlineStr">
        <is>
          <t>JIC 37 &amp; Beaded Hose</t>
        </is>
      </c>
      <c r="E101" s="37" t="inlineStr">
        <is>
          <t>Tee</t>
        </is>
      </c>
      <c r="F101" s="37" t="inlineStr">
        <is>
          <t>https://parts.air-way.com/hydraulic-fittings/jic-and-beaded-hose-fittings/tee/2612-female-run-run-tee-series-180</t>
        </is>
      </c>
      <c r="G101" s="37" t="inlineStr">
        <is>
          <t>none shown</t>
        </is>
      </c>
      <c r="H101" s="37" t="inlineStr">
        <is>
          <t>NOT STARTED</t>
        </is>
      </c>
      <c r="I101" s="37" t="n"/>
      <c r="J101" s="37" t="n">
        <v>1</v>
      </c>
      <c r="K101" s="37" t="n"/>
    </row>
    <row r="102" ht="15" customHeight="1" s="35">
      <c r="A102" s="37" t="inlineStr">
        <is>
          <t>2613</t>
        </is>
      </c>
      <c r="B102" s="37" t="inlineStr">
        <is>
          <t>181</t>
        </is>
      </c>
      <c r="C102" s="37" t="inlineStr">
        <is>
          <t>2613 Male Run/Female Run Tee</t>
        </is>
      </c>
      <c r="D102" s="37" t="inlineStr">
        <is>
          <t>JIC 37 &amp; Beaded Hose</t>
        </is>
      </c>
      <c r="E102" s="37" t="inlineStr">
        <is>
          <t>Tee</t>
        </is>
      </c>
      <c r="F102" s="37" t="inlineStr">
        <is>
          <t>https://parts.air-way.com/hydraulic-fittings/jic-and-beaded-hose-fittings/tee/2613-male-run-female-run-tee-series-181</t>
        </is>
      </c>
      <c r="G102" s="37" t="inlineStr">
        <is>
          <t>none shown</t>
        </is>
      </c>
      <c r="H102" s="37" t="inlineStr">
        <is>
          <t>TABLED</t>
        </is>
      </c>
      <c r="I102" s="37" t="n"/>
      <c r="J102" s="37" t="n">
        <v>4</v>
      </c>
      <c r="K102" s="37" t="inlineStr">
        <is>
          <t>TABLED 2026-09-23: double-pass extraction 4 rows (sheet said 4); DesignTable_2613.xlsx; scope vs OMi feed: 0 BUILD / 4 DROP / 0 OMi-only (0 differ only by -FG)</t>
        </is>
      </c>
    </row>
    <row r="103" ht="15" customHeight="1" s="35">
      <c r="A103" s="37" t="inlineStr">
        <is>
          <t>2650</t>
        </is>
      </c>
      <c r="B103" s="37" t="inlineStr">
        <is>
          <t>382</t>
        </is>
      </c>
      <c r="C103" s="37" t="inlineStr">
        <is>
          <t>F2650 Union Cross</t>
        </is>
      </c>
      <c r="D103" s="37" t="inlineStr">
        <is>
          <t>FLARE-O</t>
        </is>
      </c>
      <c r="E103" s="37" t="inlineStr">
        <is>
          <t>Cross</t>
        </is>
      </c>
      <c r="F103" s="37" t="inlineStr">
        <is>
          <t>https://parts.air-way.com/hydraulic-fittings/flare-o-hydraulic-fittings/cross/f2650-union-cross-series-382</t>
        </is>
      </c>
      <c r="G103" s="37" t="inlineStr">
        <is>
          <t>SAE J514 070501</t>
        </is>
      </c>
      <c r="H103" s="37" t="inlineStr">
        <is>
          <t>NOT STARTED</t>
        </is>
      </c>
      <c r="I103" s="37" t="n"/>
      <c r="J103" s="37" t="n">
        <v>1</v>
      </c>
      <c r="K103" s="37" t="n"/>
    </row>
    <row r="104" ht="15" customHeight="1" s="35">
      <c r="A104" s="37" t="inlineStr">
        <is>
          <t>2650</t>
        </is>
      </c>
      <c r="B104" s="37" t="inlineStr">
        <is>
          <t>203</t>
        </is>
      </c>
      <c r="C104" s="37" t="inlineStr">
        <is>
          <t>2650 Union Cross</t>
        </is>
      </c>
      <c r="D104" s="37" t="inlineStr">
        <is>
          <t>JIC 37 &amp; Beaded Hose</t>
        </is>
      </c>
      <c r="E104" s="37" t="inlineStr">
        <is>
          <t>Cross</t>
        </is>
      </c>
      <c r="F104" s="37" t="inlineStr">
        <is>
          <t>https://parts.air-way.com/hydraulic-fittings/jic-and-beaded-hose-fittings/cross/2650-union-cross-series-203</t>
        </is>
      </c>
      <c r="G104" s="37" t="inlineStr">
        <is>
          <t>SAE J514 070501 / MS51517</t>
        </is>
      </c>
      <c r="H104" s="37" t="inlineStr">
        <is>
          <t>TABLED</t>
        </is>
      </c>
      <c r="I104" s="37" t="n"/>
      <c r="J104" s="37" t="n">
        <v>13</v>
      </c>
      <c r="K104" s="37" t="inlineStr">
        <is>
          <t>TABLED 2026-09-23: double-pass extraction 13 rows (sheet said 13); DesignTable_2650.xlsx; scope vs OMi feed: 4 BUILD / 9 DROP / 0 OMi-only (0 differ only by -FG); 1 source anomaly note(s) in 07_RAW_EXTRACTS/airway_anomalies_2026-09-23.txt</t>
        </is>
      </c>
    </row>
    <row r="105" ht="15" customHeight="1" s="35">
      <c r="A105" s="37" t="inlineStr">
        <is>
          <t>2650</t>
        </is>
      </c>
      <c r="B105" s="37" t="inlineStr">
        <is>
          <t>39</t>
        </is>
      </c>
      <c r="C105" s="37" t="inlineStr">
        <is>
          <t>FF2650 Union Cross</t>
        </is>
      </c>
      <c r="D105" s="37" t="inlineStr">
        <is>
          <t>ORFS</t>
        </is>
      </c>
      <c r="E105" s="37" t="inlineStr">
        <is>
          <t>Cross</t>
        </is>
      </c>
      <c r="F105" s="37" t="inlineStr">
        <is>
          <t>https://parts.air-way.com/hydraulic-fittings/o-ring-face-seal-orfs-hydraulic-fittings/cross/ff2650-union-cross-series-39</t>
        </is>
      </c>
      <c r="G105" s="37" t="inlineStr">
        <is>
          <t>SAE J1453 520501</t>
        </is>
      </c>
      <c r="H105" s="37" t="inlineStr">
        <is>
          <t>NOT STARTED</t>
        </is>
      </c>
      <c r="I105" s="37" t="n"/>
      <c r="J105" s="37" t="n">
        <v>3</v>
      </c>
      <c r="K105" s="37" t="n"/>
    </row>
    <row r="106" ht="15" customHeight="1" s="35">
      <c r="A106" s="37" t="inlineStr">
        <is>
          <t>2650</t>
        </is>
      </c>
      <c r="B106" s="37" t="inlineStr">
        <is>
          <t>316</t>
        </is>
      </c>
      <c r="C106" s="37" t="inlineStr">
        <is>
          <t>SS2650 Union Cross series</t>
        </is>
      </c>
      <c r="D106" s="37" t="inlineStr">
        <is>
          <t>Stainless Steel Fittings</t>
        </is>
      </c>
      <c r="E106" s="37" t="inlineStr">
        <is>
          <t>Cross</t>
        </is>
      </c>
      <c r="F106" s="37" t="inlineStr">
        <is>
          <t>https://parts.air-way.com/hydraulic-fittings/stainless-steel-hydraulic-fittings/cross/ss2650-union-cross-series-316</t>
        </is>
      </c>
      <c r="G106" s="37" t="inlineStr">
        <is>
          <t>SAE J514 070501 / MS51517</t>
        </is>
      </c>
      <c r="H106" s="37" t="inlineStr">
        <is>
          <t>NOT STARTED</t>
        </is>
      </c>
      <c r="I106" s="37" t="n"/>
      <c r="J106" s="37" t="n">
        <v>2</v>
      </c>
      <c r="K106" s="37" t="n"/>
    </row>
    <row r="107" ht="15" customHeight="1" s="35">
      <c r="A107" s="37" t="inlineStr">
        <is>
          <t>2651</t>
        </is>
      </c>
      <c r="B107" s="37" t="inlineStr">
        <is>
          <t>204</t>
        </is>
      </c>
      <c r="C107" s="37" t="inlineStr">
        <is>
          <t>2651 Male Branch Cross</t>
        </is>
      </c>
      <c r="D107" s="37" t="inlineStr">
        <is>
          <t>JIC 37 &amp; Beaded Hose</t>
        </is>
      </c>
      <c r="E107" s="37" t="inlineStr">
        <is>
          <t>Cross</t>
        </is>
      </c>
      <c r="F107" s="37" t="inlineStr">
        <is>
          <t>https://parts.air-way.com/hydraulic-fittings/jic-and-beaded-hose-fittings/cross/2651-male-branch-cross-series-204</t>
        </is>
      </c>
      <c r="G107" s="37" t="inlineStr">
        <is>
          <t>none shown</t>
        </is>
      </c>
      <c r="H107" s="37" t="inlineStr">
        <is>
          <t>NOT STARTED</t>
        </is>
      </c>
      <c r="I107" s="37" t="n"/>
      <c r="J107" s="37" t="n">
        <v>3</v>
      </c>
      <c r="K107" s="37" t="n"/>
    </row>
    <row r="108" ht="15" customHeight="1" s="35">
      <c r="A108" s="37" t="inlineStr">
        <is>
          <t>2700</t>
        </is>
      </c>
      <c r="B108" s="37" t="inlineStr">
        <is>
          <t>436</t>
        </is>
      </c>
      <c r="C108" s="37" t="inlineStr">
        <is>
          <t>Brass - 2700 - BHB Bulkhead Union series</t>
        </is>
      </c>
      <c r="D108" s="37" t="inlineStr">
        <is>
          <t>Brass Fittings</t>
        </is>
      </c>
      <c r="E108" s="37" t="inlineStr">
        <is>
          <t>Straight</t>
        </is>
      </c>
      <c r="F108" s="37" t="inlineStr">
        <is>
          <t>https://parts.air-way.com/hydraulic-fittings/brass-hydraulic-fittings/straight/brass-2700-bhb-bulkhead-union-series-436</t>
        </is>
      </c>
      <c r="G108" s="37" t="inlineStr">
        <is>
          <t>none</t>
        </is>
      </c>
      <c r="H108" s="37" t="inlineStr">
        <is>
          <t>NOT STARTED</t>
        </is>
      </c>
      <c r="I108" s="37" t="n"/>
      <c r="J108" s="37" t="n">
        <v>1</v>
      </c>
      <c r="K108" s="37" t="n"/>
    </row>
    <row r="109" ht="15" customHeight="1" s="35">
      <c r="A109" s="37" t="inlineStr">
        <is>
          <t>2700</t>
        </is>
      </c>
      <c r="B109" s="37" t="inlineStr">
        <is>
          <t>332</t>
        </is>
      </c>
      <c r="C109" s="37" t="inlineStr">
        <is>
          <t>F2700 Bulkhead Union</t>
        </is>
      </c>
      <c r="D109" s="37" t="inlineStr">
        <is>
          <t>FLARE-O</t>
        </is>
      </c>
      <c r="E109" s="37" t="inlineStr">
        <is>
          <t>Straight</t>
        </is>
      </c>
      <c r="F109" s="37" t="inlineStr">
        <is>
          <t>https://parts.air-way.com/hydraulic-fittings/flare-o-hydraulic-fittings/straight/f2700-bulkhead-union-series-332</t>
        </is>
      </c>
      <c r="G109" s="37" t="inlineStr">
        <is>
          <t>SAE J514 070601</t>
        </is>
      </c>
      <c r="H109" s="37" t="inlineStr">
        <is>
          <t>NOT STARTED</t>
        </is>
      </c>
      <c r="I109" s="37" t="n"/>
      <c r="J109" s="37" t="n">
        <v>13</v>
      </c>
      <c r="K109" s="37" t="n"/>
    </row>
    <row r="110" ht="15" customHeight="1" s="35">
      <c r="A110" s="37" t="inlineStr">
        <is>
          <t>2700</t>
        </is>
      </c>
      <c r="B110" s="37" t="inlineStr">
        <is>
          <t>486</t>
        </is>
      </c>
      <c r="C110" s="37" t="inlineStr">
        <is>
          <t>MFF2700 Bulkhead Union</t>
        </is>
      </c>
      <c r="D110" s="37" t="inlineStr">
        <is>
          <t>International &amp; Metric</t>
        </is>
      </c>
      <c r="E110" s="37" t="inlineStr">
        <is>
          <t>ORFS metric</t>
        </is>
      </c>
      <c r="F110" s="37" t="inlineStr">
        <is>
          <t>https://parts.air-way.com/hydraulic-fittings/international-metric/orfs-metric/mff2700-bulkhead-union-series-486</t>
        </is>
      </c>
      <c r="G110" s="37" t="inlineStr">
        <is>
          <t>SAE J1453 52M0601</t>
        </is>
      </c>
      <c r="H110" s="37" t="inlineStr">
        <is>
          <t>NOT STARTED</t>
        </is>
      </c>
      <c r="I110" s="37" t="n"/>
      <c r="J110" s="37" t="n">
        <v>5</v>
      </c>
      <c r="K110" s="37" t="n"/>
    </row>
    <row r="111" ht="15" customHeight="1" s="35">
      <c r="A111" s="37" t="inlineStr">
        <is>
          <t>2700</t>
        </is>
      </c>
      <c r="B111" s="37" t="inlineStr">
        <is>
          <t>72</t>
        </is>
      </c>
      <c r="C111" s="37" t="inlineStr">
        <is>
          <t>2700 Bulkhead Union</t>
        </is>
      </c>
      <c r="D111" s="37" t="inlineStr">
        <is>
          <t>JIC 37 &amp; Beaded Hose</t>
        </is>
      </c>
      <c r="E111" s="37" t="inlineStr">
        <is>
          <t>Straight</t>
        </is>
      </c>
      <c r="F111" s="37" t="inlineStr">
        <is>
          <t>https://parts.air-way.com/hydraulic-fittings/jic-and-beaded-hose-fittings/straight/2700-bulkhead-union-series-72</t>
        </is>
      </c>
      <c r="G111" s="37" t="inlineStr">
        <is>
          <t>SAE J514 070601 / MS51520</t>
        </is>
      </c>
      <c r="H111" s="37" t="inlineStr">
        <is>
          <t>NOT STARTED</t>
        </is>
      </c>
      <c r="I111" s="37" t="n"/>
      <c r="J111" s="37" t="n">
        <v>24</v>
      </c>
      <c r="K111" s="37" t="n"/>
    </row>
    <row r="112" ht="15" customHeight="1" s="35">
      <c r="A112" s="37" t="inlineStr">
        <is>
          <t>2700</t>
        </is>
      </c>
      <c r="B112" s="37" t="inlineStr">
        <is>
          <t>13</t>
        </is>
      </c>
      <c r="C112" s="37" t="inlineStr">
        <is>
          <t>FF2700 Bulkhead Union</t>
        </is>
      </c>
      <c r="D112" s="37" t="inlineStr">
        <is>
          <t>ORFS</t>
        </is>
      </c>
      <c r="E112" s="37" t="inlineStr">
        <is>
          <t>Straight</t>
        </is>
      </c>
      <c r="F112" s="37" t="inlineStr">
        <is>
          <t>https://parts.air-way.com/hydraulic-fittings/o-ring-face-seal-orfs-hydraulic-fittings/straight/ff2700-bulkhead-union-series-13</t>
        </is>
      </c>
      <c r="G112" s="37" t="inlineStr">
        <is>
          <t>SAE J1453 520601</t>
        </is>
      </c>
      <c r="H112" s="37" t="inlineStr">
        <is>
          <t>NOT STARTED</t>
        </is>
      </c>
      <c r="I112" s="37" t="n"/>
      <c r="J112" s="37" t="n">
        <v>20</v>
      </c>
      <c r="K112" s="37" t="n"/>
    </row>
    <row r="113" ht="15" customHeight="1" s="35">
      <c r="A113" s="37" t="inlineStr">
        <is>
          <t>2700</t>
        </is>
      </c>
      <c r="B113" s="37" t="inlineStr">
        <is>
          <t>238</t>
        </is>
      </c>
      <c r="C113" s="37" t="inlineStr">
        <is>
          <t>SS2700 Bulkhead Union series</t>
        </is>
      </c>
      <c r="D113" s="37" t="inlineStr">
        <is>
          <t>Stainless Steel Fittings</t>
        </is>
      </c>
      <c r="E113" s="37" t="inlineStr">
        <is>
          <t>Straight</t>
        </is>
      </c>
      <c r="F113" s="37" t="inlineStr">
        <is>
          <t>https://parts.air-way.com/hydraulic-fittings/stainless-steel-hydraulic-fittings/straight/ss2700-bulkhead-union-series-238</t>
        </is>
      </c>
      <c r="G113" s="37" t="inlineStr">
        <is>
          <t>SAE J514 070601 / MS51520</t>
        </is>
      </c>
      <c r="H113" s="37" t="inlineStr">
        <is>
          <t>NOT STARTED</t>
        </is>
      </c>
      <c r="I113" s="37" t="n"/>
      <c r="J113" s="37" t="n">
        <v>20</v>
      </c>
      <c r="K113" s="37" t="n"/>
    </row>
    <row r="114" ht="15" customHeight="1" s="35">
      <c r="A114" s="37" t="inlineStr">
        <is>
          <t>2700-LN</t>
        </is>
      </c>
      <c r="B114" s="37" t="inlineStr">
        <is>
          <t>463</t>
        </is>
      </c>
      <c r="C114" s="37" t="inlineStr">
        <is>
          <t>MBS2700-LN Threaded Straight Fitting, BSPP 60° Cone to BSPP 60° Cone Bulkhead</t>
        </is>
      </c>
      <c r="D114" s="37" t="inlineStr">
        <is>
          <t>International &amp; Metric</t>
        </is>
      </c>
      <c r="E114" s="37" t="inlineStr">
        <is>
          <t>BSPP ISO 8434-6</t>
        </is>
      </c>
      <c r="F114" s="37" t="inlineStr">
        <is>
          <t>https://parts.air-way.com/hydraulic-fittings/international-metric/bspp-iso-8434-6/mbs2700-ln-threaded-straight-fitting-bspp-60-cone-to-bspp-60-cone-bulkhead-series-463</t>
        </is>
      </c>
      <c r="G114" s="37" t="inlineStr">
        <is>
          <t>ISO 8434-6</t>
        </is>
      </c>
      <c r="H114" s="37" t="inlineStr">
        <is>
          <t>NOT STARTED</t>
        </is>
      </c>
      <c r="I114" s="37" t="n"/>
      <c r="J114" s="37" t="n">
        <v>2</v>
      </c>
      <c r="K114" s="37" t="n"/>
    </row>
    <row r="115" ht="15" customHeight="1" s="35">
      <c r="A115" s="37" t="inlineStr">
        <is>
          <t>2701</t>
        </is>
      </c>
      <c r="B115" s="37" t="inlineStr">
        <is>
          <t>346</t>
        </is>
      </c>
      <c r="C115" s="37" t="inlineStr">
        <is>
          <t>F2701 90° Bulkhead Elbow</t>
        </is>
      </c>
      <c r="D115" s="37" t="inlineStr">
        <is>
          <t>FLARE-O</t>
        </is>
      </c>
      <c r="E115" s="37" t="inlineStr">
        <is>
          <t>90°</t>
        </is>
      </c>
      <c r="F115" s="37" t="inlineStr">
        <is>
          <t>https://parts.air-way.com/hydraulic-fittings/flare-o-hydraulic-fittings/90/f2701-90-bulkhead-elbow-series-346</t>
        </is>
      </c>
      <c r="G115" s="37" t="inlineStr">
        <is>
          <t>SAE J514 070701</t>
        </is>
      </c>
      <c r="H115" s="37" t="inlineStr">
        <is>
          <t>NOT STARTED</t>
        </is>
      </c>
      <c r="I115" s="37" t="n"/>
      <c r="J115" s="37" t="n">
        <v>10</v>
      </c>
      <c r="K115" s="37" t="n"/>
    </row>
    <row r="116" ht="15" customHeight="1" s="35">
      <c r="A116" s="37" t="inlineStr">
        <is>
          <t>2701</t>
        </is>
      </c>
      <c r="B116" s="37" t="inlineStr">
        <is>
          <t>123</t>
        </is>
      </c>
      <c r="C116" s="37" t="inlineStr">
        <is>
          <t>2701 90° Bulkhead Elbow</t>
        </is>
      </c>
      <c r="D116" s="37" t="inlineStr">
        <is>
          <t>JIC 37 &amp; Beaded Hose</t>
        </is>
      </c>
      <c r="E116" s="37" t="inlineStr">
        <is>
          <t>90°</t>
        </is>
      </c>
      <c r="F116" s="37" t="inlineStr">
        <is>
          <t>https://parts.air-way.com/hydraulic-fittings/jic-and-beaded-hose-fittings/90/2701-90-bulkhead-elbow-series-123</t>
        </is>
      </c>
      <c r="G116" s="37" t="inlineStr">
        <is>
          <t>SAE J514 070701 / MS51507</t>
        </is>
      </c>
      <c r="H116" s="37" t="inlineStr">
        <is>
          <t>TABLED</t>
        </is>
      </c>
      <c r="I116" s="37" t="n"/>
      <c r="J116" s="37" t="n">
        <v>34</v>
      </c>
      <c r="K116" s="37" t="inlineStr">
        <is>
          <t>TABLED 2026-09-23: double-pass extraction 33 rows (sheet said 34); DesignTable_2701.xlsx; scope vs OMi feed: 13 BUILD / 20 DROP / 2 OMi-only (0 differ only by -FG); 2 source anomaly note(s) in 07_RAW_EXTRACTS/airway_anomalies_2026-09-23.txt</t>
        </is>
      </c>
    </row>
    <row r="117" ht="15" customHeight="1" s="35">
      <c r="A117" s="37" t="inlineStr">
        <is>
          <t>2701</t>
        </is>
      </c>
      <c r="B117" s="37" t="inlineStr">
        <is>
          <t>23</t>
        </is>
      </c>
      <c r="C117" s="37" t="inlineStr">
        <is>
          <t>FF2701 90° Bulkhead Elbow</t>
        </is>
      </c>
      <c r="D117" s="37" t="inlineStr">
        <is>
          <t>ORFS</t>
        </is>
      </c>
      <c r="E117" s="37" t="inlineStr">
        <is>
          <t>90°</t>
        </is>
      </c>
      <c r="F117" s="37" t="inlineStr">
        <is>
          <t>https://parts.air-way.com/hydraulic-fittings/o-ring-face-seal-orfs-hydraulic-fittings/90/ff2701-90-bulkhead-elbow-series-23</t>
        </is>
      </c>
      <c r="G117" s="37" t="inlineStr">
        <is>
          <t>SAE J1453 520701</t>
        </is>
      </c>
      <c r="H117" s="37" t="inlineStr">
        <is>
          <t>NOT STARTED</t>
        </is>
      </c>
      <c r="I117" s="37" t="n"/>
      <c r="J117" s="37" t="n">
        <v>14</v>
      </c>
      <c r="K117" s="37" t="n"/>
    </row>
    <row r="118" ht="15" customHeight="1" s="35">
      <c r="A118" s="37" t="inlineStr">
        <is>
          <t>2701</t>
        </is>
      </c>
      <c r="B118" s="37" t="inlineStr">
        <is>
          <t>274</t>
        </is>
      </c>
      <c r="C118" s="37" t="inlineStr">
        <is>
          <t>SS2701 90° Bulkhead Elbow series</t>
        </is>
      </c>
      <c r="D118" s="37" t="inlineStr">
        <is>
          <t>Stainless Steel Fittings</t>
        </is>
      </c>
      <c r="E118" s="37" t="inlineStr">
        <is>
          <t>90°</t>
        </is>
      </c>
      <c r="F118" s="37" t="inlineStr">
        <is>
          <t>https://parts.air-way.com/hydraulic-fittings/stainless-steel-hydraulic-fittings/90/ss2701-90-bulkhead-elbow-series-274</t>
        </is>
      </c>
      <c r="G118" s="37" t="inlineStr">
        <is>
          <t>SAE J514 070701 / MS51507</t>
        </is>
      </c>
      <c r="H118" s="37" t="inlineStr">
        <is>
          <t>NOT STARTED</t>
        </is>
      </c>
      <c r="I118" s="37" t="n"/>
      <c r="J118" s="37" t="n">
        <v>11</v>
      </c>
      <c r="K118" s="37" t="n"/>
    </row>
    <row r="119" ht="15" customHeight="1" s="35">
      <c r="A119" s="37" t="inlineStr">
        <is>
          <t>2702</t>
        </is>
      </c>
      <c r="B119" s="37" t="inlineStr">
        <is>
          <t>357</t>
        </is>
      </c>
      <c r="C119" s="37" t="inlineStr">
        <is>
          <t>F2702 45° Bulkhead Elbow</t>
        </is>
      </c>
      <c r="D119" s="37" t="inlineStr">
        <is>
          <t>FLARE-O</t>
        </is>
      </c>
      <c r="E119" s="37" t="inlineStr">
        <is>
          <t>45°</t>
        </is>
      </c>
      <c r="F119" s="37" t="inlineStr">
        <is>
          <t>https://parts.air-way.com/hydraulic-fittings/flare-o-hydraulic-fittings/45/f2702-45-bulkhead-elbow-series-357</t>
        </is>
      </c>
      <c r="G119" s="37" t="inlineStr">
        <is>
          <t>SAE J514 070801</t>
        </is>
      </c>
      <c r="H119" s="37" t="inlineStr">
        <is>
          <t>NOT STARTED</t>
        </is>
      </c>
      <c r="I119" s="37" t="n"/>
      <c r="J119" s="37" t="n">
        <v>9</v>
      </c>
      <c r="K119" s="37" t="n"/>
    </row>
    <row r="120" ht="15" customHeight="1" s="35">
      <c r="A120" s="37" t="inlineStr">
        <is>
          <t>2702</t>
        </is>
      </c>
      <c r="B120" s="37" t="inlineStr">
        <is>
          <t>150</t>
        </is>
      </c>
      <c r="C120" s="37" t="inlineStr">
        <is>
          <t>2702 45° Bulkhead Elbow</t>
        </is>
      </c>
      <c r="D120" s="37" t="inlineStr">
        <is>
          <t>JIC 37 &amp; Beaded Hose</t>
        </is>
      </c>
      <c r="E120" s="37" t="inlineStr">
        <is>
          <t>45°</t>
        </is>
      </c>
      <c r="F120" s="37" t="inlineStr">
        <is>
          <t>https://parts.air-way.com/hydraulic-fittings/jic-and-beaded-hose-fittings/45/2702-45-bulkhead-elbow-series-150</t>
        </is>
      </c>
      <c r="G120" s="37" t="inlineStr">
        <is>
          <t>SAE J514 070801 / MS51509</t>
        </is>
      </c>
      <c r="H120" s="37" t="inlineStr">
        <is>
          <t>TABLED</t>
        </is>
      </c>
      <c r="I120" s="37" t="n"/>
      <c r="J120" s="37" t="n">
        <v>28</v>
      </c>
      <c r="K120" s="37" t="inlineStr">
        <is>
          <t>TABLED 2026-09-23: double-pass extraction 29 rows (sheet said 28); DesignTable_2702.xlsx; scope vs OMi feed: 11 BUILD / 18 DROP / 1 OMi-only (1 differ only by -FG); 2 source anomaly note(s) in 07_RAW_EXTRACTS/airway_anomalies_2026-09-23.txt</t>
        </is>
      </c>
    </row>
    <row r="121" ht="15" customHeight="1" s="35">
      <c r="A121" s="37" t="inlineStr">
        <is>
          <t>2702</t>
        </is>
      </c>
      <c r="B121" s="37" t="inlineStr">
        <is>
          <t>29</t>
        </is>
      </c>
      <c r="C121" s="37" t="inlineStr">
        <is>
          <t>FF2702 45° Bulkhead Elbow</t>
        </is>
      </c>
      <c r="D121" s="37" t="inlineStr">
        <is>
          <t>ORFS</t>
        </is>
      </c>
      <c r="E121" s="37" t="inlineStr">
        <is>
          <t>45°</t>
        </is>
      </c>
      <c r="F121" s="37" t="inlineStr">
        <is>
          <t>https://parts.air-way.com/hydraulic-fittings/o-ring-face-seal-orfs-hydraulic-fittings/45/ff2702-45-bulkhead-elbow-series-29</t>
        </is>
      </c>
      <c r="G121" s="37" t="inlineStr">
        <is>
          <t>SAE J1453 520801</t>
        </is>
      </c>
      <c r="H121" s="37" t="inlineStr">
        <is>
          <t>NOT STARTED</t>
        </is>
      </c>
      <c r="I121" s="37" t="n"/>
      <c r="J121" s="37" t="n">
        <v>13</v>
      </c>
      <c r="K121" s="37" t="n"/>
    </row>
    <row r="122" ht="15" customHeight="1" s="35">
      <c r="A122" s="37" t="inlineStr">
        <is>
          <t>2702</t>
        </is>
      </c>
      <c r="B122" s="37" t="inlineStr">
        <is>
          <t>289</t>
        </is>
      </c>
      <c r="C122" s="37" t="inlineStr">
        <is>
          <t>SS2702 45° Bulkhead Elbow series</t>
        </is>
      </c>
      <c r="D122" s="37" t="inlineStr">
        <is>
          <t>Stainless Steel Fittings</t>
        </is>
      </c>
      <c r="E122" s="37" t="inlineStr">
        <is>
          <t>45°</t>
        </is>
      </c>
      <c r="F122" s="37" t="inlineStr">
        <is>
          <t>https://parts.air-way.com/hydraulic-fittings/stainless-steel-hydraulic-fittings/45/ss2702-45-bulkhead-elbow-series-289</t>
        </is>
      </c>
      <c r="G122" s="37" t="inlineStr">
        <is>
          <t>SAE J514 070801 / MS51509</t>
        </is>
      </c>
      <c r="H122" s="37" t="inlineStr">
        <is>
          <t>NOT STARTED</t>
        </is>
      </c>
      <c r="I122" s="37" t="n"/>
      <c r="J122" s="37" t="n">
        <v>7</v>
      </c>
      <c r="K122" s="37" t="n"/>
    </row>
    <row r="123" ht="15" customHeight="1" s="35">
      <c r="A123" s="37" t="inlineStr">
        <is>
          <t>2703</t>
        </is>
      </c>
      <c r="B123" s="37" t="inlineStr">
        <is>
          <t>375</t>
        </is>
      </c>
      <c r="C123" s="37" t="inlineStr">
        <is>
          <t>F2703 Bulkhead Branch Tee</t>
        </is>
      </c>
      <c r="D123" s="37" t="inlineStr">
        <is>
          <t>FLARE-O</t>
        </is>
      </c>
      <c r="E123" s="37" t="inlineStr">
        <is>
          <t>Tee</t>
        </is>
      </c>
      <c r="F123" s="37" t="inlineStr">
        <is>
          <t>https://parts.air-way.com/hydraulic-fittings/flare-o-hydraulic-fittings/tee/f2703-bulkhead-branch-tee-series-375</t>
        </is>
      </c>
      <c r="G123" s="37" t="inlineStr">
        <is>
          <t>SAE J514 070959</t>
        </is>
      </c>
      <c r="H123" s="37" t="inlineStr">
        <is>
          <t>NOT STARTED</t>
        </is>
      </c>
      <c r="I123" s="37" t="n"/>
      <c r="J123" s="37" t="n">
        <v>4</v>
      </c>
      <c r="K123" s="37" t="n"/>
    </row>
    <row r="124" ht="15" customHeight="1" s="35">
      <c r="A124" s="37" t="inlineStr">
        <is>
          <t>2703</t>
        </is>
      </c>
      <c r="B124" s="37" t="inlineStr">
        <is>
          <t>182</t>
        </is>
      </c>
      <c r="C124" s="37" t="inlineStr">
        <is>
          <t>2703 Bulkhead Branch Tee</t>
        </is>
      </c>
      <c r="D124" s="37" t="inlineStr">
        <is>
          <t>JIC 37 &amp; Beaded Hose</t>
        </is>
      </c>
      <c r="E124" s="37" t="inlineStr">
        <is>
          <t>Tee</t>
        </is>
      </c>
      <c r="F124" s="37" t="inlineStr">
        <is>
          <t>https://parts.air-way.com/hydraulic-fittings/jic-and-beaded-hose-fittings/tee/2703-bulkhead-branch-tee-series-182</t>
        </is>
      </c>
      <c r="G124" s="37" t="inlineStr">
        <is>
          <t>SAE J514 070959 / MS51515</t>
        </is>
      </c>
      <c r="H124" s="37" t="inlineStr">
        <is>
          <t>TABLED</t>
        </is>
      </c>
      <c r="I124" s="37" t="n"/>
      <c r="J124" s="37" t="n">
        <v>26</v>
      </c>
      <c r="K124" s="37" t="inlineStr">
        <is>
          <t>TABLED 2026-09-23: double-pass extraction 28 rows (sheet said 26); DesignTable_2703.xlsx; scope vs OMi feed: 12 BUILD / 16 DROP / 0 OMi-only (0 differ only by -FG); 2 source anomaly note(s) in 07_RAW_EXTRACTS/airway_anomalies_2026-09-23.txt</t>
        </is>
      </c>
    </row>
    <row r="125" ht="15" customHeight="1" s="35">
      <c r="A125" s="37" t="inlineStr">
        <is>
          <t>2703</t>
        </is>
      </c>
      <c r="B125" s="37" t="inlineStr">
        <is>
          <t>33</t>
        </is>
      </c>
      <c r="C125" s="37" t="inlineStr">
        <is>
          <t>FF2703 Bulkhead Branch Tee</t>
        </is>
      </c>
      <c r="D125" s="37" t="inlineStr">
        <is>
          <t>ORFS</t>
        </is>
      </c>
      <c r="E125" s="37" t="inlineStr">
        <is>
          <t>Tee</t>
        </is>
      </c>
      <c r="F125" s="37" t="inlineStr">
        <is>
          <t>https://parts.air-way.com/hydraulic-fittings/o-ring-face-seal-orfs-hydraulic-fittings/tee/ff2703-bulkhead-branch-tee-series-33</t>
        </is>
      </c>
      <c r="G125" s="37" t="inlineStr">
        <is>
          <t>SAE J1453 520959</t>
        </is>
      </c>
      <c r="H125" s="37" t="inlineStr">
        <is>
          <t>NOT STARTED</t>
        </is>
      </c>
      <c r="I125" s="37" t="n"/>
      <c r="J125" s="37" t="n">
        <v>15</v>
      </c>
      <c r="K125" s="37" t="n"/>
    </row>
    <row r="126" ht="15" customHeight="1" s="35">
      <c r="A126" s="37" t="inlineStr">
        <is>
          <t>2703</t>
        </is>
      </c>
      <c r="B126" s="37" t="inlineStr">
        <is>
          <t>304</t>
        </is>
      </c>
      <c r="C126" s="37" t="inlineStr">
        <is>
          <t>SS2703 Bulkhead Branch Tee series</t>
        </is>
      </c>
      <c r="D126" s="37" t="inlineStr">
        <is>
          <t>Stainless Steel Fittings</t>
        </is>
      </c>
      <c r="E126" s="37" t="inlineStr">
        <is>
          <t>Tee</t>
        </is>
      </c>
      <c r="F126" s="37" t="inlineStr">
        <is>
          <t>https://parts.air-way.com/hydraulic-fittings/stainless-steel-hydraulic-fittings/tee/ss2703-bulkhead-branch-tee-series-304</t>
        </is>
      </c>
      <c r="G126" s="37" t="inlineStr">
        <is>
          <t>SAE J514 070959 / MS51515</t>
        </is>
      </c>
      <c r="H126" s="37" t="inlineStr">
        <is>
          <t>NOT STARTED</t>
        </is>
      </c>
      <c r="I126" s="37" t="n"/>
      <c r="J126" s="37" t="n">
        <v>6</v>
      </c>
      <c r="K126" s="37" t="n"/>
    </row>
    <row r="127" ht="15" customHeight="1" s="35">
      <c r="A127" s="37" t="inlineStr">
        <is>
          <t>2704</t>
        </is>
      </c>
      <c r="B127" s="37" t="inlineStr">
        <is>
          <t>376</t>
        </is>
      </c>
      <c r="C127" s="37" t="inlineStr">
        <is>
          <t>F2704 Bulkhead Run Tee</t>
        </is>
      </c>
      <c r="D127" s="37" t="inlineStr">
        <is>
          <t>FLARE-O</t>
        </is>
      </c>
      <c r="E127" s="37" t="inlineStr">
        <is>
          <t>Tee</t>
        </is>
      </c>
      <c r="F127" s="37" t="inlineStr">
        <is>
          <t>https://parts.air-way.com/hydraulic-fittings/flare-o-hydraulic-fittings/tee/f2704-bulkhead-run-tee-series-376</t>
        </is>
      </c>
      <c r="G127" s="37" t="inlineStr">
        <is>
          <t>SAE J514 070958</t>
        </is>
      </c>
      <c r="H127" s="37" t="inlineStr">
        <is>
          <t>NOT STARTED</t>
        </is>
      </c>
      <c r="I127" s="37" t="n"/>
      <c r="J127" s="37" t="n">
        <v>3</v>
      </c>
      <c r="K127" s="37" t="n"/>
    </row>
    <row r="128" ht="15" customHeight="1" s="35">
      <c r="A128" s="37" t="inlineStr">
        <is>
          <t>2704</t>
        </is>
      </c>
      <c r="B128" s="37" t="inlineStr">
        <is>
          <t>183</t>
        </is>
      </c>
      <c r="C128" s="37" t="inlineStr">
        <is>
          <t>2704 Bulkhead Run Tee</t>
        </is>
      </c>
      <c r="D128" s="37" t="inlineStr">
        <is>
          <t>JIC 37 &amp; Beaded Hose</t>
        </is>
      </c>
      <c r="E128" s="37" t="inlineStr">
        <is>
          <t>Tee</t>
        </is>
      </c>
      <c r="F128" s="37" t="inlineStr">
        <is>
          <t>https://parts.air-way.com/hydraulic-fittings/jic-and-beaded-hose-fittings/tee/2704-bulkhead-run-tee-series-183</t>
        </is>
      </c>
      <c r="G128" s="37" t="inlineStr">
        <is>
          <t>SAE J514 070958 / MS51516</t>
        </is>
      </c>
      <c r="H128" s="37" t="inlineStr">
        <is>
          <t>TABLED</t>
        </is>
      </c>
      <c r="I128" s="37" t="n"/>
      <c r="J128" s="37" t="n">
        <v>26</v>
      </c>
      <c r="K128" s="37" t="inlineStr">
        <is>
          <t>TABLED 2026-09-23: double-pass extraction 25 rows (sheet said 26); DesignTable_2704.xlsx; scope vs OMi feed: 12 BUILD / 13 DROP / 0 OMi-only (0 differ only by -FG); 1 source anomaly note(s) in 07_RAW_EXTRACTS/airway_anomalies_2026-09-23.txt</t>
        </is>
      </c>
    </row>
    <row r="129" ht="15" customHeight="1" s="35">
      <c r="A129" s="37" t="inlineStr">
        <is>
          <t>2704</t>
        </is>
      </c>
      <c r="B129" s="37" t="inlineStr">
        <is>
          <t>34</t>
        </is>
      </c>
      <c r="C129" s="37" t="inlineStr">
        <is>
          <t>FF2704 Bulkhead Run Tee</t>
        </is>
      </c>
      <c r="D129" s="37" t="inlineStr">
        <is>
          <t>ORFS</t>
        </is>
      </c>
      <c r="E129" s="37" t="inlineStr">
        <is>
          <t>Tee</t>
        </is>
      </c>
      <c r="F129" s="37" t="inlineStr">
        <is>
          <t>https://parts.air-way.com/hydraulic-fittings/o-ring-face-seal-orfs-hydraulic-fittings/tee/ff2704-bulkhead-run-tee-series-34</t>
        </is>
      </c>
      <c r="G129" s="37" t="inlineStr">
        <is>
          <t>SAE J1453 520958</t>
        </is>
      </c>
      <c r="H129" s="37" t="inlineStr">
        <is>
          <t>NOT STARTED</t>
        </is>
      </c>
      <c r="I129" s="37" t="n"/>
      <c r="J129" s="37" t="n">
        <v>18</v>
      </c>
      <c r="K129" s="37" t="n"/>
    </row>
    <row r="130" ht="15" customHeight="1" s="35">
      <c r="A130" s="37" t="inlineStr">
        <is>
          <t>2704</t>
        </is>
      </c>
      <c r="B130" s="37" t="inlineStr">
        <is>
          <t>305</t>
        </is>
      </c>
      <c r="C130" s="37" t="inlineStr">
        <is>
          <t>SS2704 Bulkhead Run Tee series</t>
        </is>
      </c>
      <c r="D130" s="37" t="inlineStr">
        <is>
          <t>Stainless Steel Fittings</t>
        </is>
      </c>
      <c r="E130" s="37" t="inlineStr">
        <is>
          <t>Tee</t>
        </is>
      </c>
      <c r="F130" s="37" t="inlineStr">
        <is>
          <t>https://parts.air-way.com/hydraulic-fittings/stainless-steel-hydraulic-fittings/tee/ss2704-bulkhead-run-tee-series-305</t>
        </is>
      </c>
      <c r="G130" s="37" t="inlineStr">
        <is>
          <t>SAE J514 070958 / MS51516</t>
        </is>
      </c>
      <c r="H130" s="37" t="inlineStr">
        <is>
          <t>NOT STARTED</t>
        </is>
      </c>
      <c r="I130" s="37" t="n"/>
      <c r="J130" s="37" t="n">
        <v>1</v>
      </c>
      <c r="K130" s="37" t="n"/>
    </row>
    <row r="131" ht="15" customHeight="1" s="35">
      <c r="A131" s="37" t="inlineStr">
        <is>
          <t>2705</t>
        </is>
      </c>
      <c r="B131" s="37" t="inlineStr">
        <is>
          <t>333</t>
        </is>
      </c>
      <c r="C131" s="37" t="inlineStr">
        <is>
          <t>F2705 Female Pipe/Bulkhead Connector</t>
        </is>
      </c>
      <c r="D131" s="37" t="inlineStr">
        <is>
          <t>FLARE-O</t>
        </is>
      </c>
      <c r="E131" s="37" t="inlineStr">
        <is>
          <t>Straight</t>
        </is>
      </c>
      <c r="F131" s="37" t="inlineStr">
        <is>
          <t>https://parts.air-way.com/hydraulic-fittings/flare-o-hydraulic-fittings/straight/f2705-female-pipe-bulkhead-connector-series-333</t>
        </is>
      </c>
      <c r="G131" s="37" t="inlineStr">
        <is>
          <t>none shown</t>
        </is>
      </c>
      <c r="H131" s="37" t="inlineStr">
        <is>
          <t>NOT STARTED</t>
        </is>
      </c>
      <c r="I131" s="37" t="n"/>
      <c r="J131" s="37" t="n">
        <v>3</v>
      </c>
      <c r="K131" s="37" t="n"/>
    </row>
    <row r="132" ht="15" customHeight="1" s="35">
      <c r="A132" s="37" t="inlineStr">
        <is>
          <t>2705</t>
        </is>
      </c>
      <c r="B132" s="37" t="inlineStr">
        <is>
          <t>73</t>
        </is>
      </c>
      <c r="C132" s="37" t="inlineStr">
        <is>
          <t>2705 Female Pipe/Bulkhead Connector</t>
        </is>
      </c>
      <c r="D132" s="37" t="inlineStr">
        <is>
          <t>JIC 37 &amp; Beaded Hose</t>
        </is>
      </c>
      <c r="E132" s="37" t="inlineStr">
        <is>
          <t>Straight</t>
        </is>
      </c>
      <c r="F132" s="37" t="inlineStr">
        <is>
          <t>https://parts.air-way.com/hydraulic-fittings/jic-and-beaded-hose-fittings/straight/2705-female-pipe-bulkhead-connector-series-73</t>
        </is>
      </c>
      <c r="G132" s="37" t="inlineStr">
        <is>
          <t>none shown</t>
        </is>
      </c>
      <c r="H132" s="37" t="inlineStr">
        <is>
          <t>TABLED</t>
        </is>
      </c>
      <c r="I132" s="37" t="n"/>
      <c r="J132" s="37" t="n">
        <v>21</v>
      </c>
      <c r="K132" s="37" t="inlineStr">
        <is>
          <t>TABLED 2026-09-23: double-pass extraction 21 rows (sheet said 21); DesignTable_2705.xlsx; scope vs OMi feed: 14 BUILD / 7 DROP / 3 OMi-only (0 differ only by -FG)</t>
        </is>
      </c>
    </row>
    <row r="133" ht="15" customHeight="1" s="35">
      <c r="A133" s="37" t="inlineStr">
        <is>
          <t>2705</t>
        </is>
      </c>
      <c r="B133" s="37" t="inlineStr">
        <is>
          <t>239</t>
        </is>
      </c>
      <c r="C133" s="37" t="inlineStr">
        <is>
          <t>SS2705 Female Pipe/Bulkhead Connector series</t>
        </is>
      </c>
      <c r="D133" s="37" t="inlineStr">
        <is>
          <t>Stainless Steel Fittings</t>
        </is>
      </c>
      <c r="E133" s="37" t="inlineStr">
        <is>
          <t>Straight</t>
        </is>
      </c>
      <c r="F133" s="37" t="inlineStr">
        <is>
          <t>https://parts.air-way.com/hydraulic-fittings/stainless-steel-hydraulic-fittings/straight/ss2705-female-pipe-bulkhead-connector-series-239</t>
        </is>
      </c>
      <c r="G133" s="37" t="inlineStr">
        <is>
          <t>none</t>
        </is>
      </c>
      <c r="H133" s="37" t="inlineStr">
        <is>
          <t>NOT STARTED</t>
        </is>
      </c>
      <c r="I133" s="37" t="n"/>
      <c r="J133" s="37" t="n">
        <v>11</v>
      </c>
      <c r="K133" s="37" t="n"/>
    </row>
    <row r="134" ht="15" customHeight="1" s="35">
      <c r="A134" s="37" t="inlineStr">
        <is>
          <t>2706</t>
        </is>
      </c>
      <c r="B134" s="37" t="inlineStr">
        <is>
          <t>74</t>
        </is>
      </c>
      <c r="C134" s="37" t="inlineStr">
        <is>
          <t>2706 Male Pipe/Bulkhead Connector</t>
        </is>
      </c>
      <c r="D134" s="37" t="inlineStr">
        <is>
          <t>JIC 37 &amp; Beaded Hose</t>
        </is>
      </c>
      <c r="E134" s="37" t="inlineStr">
        <is>
          <t>Straight</t>
        </is>
      </c>
      <c r="F134" s="37" t="inlineStr">
        <is>
          <t>https://parts.air-way.com/hydraulic-fittings/jic-and-beaded-hose-fittings/straight/2706-male-pipe-bulkhead-connector-series-74</t>
        </is>
      </c>
      <c r="G134" s="37" t="inlineStr">
        <is>
          <t>none shown</t>
        </is>
      </c>
      <c r="H134" s="37" t="inlineStr">
        <is>
          <t>TABLED</t>
        </is>
      </c>
      <c r="I134" s="37" t="n"/>
      <c r="J134" s="37" t="n">
        <v>24</v>
      </c>
      <c r="K134" s="37" t="inlineStr">
        <is>
          <t>TABLED 2026-09-23: double-pass extraction 25 rows (sheet said 24); DesignTable_2706.xlsx; scope vs OMi feed: 23 BUILD / 2 DROP / 6 OMi-only (0 differ only by -FG); 1 source anomaly note(s) in 07_RAW_EXTRACTS/airway_anomalies_2026-09-23.txt</t>
        </is>
      </c>
    </row>
    <row r="135" ht="15" customHeight="1" s="35">
      <c r="A135" s="37" t="inlineStr">
        <is>
          <t>2706</t>
        </is>
      </c>
      <c r="B135" s="37" t="inlineStr">
        <is>
          <t>240</t>
        </is>
      </c>
      <c r="C135" s="37" t="inlineStr">
        <is>
          <t>SS2706 Male Pipe/Bulkhead Connector series</t>
        </is>
      </c>
      <c r="D135" s="37" t="inlineStr">
        <is>
          <t>Stainless Steel Fittings</t>
        </is>
      </c>
      <c r="E135" s="37" t="inlineStr">
        <is>
          <t>Straight</t>
        </is>
      </c>
      <c r="F135" s="37" t="inlineStr">
        <is>
          <t>https://parts.air-way.com/hydraulic-fittings/stainless-steel-hydraulic-fittings/straight/ss2706-male-pipe-bulkhead-connector-series-240</t>
        </is>
      </c>
      <c r="G135" s="37" t="inlineStr">
        <is>
          <t>SAE J514 (no numeric code shown)</t>
        </is>
      </c>
      <c r="H135" s="37" t="inlineStr">
        <is>
          <t>NOT STARTED</t>
        </is>
      </c>
      <c r="I135" s="37" t="n"/>
      <c r="J135" s="37" t="n">
        <v>14</v>
      </c>
      <c r="K135" s="37" t="n"/>
    </row>
    <row r="136" ht="15" customHeight="1" s="35">
      <c r="A136" s="37" t="inlineStr">
        <is>
          <t>30039</t>
        </is>
      </c>
      <c r="B136" s="37" t="inlineStr">
        <is>
          <t>509</t>
        </is>
      </c>
      <c r="C136" s="37" t="inlineStr">
        <is>
          <t>30039 37° Female Swivel Tee</t>
        </is>
      </c>
      <c r="D136" s="37" t="inlineStr">
        <is>
          <t>JIC 37 &amp; Beaded Hose</t>
        </is>
      </c>
      <c r="E136" s="37" t="inlineStr">
        <is>
          <t>Tee</t>
        </is>
      </c>
      <c r="F136" s="37" t="inlineStr">
        <is>
          <t>https://parts.air-way.com/hydraulic-fittings/jic-and-beaded-hose-fittings/tee/30039-37-female-swivel-tee-series-509</t>
        </is>
      </c>
      <c r="G136" s="37" t="inlineStr">
        <is>
          <t>SAE J514</t>
        </is>
      </c>
      <c r="H136" s="37" t="inlineStr">
        <is>
          <t>NOT STARTED</t>
        </is>
      </c>
      <c r="I136" s="37" t="n"/>
      <c r="J136" s="37" t="n">
        <v>1</v>
      </c>
      <c r="K136" s="37" t="n"/>
    </row>
    <row r="137" ht="15" customHeight="1" s="35">
      <c r="A137" s="37" t="inlineStr">
        <is>
          <t>302</t>
        </is>
      </c>
      <c r="B137" s="37" t="inlineStr">
        <is>
          <t>42</t>
        </is>
      </c>
      <c r="C137" s="37" t="inlineStr">
        <is>
          <t>302 Short Nut</t>
        </is>
      </c>
      <c r="D137" s="37" t="inlineStr">
        <is>
          <t>JIC 37 &amp; Beaded Hose</t>
        </is>
      </c>
      <c r="E137" s="37" t="inlineStr">
        <is>
          <t>Tube Nuts</t>
        </is>
      </c>
      <c r="F137" s="37" t="inlineStr">
        <is>
          <t>https://parts.air-way.com/hydraulic-fittings/jic-and-beaded-hose-fittings/tube-nuts/302-short-nut-series-42</t>
        </is>
      </c>
      <c r="G137" s="37" t="inlineStr">
        <is>
          <t>none shown</t>
        </is>
      </c>
      <c r="H137" s="37" t="inlineStr">
        <is>
          <t>NOT STARTED</t>
        </is>
      </c>
      <c r="I137" s="37" t="n"/>
      <c r="J137" s="37" t="n">
        <v>6</v>
      </c>
      <c r="K137" s="37" t="n"/>
    </row>
    <row r="138" ht="15" customHeight="1" s="35">
      <c r="A138" s="37" t="inlineStr">
        <is>
          <t>304</t>
        </is>
      </c>
      <c r="B138" s="37" t="inlineStr">
        <is>
          <t>458</t>
        </is>
      </c>
      <c r="C138" s="37" t="inlineStr">
        <is>
          <t>MBS304 Threaded Straight Fitting, BSPP 60° Cone Swivel Cap Nut</t>
        </is>
      </c>
      <c r="D138" s="37" t="inlineStr">
        <is>
          <t>International &amp; Metric</t>
        </is>
      </c>
      <c r="E138" s="37" t="inlineStr">
        <is>
          <t>BSPP ISO 8434-6</t>
        </is>
      </c>
      <c r="F138" s="37" t="inlineStr">
        <is>
          <t>https://parts.air-way.com/hydraulic-fittings/international-metric/bspp-iso-8434-6/mbs304-threaded-straight-fitting-bspp-60-cone-swivel-cap-nut-series-458</t>
        </is>
      </c>
      <c r="G138" s="37" t="inlineStr">
        <is>
          <t>ISO 8434-6</t>
        </is>
      </c>
      <c r="H138" s="37" t="inlineStr">
        <is>
          <t>NOT STARTED</t>
        </is>
      </c>
      <c r="I138" s="37" t="n"/>
      <c r="J138" s="37" t="n">
        <v>4</v>
      </c>
      <c r="K138" s="37" t="n"/>
    </row>
    <row r="139" ht="15" customHeight="1" s="35">
      <c r="A139" s="37" t="inlineStr">
        <is>
          <t>304</t>
        </is>
      </c>
      <c r="B139" s="37" t="inlineStr">
        <is>
          <t>43</t>
        </is>
      </c>
      <c r="C139" s="37" t="inlineStr">
        <is>
          <t>304 Standard Nut</t>
        </is>
      </c>
      <c r="D139" s="37" t="inlineStr">
        <is>
          <t>JIC 37 &amp; Beaded Hose</t>
        </is>
      </c>
      <c r="E139" s="37" t="inlineStr">
        <is>
          <t>Tube Nuts</t>
        </is>
      </c>
      <c r="F139" s="37" t="inlineStr">
        <is>
          <t>https://parts.air-way.com/hydraulic-fittings/jic-and-beaded-hose-fittings/tube-nuts/304-standard-nut-series-43</t>
        </is>
      </c>
      <c r="G139" s="37" t="inlineStr">
        <is>
          <t>SAE J514 070111</t>
        </is>
      </c>
      <c r="H139" s="37" t="inlineStr">
        <is>
          <t>TABLED</t>
        </is>
      </c>
      <c r="I139" s="37" t="n"/>
      <c r="J139" s="37" t="n">
        <v>9</v>
      </c>
      <c r="K139" s="37" t="inlineStr">
        <is>
          <t>TABLED 2026-09-23: double-pass extraction 9 rows (sheet said 9); DesignTable_0304.xlsx; scope vs OMi feed: 0 BUILD / 9 DROP / 13 OMi-only (0 differ only by -FG); 1 source anomaly note(s) in 07_RAW_EXTRACTS/airway_anomalies_2026-09-23.txt</t>
        </is>
      </c>
    </row>
    <row r="140" ht="15" customHeight="1" s="35">
      <c r="A140" s="37" t="inlineStr">
        <is>
          <t>304-C</t>
        </is>
      </c>
      <c r="B140" s="37" t="inlineStr">
        <is>
          <t>44</t>
        </is>
      </c>
      <c r="C140" s="37" t="inlineStr">
        <is>
          <t>304-C Cap Nut</t>
        </is>
      </c>
      <c r="D140" s="37" t="inlineStr">
        <is>
          <t>JIC 37 &amp; Beaded Hose</t>
        </is>
      </c>
      <c r="E140" s="37" t="inlineStr">
        <is>
          <t>Tube Nuts</t>
        </is>
      </c>
      <c r="F140" s="37" t="inlineStr">
        <is>
          <t>https://parts.air-way.com/hydraulic-fittings/jic-and-beaded-hose-fittings/tube-nuts/304-c-cap-nut-series-44</t>
        </is>
      </c>
      <c r="G140" s="37" t="inlineStr">
        <is>
          <t>SAE J514 070112 / MS51532</t>
        </is>
      </c>
      <c r="H140" s="37" t="inlineStr">
        <is>
          <t>NOT STARTED</t>
        </is>
      </c>
      <c r="I140" s="37" t="n"/>
      <c r="J140" s="37" t="n">
        <v>13</v>
      </c>
      <c r="K140" s="37" t="n"/>
    </row>
    <row r="141" ht="15" customHeight="1" s="35">
      <c r="A141" s="37" t="inlineStr">
        <is>
          <t>304-C</t>
        </is>
      </c>
      <c r="B141" s="37" t="inlineStr">
        <is>
          <t>2</t>
        </is>
      </c>
      <c r="C141" s="37" t="inlineStr">
        <is>
          <t>FF304-C Cap Nut</t>
        </is>
      </c>
      <c r="D141" s="37" t="inlineStr">
        <is>
          <t>ORFS</t>
        </is>
      </c>
      <c r="E141" s="37" t="inlineStr">
        <is>
          <t>Nut</t>
        </is>
      </c>
      <c r="F141" s="37" t="inlineStr">
        <is>
          <t>https://parts.air-way.com/hydraulic-fittings/o-ring-face-seal-orfs-hydraulic-fittings/nut/ff304-c-cap-nut-series-2</t>
        </is>
      </c>
      <c r="G141" s="37" t="inlineStr">
        <is>
          <t>SAE J1453 520112</t>
        </is>
      </c>
      <c r="H141" s="37" t="inlineStr">
        <is>
          <t>NOT STARTED</t>
        </is>
      </c>
      <c r="I141" s="37" t="n"/>
      <c r="J141" s="37" t="n">
        <v>8</v>
      </c>
      <c r="K141" s="37" t="n"/>
    </row>
    <row r="142" ht="15" customHeight="1" s="35">
      <c r="A142" s="37" t="inlineStr">
        <is>
          <t>304-C</t>
        </is>
      </c>
      <c r="B142" s="37" t="inlineStr">
        <is>
          <t>220</t>
        </is>
      </c>
      <c r="C142" s="37" t="inlineStr">
        <is>
          <t>SS304-C Cap Nut series</t>
        </is>
      </c>
      <c r="D142" s="37" t="inlineStr">
        <is>
          <t>Stainless Steel Fittings</t>
        </is>
      </c>
      <c r="E142" s="37" t="inlineStr">
        <is>
          <t>Nut</t>
        </is>
      </c>
      <c r="F142" s="37" t="inlineStr">
        <is>
          <t>https://parts.air-way.com/hydraulic-fittings/stainless-steel-hydraulic-fittings/nut/ss304-c-cap-nut-series-220</t>
        </is>
      </c>
      <c r="G142" s="37" t="inlineStr">
        <is>
          <t>SAE J514 070112 / MS51532</t>
        </is>
      </c>
      <c r="H142" s="37" t="inlineStr">
        <is>
          <t>NOT STARTED</t>
        </is>
      </c>
      <c r="I142" s="37" t="n"/>
      <c r="J142" s="37" t="n">
        <v>12</v>
      </c>
      <c r="K142" s="37" t="n"/>
    </row>
    <row r="143" ht="15" customHeight="1" s="35">
      <c r="A143" s="37" t="inlineStr">
        <is>
          <t>3051</t>
        </is>
      </c>
      <c r="B143" s="37" t="inlineStr">
        <is>
          <t>124</t>
        </is>
      </c>
      <c r="C143" s="37" t="inlineStr">
        <is>
          <t>3051 90° Short Street Elbow</t>
        </is>
      </c>
      <c r="D143" s="37" t="inlineStr">
        <is>
          <t>JIC 37 &amp; Beaded Hose</t>
        </is>
      </c>
      <c r="E143" s="37" t="inlineStr">
        <is>
          <t>90°</t>
        </is>
      </c>
      <c r="F143" s="37" t="inlineStr">
        <is>
          <t>https://parts.air-way.com/hydraulic-fittings/jic-and-beaded-hose-fittings/90/3051-90-short-street-elbow-series-124</t>
        </is>
      </c>
      <c r="G143" s="37" t="inlineStr">
        <is>
          <t>none shown</t>
        </is>
      </c>
      <c r="H143" s="37" t="inlineStr">
        <is>
          <t>NOT STARTED</t>
        </is>
      </c>
      <c r="I143" s="37" t="n"/>
      <c r="J143" s="37" t="n">
        <v>8</v>
      </c>
      <c r="K143" s="37" t="n"/>
    </row>
    <row r="144" ht="15" customHeight="1" s="35">
      <c r="A144" s="37" t="inlineStr">
        <is>
          <t>306</t>
        </is>
      </c>
      <c r="B144" s="37" t="inlineStr">
        <is>
          <t>3</t>
        </is>
      </c>
      <c r="C144" s="37" t="inlineStr">
        <is>
          <t>FF306 Bulkhead Lock Nut</t>
        </is>
      </c>
      <c r="D144" s="37" t="inlineStr">
        <is>
          <t>ORFS</t>
        </is>
      </c>
      <c r="E144" s="37" t="inlineStr">
        <is>
          <t>Nut</t>
        </is>
      </c>
      <c r="F144" s="37" t="inlineStr">
        <is>
          <t>https://parts.air-way.com/hydraulic-fittings/o-ring-face-seal-orfs-hydraulic-fittings/nut/ff306-bulkhead-lock-nut-series-3</t>
        </is>
      </c>
      <c r="G144" s="37" t="inlineStr">
        <is>
          <t>SAE J1453 520118</t>
        </is>
      </c>
      <c r="H144" s="37" t="inlineStr">
        <is>
          <t>TABLED</t>
        </is>
      </c>
      <c r="I144" s="37" t="n"/>
      <c r="J144" s="37" t="n">
        <v>6</v>
      </c>
      <c r="K144" s="37" t="inlineStr">
        <is>
          <t>TABLED 2026-09-23: double-pass extraction 6 rows (sheet said 6); DesignTable_0306.xlsx; scope vs OMi feed: 0 BUILD / 6 DROP / 12 OMi-only (0 differ only by -FG); 1 source anomaly note(s) in 07_RAW_EXTRACTS/airway_anomalies_2026-09-23.txt</t>
        </is>
      </c>
    </row>
    <row r="145" ht="15" customHeight="1" s="35">
      <c r="A145" s="37" t="inlineStr">
        <is>
          <t>306-LN</t>
        </is>
      </c>
      <c r="B145" s="37" t="inlineStr">
        <is>
          <t>547</t>
        </is>
      </c>
      <c r="C145" s="37" t="inlineStr">
        <is>
          <t>MFF306-LN</t>
        </is>
      </c>
      <c r="D145" s="37" t="inlineStr">
        <is>
          <t>International &amp; Metric</t>
        </is>
      </c>
      <c r="E145" s="37" t="inlineStr">
        <is>
          <t>Nuts</t>
        </is>
      </c>
      <c r="F145" s="37" t="inlineStr">
        <is>
          <t>https://parts.air-way.com/hydraulic-fittings/international-metric/nuts/mff306-ln-series-547</t>
        </is>
      </c>
      <c r="G145" s="37" t="inlineStr">
        <is>
          <t>—</t>
        </is>
      </c>
      <c r="H145" s="37" t="inlineStr">
        <is>
          <t>NOT STARTED</t>
        </is>
      </c>
      <c r="I145" s="37" t="n"/>
      <c r="J145" s="37" t="n">
        <v>8</v>
      </c>
      <c r="K145" s="37" t="n"/>
    </row>
    <row r="146" ht="15" customHeight="1" s="35">
      <c r="A146" s="37" t="inlineStr">
        <is>
          <t>306-LN</t>
        </is>
      </c>
      <c r="B146" s="37" t="inlineStr">
        <is>
          <t>45</t>
        </is>
      </c>
      <c r="C146" s="37" t="inlineStr">
        <is>
          <t>306-LN Bulkhead Lock Nut</t>
        </is>
      </c>
      <c r="D146" s="37" t="inlineStr">
        <is>
          <t>JIC 37 &amp; Beaded Hose</t>
        </is>
      </c>
      <c r="E146" s="37" t="inlineStr">
        <is>
          <t>Tube Nuts</t>
        </is>
      </c>
      <c r="F146" s="37" t="inlineStr">
        <is>
          <t>https://parts.air-way.com/hydraulic-fittings/jic-and-beaded-hose-fittings/tube-nuts/306-ln-bulkhead-lock-nut-series-45</t>
        </is>
      </c>
      <c r="G146" s="37" t="inlineStr">
        <is>
          <t>SAE J514 070118 / MS51860</t>
        </is>
      </c>
      <c r="H146" s="37" t="inlineStr">
        <is>
          <t>NOT STARTED</t>
        </is>
      </c>
      <c r="I146" s="37" t="n"/>
      <c r="J146" s="37" t="n">
        <v>12</v>
      </c>
      <c r="K146" s="37" t="n"/>
    </row>
    <row r="147" ht="15" customHeight="1" s="35">
      <c r="A147" s="37" t="inlineStr">
        <is>
          <t>306-LN</t>
        </is>
      </c>
      <c r="B147" s="37" t="inlineStr">
        <is>
          <t>221</t>
        </is>
      </c>
      <c r="C147" s="37" t="inlineStr">
        <is>
          <t>SS306-LN Bulkhead series</t>
        </is>
      </c>
      <c r="D147" s="37" t="inlineStr">
        <is>
          <t>Stainless Steel Fittings</t>
        </is>
      </c>
      <c r="E147" s="37" t="inlineStr">
        <is>
          <t>Nut</t>
        </is>
      </c>
      <c r="F147" s="37" t="inlineStr">
        <is>
          <t>https://parts.air-way.com/hydraulic-fittings/stainless-steel-hydraulic-fittings/nut/ss306-ln-bulkhead-series-221</t>
        </is>
      </c>
      <c r="G147" s="37" t="inlineStr">
        <is>
          <t>SAE J514 070118 / MS51860</t>
        </is>
      </c>
      <c r="H147" s="37" t="inlineStr">
        <is>
          <t>NOT STARTED</t>
        </is>
      </c>
      <c r="I147" s="37" t="n"/>
      <c r="J147" s="37" t="n">
        <v>11</v>
      </c>
      <c r="K147" s="37" t="n"/>
    </row>
    <row r="148" ht="15" customHeight="1" s="35">
      <c r="A148" s="37" t="inlineStr">
        <is>
          <t>306-N</t>
        </is>
      </c>
      <c r="B148" s="37" t="inlineStr">
        <is>
          <t>46</t>
        </is>
      </c>
      <c r="C148" s="37" t="inlineStr">
        <is>
          <t>306-N Adjustable Lock Nut</t>
        </is>
      </c>
      <c r="D148" s="37" t="inlineStr">
        <is>
          <t>JIC 37 &amp; Beaded Hose</t>
        </is>
      </c>
      <c r="E148" s="37" t="inlineStr">
        <is>
          <t>Tube Nuts</t>
        </is>
      </c>
      <c r="F148" s="37" t="inlineStr">
        <is>
          <t>https://parts.air-way.com/hydraulic-fittings/jic-and-beaded-hose-fittings/tube-nuts/306-n-adjustable-lock-nut-series-46</t>
        </is>
      </c>
      <c r="G148" s="37" t="inlineStr">
        <is>
          <t>SAE J514 070117 / MS51888</t>
        </is>
      </c>
      <c r="H148" s="37" t="inlineStr">
        <is>
          <t>NOT STARTED</t>
        </is>
      </c>
      <c r="I148" s="37" t="n"/>
      <c r="J148" s="37" t="n">
        <v>10</v>
      </c>
      <c r="K148" s="37" t="n"/>
    </row>
    <row r="149" ht="15" customHeight="1" s="35">
      <c r="A149" s="37" t="inlineStr">
        <is>
          <t>306-N</t>
        </is>
      </c>
      <c r="B149" s="37" t="inlineStr">
        <is>
          <t>4</t>
        </is>
      </c>
      <c r="C149" s="37" t="inlineStr">
        <is>
          <t>FF306-N Adjustable Lock Nut</t>
        </is>
      </c>
      <c r="D149" s="37" t="inlineStr">
        <is>
          <t>ORFS</t>
        </is>
      </c>
      <c r="E149" s="37" t="inlineStr">
        <is>
          <t>Nut</t>
        </is>
      </c>
      <c r="F149" s="37" t="inlineStr">
        <is>
          <t>https://parts.air-way.com/hydraulic-fittings/o-ring-face-seal-orfs-hydraulic-fittings/nut/ff306-n-adjustable-lock-nut-series-4</t>
        </is>
      </c>
      <c r="G149" s="37" t="inlineStr">
        <is>
          <t>SAE J1453 520117</t>
        </is>
      </c>
      <c r="H149" s="37" t="inlineStr">
        <is>
          <t>NOT STARTED</t>
        </is>
      </c>
      <c r="I149" s="37" t="n"/>
      <c r="J149" s="37" t="n">
        <v>10</v>
      </c>
      <c r="K149" s="37" t="n"/>
    </row>
    <row r="150" ht="15" customHeight="1" s="35">
      <c r="A150" s="37" t="inlineStr">
        <is>
          <t>306-N</t>
        </is>
      </c>
      <c r="B150" s="37" t="inlineStr">
        <is>
          <t>222</t>
        </is>
      </c>
      <c r="C150" s="37" t="inlineStr">
        <is>
          <t>SS306-N Adjustable Lock Nut series</t>
        </is>
      </c>
      <c r="D150" s="37" t="inlineStr">
        <is>
          <t>Stainless Steel Fittings</t>
        </is>
      </c>
      <c r="E150" s="37" t="inlineStr">
        <is>
          <t>Nut</t>
        </is>
      </c>
      <c r="F150" s="37" t="inlineStr">
        <is>
          <t>https://parts.air-way.com/hydraulic-fittings/stainless-steel-hydraulic-fittings/nut/ss306-n-adjustable-lock-nut-series-222</t>
        </is>
      </c>
      <c r="G150" s="37" t="inlineStr">
        <is>
          <t>SAE J514 070117 / MS51888</t>
        </is>
      </c>
      <c r="H150" s="37" t="inlineStr">
        <is>
          <t>NOT STARTED</t>
        </is>
      </c>
      <c r="I150" s="37" t="n"/>
      <c r="J150" s="37" t="n">
        <v>10</v>
      </c>
      <c r="K150" s="37" t="n"/>
    </row>
    <row r="151" ht="15" customHeight="1" s="35">
      <c r="A151" s="37" t="inlineStr">
        <is>
          <t>30760</t>
        </is>
      </c>
      <c r="B151" s="37" t="inlineStr">
        <is>
          <t>527</t>
        </is>
      </c>
      <c r="C151" s="37" t="inlineStr">
        <is>
          <t>MFF30760 Straight Thread Cross</t>
        </is>
      </c>
      <c r="D151" s="37" t="inlineStr">
        <is>
          <t>International &amp; Metric</t>
        </is>
      </c>
      <c r="E151" s="37" t="inlineStr">
        <is>
          <t>ORFS metric</t>
        </is>
      </c>
      <c r="F151" s="37" t="inlineStr">
        <is>
          <t>https://parts.air-way.com/hydraulic-fittings/international-metric/orfs-metric/mff30760-straight-thread-cross-series-527</t>
        </is>
      </c>
      <c r="G151" s="37" t="inlineStr">
        <is>
          <t>SAE J1453-2, ISO 8434-3, ISO 6149</t>
        </is>
      </c>
      <c r="H151" s="37" t="inlineStr">
        <is>
          <t>NOT STARTED</t>
        </is>
      </c>
      <c r="I151" s="37" t="n"/>
      <c r="J151" s="37" t="n">
        <v>4</v>
      </c>
      <c r="K151" s="37" t="n"/>
    </row>
    <row r="152" ht="15" customHeight="1" s="35">
      <c r="A152" s="37" t="inlineStr">
        <is>
          <t>30760</t>
        </is>
      </c>
      <c r="B152" s="37" t="inlineStr">
        <is>
          <t>494</t>
        </is>
      </c>
      <c r="C152" s="37" t="inlineStr">
        <is>
          <t>FF30760 Straight Thread Cross</t>
        </is>
      </c>
      <c r="D152" s="37" t="inlineStr">
        <is>
          <t>ORFS</t>
        </is>
      </c>
      <c r="E152" s="37" t="inlineStr">
        <is>
          <t>Cross</t>
        </is>
      </c>
      <c r="F152" s="37" t="inlineStr">
        <is>
          <t>https://parts.air-way.com/hydraulic-fittings/o-ring-face-seal-orfs-hydraulic-fittings/cross/ff30760-straight-thread-cross-series-494</t>
        </is>
      </c>
      <c r="G152" s="37" t="inlineStr">
        <is>
          <t>SAE J1453-520520</t>
        </is>
      </c>
      <c r="H152" s="37" t="inlineStr">
        <is>
          <t>NOT STARTED</t>
        </is>
      </c>
      <c r="I152" s="37" t="n"/>
      <c r="J152" s="37" t="n">
        <v>4</v>
      </c>
      <c r="K152" s="37" t="n"/>
    </row>
    <row r="153" ht="15" customHeight="1" s="35">
      <c r="A153" s="37" t="inlineStr">
        <is>
          <t>30786</t>
        </is>
      </c>
      <c r="B153" s="37" t="inlineStr">
        <is>
          <t>504</t>
        </is>
      </c>
      <c r="C153" s="37" t="inlineStr">
        <is>
          <t>MFF30786 90º Straight Thread Reducer/Expander Elbow</t>
        </is>
      </c>
      <c r="D153" s="37" t="inlineStr">
        <is>
          <t>International &amp; Metric</t>
        </is>
      </c>
      <c r="E153" s="37" t="inlineStr">
        <is>
          <t>ORFS metric</t>
        </is>
      </c>
      <c r="F153" s="37" t="inlineStr">
        <is>
          <t>https://parts.air-way.com/hydraulic-fittings/international-metric/orfs-metric/mff30786-90º-straight-thread-reducer-expander-elbow-series-504</t>
        </is>
      </c>
      <c r="G153" s="37" t="inlineStr">
        <is>
          <t>SAE J2244/ISO 6149-1 to SAE J2244-2/ISO 6149-2</t>
        </is>
      </c>
      <c r="H153" s="37" t="inlineStr">
        <is>
          <t>NOT STARTED</t>
        </is>
      </c>
      <c r="I153" s="37" t="n"/>
      <c r="J153" s="37" t="n">
        <v>2</v>
      </c>
      <c r="K153" s="37" t="n"/>
    </row>
    <row r="154" ht="15" customHeight="1" s="35">
      <c r="A154" s="37" t="inlineStr">
        <is>
          <t>30786</t>
        </is>
      </c>
      <c r="B154" s="37" t="inlineStr">
        <is>
          <t>510</t>
        </is>
      </c>
      <c r="C154" s="37" t="inlineStr">
        <is>
          <t>30786 90 Degree Straight Thread Reducer/Expander Elbow</t>
        </is>
      </c>
      <c r="D154" s="37" t="inlineStr">
        <is>
          <t>JIC 37 &amp; Beaded Hose</t>
        </is>
      </c>
      <c r="E154" s="37" t="inlineStr">
        <is>
          <t>90°</t>
        </is>
      </c>
      <c r="F154" s="37" t="inlineStr">
        <is>
          <t>https://parts.air-way.com/hydraulic-fittings/jic-and-beaded-hose-fittings/90/30786-90-degree-straight-thread-reducer-expander-elbow-series-510</t>
        </is>
      </c>
      <c r="G154" s="37" t="inlineStr">
        <is>
          <t>SAE J1926-1 &amp; J1926-2</t>
        </is>
      </c>
      <c r="H154" s="37" t="inlineStr">
        <is>
          <t>NOT STARTED</t>
        </is>
      </c>
      <c r="I154" s="37" t="n"/>
      <c r="J154" s="37" t="n">
        <v>12</v>
      </c>
      <c r="K154" s="37" t="n"/>
    </row>
    <row r="155" ht="15" customHeight="1" s="35">
      <c r="A155" s="37" t="inlineStr">
        <is>
          <t>30786</t>
        </is>
      </c>
      <c r="B155" s="37" t="inlineStr">
        <is>
          <t>503</t>
        </is>
      </c>
      <c r="C155" s="37" t="inlineStr">
        <is>
          <t>SS30786 90 Degree Straight Thread Reducer/Expander Elbow series</t>
        </is>
      </c>
      <c r="D155" s="37" t="inlineStr">
        <is>
          <t>Stainless Steel Fittings</t>
        </is>
      </c>
      <c r="E155" s="37" t="inlineStr">
        <is>
          <t>90°</t>
        </is>
      </c>
      <c r="F155" s="37" t="inlineStr">
        <is>
          <t>https://parts.air-way.com/hydraulic-fittings/stainless-steel-hydraulic-fittings/90/ss30786-90-degree-straight-thread-reducer-expander-elbow-series-503</t>
        </is>
      </c>
      <c r="G155" s="37" t="inlineStr">
        <is>
          <t>SAE J1926-3 to J1926-1 PORT</t>
        </is>
      </c>
      <c r="H155" s="37" t="inlineStr">
        <is>
          <t>NOT STARTED</t>
        </is>
      </c>
      <c r="I155" s="37" t="n"/>
      <c r="J155" s="37" t="n">
        <v>2</v>
      </c>
      <c r="K155" s="37" t="n"/>
    </row>
    <row r="156" ht="15" customHeight="1" s="35">
      <c r="A156" s="37" t="inlineStr">
        <is>
          <t>31205</t>
        </is>
      </c>
      <c r="B156" s="37" t="inlineStr">
        <is>
          <t>106</t>
        </is>
      </c>
      <c r="C156" s="37" t="inlineStr">
        <is>
          <t>31205-61 Code 61 Split Flange Clamp</t>
        </is>
      </c>
      <c r="D156" s="37" t="inlineStr">
        <is>
          <t>JIC 37 &amp; Beaded Hose</t>
        </is>
      </c>
      <c r="E156" s="37" t="inlineStr">
        <is>
          <t>Straight</t>
        </is>
      </c>
      <c r="F156" s="37" t="inlineStr">
        <is>
          <t>https://parts.air-way.com/hydraulic-fittings/jic-and-beaded-hose-fittings/straight/31205-61-code-61-split-flange-clamp-series-106</t>
        </is>
      </c>
      <c r="G156" s="37" t="inlineStr">
        <is>
          <t>none shown</t>
        </is>
      </c>
      <c r="H156" s="37" t="inlineStr">
        <is>
          <t>NOT STARTED</t>
        </is>
      </c>
      <c r="I156" s="37" t="n"/>
      <c r="J156" s="37" t="n">
        <v>9</v>
      </c>
      <c r="K156" s="37" t="n"/>
    </row>
    <row r="157" ht="15" customHeight="1" s="35">
      <c r="A157" s="37" t="inlineStr">
        <is>
          <t>31205</t>
        </is>
      </c>
      <c r="B157" s="37" t="inlineStr">
        <is>
          <t>107</t>
        </is>
      </c>
      <c r="C157" s="37" t="inlineStr">
        <is>
          <t>31205-62 Code 62 Split Flange Clamp</t>
        </is>
      </c>
      <c r="D157" s="37" t="inlineStr">
        <is>
          <t>JIC 37 &amp; Beaded Hose</t>
        </is>
      </c>
      <c r="E157" s="37" t="inlineStr">
        <is>
          <t>Straight</t>
        </is>
      </c>
      <c r="F157" s="37" t="inlineStr">
        <is>
          <t>https://parts.air-way.com/hydraulic-fittings/jic-and-beaded-hose-fittings/straight/31205-62-code-62-split-flange-clamp-series-107</t>
        </is>
      </c>
      <c r="G157" s="37" t="inlineStr">
        <is>
          <t>none shown</t>
        </is>
      </c>
      <c r="H157" s="37" t="inlineStr">
        <is>
          <t>NOT STARTED</t>
        </is>
      </c>
      <c r="I157" s="37" t="n"/>
      <c r="J157" s="37" t="n">
        <v>6</v>
      </c>
      <c r="K157" s="37" t="n"/>
    </row>
    <row r="158" ht="15" customHeight="1" s="35">
      <c r="A158" s="37" t="inlineStr">
        <is>
          <t>31254</t>
        </is>
      </c>
      <c r="B158" s="37" t="inlineStr">
        <is>
          <t>519</t>
        </is>
      </c>
      <c r="C158" s="37" t="inlineStr">
        <is>
          <t>31254 Beaded Hose Stem Elbow</t>
        </is>
      </c>
      <c r="D158" s="37" t="inlineStr">
        <is>
          <t>JIC 37 &amp; Beaded Hose</t>
        </is>
      </c>
      <c r="E158" s="37" t="inlineStr">
        <is>
          <t>90°</t>
        </is>
      </c>
      <c r="F158" s="37" t="inlineStr">
        <is>
          <t>https://parts.air-way.com/hydraulic-fittings/jic-and-beaded-hose-fittings/90/31254-beaded-hose-stem-elbow-series-519</t>
        </is>
      </c>
      <c r="G158" s="37" t="inlineStr">
        <is>
          <t>SAE J1231 TYPE 2</t>
        </is>
      </c>
      <c r="H158" s="37" t="inlineStr">
        <is>
          <t>NOT STARTED</t>
        </is>
      </c>
      <c r="I158" s="37" t="n"/>
      <c r="J158" s="37" t="n">
        <v>6</v>
      </c>
      <c r="K158" s="37" t="n"/>
    </row>
    <row r="159" ht="15" customHeight="1" s="35">
      <c r="A159" s="37" t="inlineStr">
        <is>
          <t>31371</t>
        </is>
      </c>
      <c r="B159" s="37" t="inlineStr">
        <is>
          <t>483</t>
        </is>
      </c>
      <c r="C159" s="37" t="inlineStr">
        <is>
          <t>FF31371 ORFS Bulkhead to Stud End</t>
        </is>
      </c>
      <c r="D159" s="37" t="inlineStr">
        <is>
          <t>ORFS</t>
        </is>
      </c>
      <c r="E159" s="37" t="inlineStr">
        <is>
          <t>Straight</t>
        </is>
      </c>
      <c r="F159" s="37" t="inlineStr">
        <is>
          <t>https://parts.air-way.com/hydraulic-fittings/o-ring-face-seal-orfs-hydraulic-fittings/straight/ff31371-orfs-bulkhead-to-stud-end-series-483</t>
        </is>
      </c>
      <c r="G159" s="37" t="inlineStr">
        <is>
          <t>—</t>
        </is>
      </c>
      <c r="H159" s="37" t="inlineStr">
        <is>
          <t>NOT STARTED</t>
        </is>
      </c>
      <c r="I159" s="37" t="n"/>
      <c r="J159" s="37" t="n">
        <v>11</v>
      </c>
      <c r="K159" s="37" t="n"/>
    </row>
    <row r="160" ht="15" customHeight="1" s="35">
      <c r="A160" s="37" t="inlineStr">
        <is>
          <t>31617</t>
        </is>
      </c>
      <c r="B160" s="37" t="inlineStr">
        <is>
          <t>492</t>
        </is>
      </c>
      <c r="C160" s="37" t="inlineStr">
        <is>
          <t>FF31617 Male to Female ORFS Adapter</t>
        </is>
      </c>
      <c r="D160" s="37" t="inlineStr">
        <is>
          <t>ORFS</t>
        </is>
      </c>
      <c r="E160" s="37" t="inlineStr">
        <is>
          <t>Straight</t>
        </is>
      </c>
      <c r="F160" s="37" t="inlineStr">
        <is>
          <t>https://parts.air-way.com/hydraulic-fittings/o-ring-face-seal-orfs-hydraulic-fittings/straight/ff31617-male-to-female-orfs-adapter-series-492</t>
        </is>
      </c>
      <c r="G160" s="37" t="inlineStr">
        <is>
          <t>SAE J1453</t>
        </is>
      </c>
      <c r="H160" s="37" t="inlineStr">
        <is>
          <t>NOT STARTED</t>
        </is>
      </c>
      <c r="I160" s="37" t="n"/>
      <c r="J160" s="37" t="n">
        <v>4</v>
      </c>
      <c r="K160" s="37" t="n"/>
    </row>
    <row r="161" ht="15" customHeight="1" s="35">
      <c r="A161" s="37" t="inlineStr">
        <is>
          <t>31626</t>
        </is>
      </c>
      <c r="B161" s="37" t="inlineStr">
        <is>
          <t>493</t>
        </is>
      </c>
      <c r="C161" s="37" t="inlineStr">
        <is>
          <t>FF31626 ORFS to Straight Thread Branch Tee</t>
        </is>
      </c>
      <c r="D161" s="37" t="inlineStr">
        <is>
          <t>ORFS</t>
        </is>
      </c>
      <c r="E161" s="37" t="inlineStr">
        <is>
          <t>Tee</t>
        </is>
      </c>
      <c r="F161" s="37" t="inlineStr">
        <is>
          <t>https://parts.air-way.com/hydraulic-fittings/o-ring-face-seal-orfs-hydraulic-fittings/tee/ff31626-orfs-to-straight-thread-branch-tee-series-493</t>
        </is>
      </c>
      <c r="G161" s="37" t="inlineStr">
        <is>
          <t>SAE J1453 / J1926-1 &amp; 2</t>
        </is>
      </c>
      <c r="H161" s="37" t="inlineStr">
        <is>
          <t>NOT STARTED</t>
        </is>
      </c>
      <c r="I161" s="37" t="n"/>
      <c r="J161" s="37" t="n">
        <v>2</v>
      </c>
      <c r="K161" s="37" t="n"/>
    </row>
    <row r="162" ht="15" customHeight="1" s="35">
      <c r="A162" s="37" t="inlineStr">
        <is>
          <t>31639</t>
        </is>
      </c>
      <c r="B162" s="37" t="inlineStr">
        <is>
          <t>517</t>
        </is>
      </c>
      <c r="C162" s="37" t="inlineStr">
        <is>
          <t>MFF31639 Male ORFS / Female ORFS / Straight Thread</t>
        </is>
      </c>
      <c r="D162" s="37" t="inlineStr">
        <is>
          <t>International &amp; Metric</t>
        </is>
      </c>
      <c r="E162" s="37" t="inlineStr">
        <is>
          <t>ORFS metric</t>
        </is>
      </c>
      <c r="F162" s="37" t="inlineStr">
        <is>
          <t>https://parts.air-way.com/hydraulic-fittings/international-metric/orfs-metric/mff31639-male-orfs-female-orfs-straight-thread-series-517</t>
        </is>
      </c>
      <c r="G162" s="37" t="inlineStr">
        <is>
          <t>SAE J1453, ISO 6149-1</t>
        </is>
      </c>
      <c r="H162" s="37" t="inlineStr">
        <is>
          <t>NOT STARTED</t>
        </is>
      </c>
      <c r="I162" s="37" t="n"/>
      <c r="J162" s="37" t="n">
        <v>1</v>
      </c>
      <c r="K162" s="37" t="n"/>
    </row>
    <row r="163" ht="15" customHeight="1" s="35">
      <c r="A163" s="37" t="inlineStr">
        <is>
          <t>31639</t>
        </is>
      </c>
      <c r="B163" s="37" t="inlineStr">
        <is>
          <t>498</t>
        </is>
      </c>
      <c r="C163" s="37" t="inlineStr">
        <is>
          <t>FF31639 Male ORFS / Female ORFS / Straight Thread</t>
        </is>
      </c>
      <c r="D163" s="37" t="inlineStr">
        <is>
          <t>ORFS</t>
        </is>
      </c>
      <c r="E163" s="37" t="inlineStr">
        <is>
          <t>Tee</t>
        </is>
      </c>
      <c r="F163" s="37" t="inlineStr">
        <is>
          <t>https://parts.air-way.com/hydraulic-fittings/o-ring-face-seal-orfs-hydraulic-fittings/tee/ff31639-male-orfs-female-orfs-straight-thread-series-498</t>
        </is>
      </c>
      <c r="G163" s="37" t="inlineStr">
        <is>
          <t>SAE J1453 to J1926-1</t>
        </is>
      </c>
      <c r="H163" s="37" t="inlineStr">
        <is>
          <t>NOT STARTED</t>
        </is>
      </c>
      <c r="I163" s="37" t="n"/>
      <c r="J163" s="37" t="n">
        <v>11</v>
      </c>
      <c r="K163" s="37" t="n"/>
    </row>
    <row r="164" ht="15" customHeight="1" s="35">
      <c r="A164" s="37" t="inlineStr">
        <is>
          <t>31681</t>
        </is>
      </c>
      <c r="B164" s="37" t="inlineStr">
        <is>
          <t>518</t>
        </is>
      </c>
      <c r="C164" s="37" t="inlineStr">
        <is>
          <t>MFF31681 Straight Thread / Run ORFS Tee</t>
        </is>
      </c>
      <c r="D164" s="37" t="inlineStr">
        <is>
          <t>International &amp; Metric</t>
        </is>
      </c>
      <c r="E164" s="37" t="inlineStr">
        <is>
          <t>ORFS metric</t>
        </is>
      </c>
      <c r="F164" s="37" t="inlineStr">
        <is>
          <t>https://parts.air-way.com/hydraulic-fittings/international-metric/orfs-metric/mff31681-straight-thread-run-orfs-tee-series-518</t>
        </is>
      </c>
      <c r="G164" s="37" t="inlineStr">
        <is>
          <t>SAE J1926-1, SAE J1926-2, SAE J1453</t>
        </is>
      </c>
      <c r="H164" s="37" t="inlineStr">
        <is>
          <t>NOT STARTED</t>
        </is>
      </c>
      <c r="I164" s="37" t="n"/>
      <c r="J164" s="37" t="n">
        <v>6</v>
      </c>
      <c r="K164" s="37" t="n"/>
    </row>
    <row r="165" ht="15" customHeight="1" s="35">
      <c r="A165" s="37" t="inlineStr">
        <is>
          <t>31682</t>
        </is>
      </c>
      <c r="B165" s="37" t="inlineStr">
        <is>
          <t>502</t>
        </is>
      </c>
      <c r="C165" s="37" t="inlineStr">
        <is>
          <t>FF31682 ORFS to Straight Thread</t>
        </is>
      </c>
      <c r="D165" s="37" t="inlineStr">
        <is>
          <t>ORFS</t>
        </is>
      </c>
      <c r="E165" s="37" t="inlineStr">
        <is>
          <t>Tee</t>
        </is>
      </c>
      <c r="F165" s="37" t="inlineStr">
        <is>
          <t>https://parts.air-way.com/hydraulic-fittings/o-ring-face-seal-orfs-hydraulic-fittings/tee/ff31682-orfs-to-straight-thread-series-502</t>
        </is>
      </c>
      <c r="G165" s="37" t="inlineStr">
        <is>
          <t>—</t>
        </is>
      </c>
      <c r="H165" s="37" t="inlineStr">
        <is>
          <t>NOT STARTED</t>
        </is>
      </c>
      <c r="I165" s="37" t="n"/>
      <c r="J165" s="37" t="n">
        <v>7</v>
      </c>
      <c r="K165" s="37" t="n"/>
    </row>
    <row r="166" ht="15" customHeight="1" s="35">
      <c r="A166" s="37" t="inlineStr">
        <is>
          <t>318</t>
        </is>
      </c>
      <c r="B166" s="37" t="inlineStr">
        <is>
          <t>528</t>
        </is>
      </c>
      <c r="C166" s="37" t="inlineStr">
        <is>
          <t>MFF318 Tube Nut</t>
        </is>
      </c>
      <c r="D166" s="37" t="inlineStr">
        <is>
          <t>International &amp; Metric</t>
        </is>
      </c>
      <c r="E166" s="37" t="inlineStr">
        <is>
          <t>ORFS metric</t>
        </is>
      </c>
      <c r="F166" s="37" t="inlineStr">
        <is>
          <t>https://parts.air-way.com/hydraulic-fittings/international-metric/orfs-metric/mff318-tube-nut-series-528</t>
        </is>
      </c>
      <c r="G166" s="37" t="inlineStr">
        <is>
          <t>SAE J1453-2 52M0110A</t>
        </is>
      </c>
      <c r="H166" s="37" t="inlineStr">
        <is>
          <t>NOT STARTED</t>
        </is>
      </c>
      <c r="I166" s="37" t="n"/>
      <c r="J166" s="37" t="n">
        <v>7</v>
      </c>
      <c r="K166" s="37" t="n"/>
    </row>
    <row r="167" ht="15" customHeight="1" s="35">
      <c r="A167" s="37" t="inlineStr">
        <is>
          <t>318</t>
        </is>
      </c>
      <c r="B167" s="37" t="inlineStr">
        <is>
          <t>47</t>
        </is>
      </c>
      <c r="C167" s="37" t="inlineStr">
        <is>
          <t>318 JIC Nut</t>
        </is>
      </c>
      <c r="D167" s="37" t="inlineStr">
        <is>
          <t>JIC 37 &amp; Beaded Hose</t>
        </is>
      </c>
      <c r="E167" s="37" t="inlineStr">
        <is>
          <t>Tube Nuts</t>
        </is>
      </c>
      <c r="F167" s="37" t="inlineStr">
        <is>
          <t>https://parts.air-way.com/hydraulic-fittings/jic-and-beaded-hose-fittings/tube-nuts/318-jic-nut-series-47</t>
        </is>
      </c>
      <c r="G167" s="37" t="inlineStr">
        <is>
          <t>SAE J514 070110 / MS51531</t>
        </is>
      </c>
      <c r="H167" s="37" t="inlineStr">
        <is>
          <t>TABLED</t>
        </is>
      </c>
      <c r="I167" s="37" t="n"/>
      <c r="J167" s="37" t="n">
        <v>13</v>
      </c>
      <c r="K167" s="37" t="inlineStr">
        <is>
          <t>TABLED 2026-09-23: double-pass extraction 13 rows (sheet said 13); DesignTable_0318.xlsx; scope vs OMi feed: 12 BUILD / 1 DROP / 0 OMi-only (0 differ only by -FG); 1 source anomaly note(s) in 07_RAW_EXTRACTS/airway_anomalies_2026-09-23.txt</t>
        </is>
      </c>
    </row>
    <row r="168" ht="15" customHeight="1" s="35">
      <c r="A168" s="37" t="inlineStr">
        <is>
          <t>318</t>
        </is>
      </c>
      <c r="B168" s="37" t="inlineStr">
        <is>
          <t>5</t>
        </is>
      </c>
      <c r="C168" s="37" t="inlineStr">
        <is>
          <t>FF318 Tube Nut</t>
        </is>
      </c>
      <c r="D168" s="37" t="inlineStr">
        <is>
          <t>ORFS</t>
        </is>
      </c>
      <c r="E168" s="37" t="inlineStr">
        <is>
          <t>Nut</t>
        </is>
      </c>
      <c r="F168" s="37" t="inlineStr">
        <is>
          <t>https://parts.air-way.com/hydraulic-fittings/o-ring-face-seal-orfs-hydraulic-fittings/nut/ff318-tube-nut-series-5</t>
        </is>
      </c>
      <c r="G168" s="37" t="inlineStr">
        <is>
          <t>SAE J1453 520110</t>
        </is>
      </c>
      <c r="H168" s="37" t="inlineStr">
        <is>
          <t>NOT STARTED</t>
        </is>
      </c>
      <c r="I168" s="37" t="n"/>
      <c r="J168" s="37" t="n">
        <v>9</v>
      </c>
      <c r="K168" s="37" t="n"/>
    </row>
    <row r="169" ht="15" customHeight="1" s="35">
      <c r="A169" s="37" t="inlineStr">
        <is>
          <t>318</t>
        </is>
      </c>
      <c r="B169" s="37" t="inlineStr">
        <is>
          <t>223</t>
        </is>
      </c>
      <c r="C169" s="37" t="inlineStr">
        <is>
          <t>SS318 Tube Nut series</t>
        </is>
      </c>
      <c r="D169" s="37" t="inlineStr">
        <is>
          <t>Stainless Steel Fittings</t>
        </is>
      </c>
      <c r="E169" s="37" t="inlineStr">
        <is>
          <t>Nut</t>
        </is>
      </c>
      <c r="F169" s="37" t="inlineStr">
        <is>
          <t>https://parts.air-way.com/hydraulic-fittings/stainless-steel-hydraulic-fittings/nut/ss318-tube-nut-series-223</t>
        </is>
      </c>
      <c r="G169" s="37" t="inlineStr">
        <is>
          <t>SAE J514 070110 / MS51531</t>
        </is>
      </c>
      <c r="H169" s="37" t="inlineStr">
        <is>
          <t>NOT STARTED</t>
        </is>
      </c>
      <c r="I169" s="37" t="n"/>
      <c r="J169" s="37" t="n">
        <v>13</v>
      </c>
      <c r="K169" s="37" t="n"/>
    </row>
    <row r="170" ht="15" customHeight="1" s="35">
      <c r="A170" s="37" t="inlineStr">
        <is>
          <t>31831</t>
        </is>
      </c>
      <c r="B170" s="37" t="inlineStr">
        <is>
          <t>501</t>
        </is>
      </c>
      <c r="C170" s="37" t="inlineStr">
        <is>
          <t>FF31831 Female Straight Thread to Female ORFS Swivel to Male ORFS End</t>
        </is>
      </c>
      <c r="D170" s="37" t="inlineStr">
        <is>
          <t>ORFS</t>
        </is>
      </c>
      <c r="E170" s="37" t="inlineStr">
        <is>
          <t>Tee</t>
        </is>
      </c>
      <c r="F170" s="37" t="inlineStr">
        <is>
          <t>https://parts.air-way.com/hydraulic-fittings/o-ring-face-seal-orfs-hydraulic-fittings/tee/ff31831-female-straight-thread-to-female-orfs-swivel-to-male-orfs-end-series-501</t>
        </is>
      </c>
      <c r="G170" s="37" t="inlineStr">
        <is>
          <t>SAE J1926-1 / 1453-3</t>
        </is>
      </c>
      <c r="H170" s="37" t="inlineStr">
        <is>
          <t>NOT STARTED</t>
        </is>
      </c>
      <c r="I170" s="37" t="n"/>
      <c r="J170" s="37" t="n">
        <v>2</v>
      </c>
      <c r="K170" s="37" t="n"/>
    </row>
    <row r="171" ht="15" customHeight="1" s="35">
      <c r="A171" s="37" t="inlineStr">
        <is>
          <t>319</t>
        </is>
      </c>
      <c r="B171" s="37" t="inlineStr">
        <is>
          <t>48</t>
        </is>
      </c>
      <c r="C171" s="37" t="inlineStr">
        <is>
          <t>319 Sleeve</t>
        </is>
      </c>
      <c r="D171" s="37" t="inlineStr">
        <is>
          <t>JIC 37 &amp; Beaded Hose</t>
        </is>
      </c>
      <c r="E171" s="37" t="inlineStr">
        <is>
          <t>Tube Sleeves</t>
        </is>
      </c>
      <c r="F171" s="37" t="inlineStr">
        <is>
          <t>https://parts.air-way.com/hydraulic-fittings/jic-and-beaded-hose-fittings/tube-sleeves/319-tube-sleeve-series-48</t>
        </is>
      </c>
      <c r="G171" s="37" t="inlineStr">
        <is>
          <t>SAE J514 070115 / MS51533</t>
        </is>
      </c>
      <c r="H171" s="37" t="inlineStr">
        <is>
          <t>TABLED</t>
        </is>
      </c>
      <c r="I171" s="37" t="n"/>
      <c r="J171" s="37" t="n">
        <v>13</v>
      </c>
      <c r="K171" s="37" t="inlineStr">
        <is>
          <t>TABLED 2026-09-23: double-pass extraction 13 rows (sheet said 13); DesignTable_0319.xlsx; scope vs OMi feed: 12 BUILD / 1 DROP / 0 OMi-only (0 differ only by -FG); 1 source anomaly note(s) in 07_RAW_EXTRACTS/airway_anomalies_2026-09-23.txt</t>
        </is>
      </c>
    </row>
    <row r="172" ht="15" customHeight="1" s="35">
      <c r="A172" s="37" t="inlineStr">
        <is>
          <t>319</t>
        </is>
      </c>
      <c r="B172" s="37" t="inlineStr">
        <is>
          <t>6</t>
        </is>
      </c>
      <c r="C172" s="37" t="inlineStr">
        <is>
          <t>FF319 Tube Sleeve</t>
        </is>
      </c>
      <c r="D172" s="37" t="inlineStr">
        <is>
          <t>ORFS</t>
        </is>
      </c>
      <c r="E172" s="37" t="inlineStr">
        <is>
          <t>Sleeve</t>
        </is>
      </c>
      <c r="F172" s="37" t="inlineStr">
        <is>
          <t>https://parts.air-way.com/hydraulic-fittings/o-ring-face-seal-orfs-hydraulic-fittings/sleeve/ff319-tube-sleeve-series-6</t>
        </is>
      </c>
      <c r="G172" s="37" t="inlineStr">
        <is>
          <t>SAE J1453 520115</t>
        </is>
      </c>
      <c r="H172" s="37" t="inlineStr">
        <is>
          <t>NOT STARTED</t>
        </is>
      </c>
      <c r="I172" s="37" t="n"/>
      <c r="J172" s="37" t="n">
        <v>13</v>
      </c>
      <c r="K172" s="37" t="n"/>
    </row>
    <row r="173" ht="15" customHeight="1" s="35">
      <c r="A173" s="37" t="inlineStr">
        <is>
          <t>319</t>
        </is>
      </c>
      <c r="B173" s="37" t="inlineStr">
        <is>
          <t>224</t>
        </is>
      </c>
      <c r="C173" s="37" t="inlineStr">
        <is>
          <t>SS319 Tube Sleeve series</t>
        </is>
      </c>
      <c r="D173" s="37" t="inlineStr">
        <is>
          <t>Stainless Steel Fittings</t>
        </is>
      </c>
      <c r="E173" s="37" t="inlineStr">
        <is>
          <t>Sleeve</t>
        </is>
      </c>
      <c r="F173" s="37" t="inlineStr">
        <is>
          <t>https://parts.air-way.com/hydraulic-fittings/stainless-steel-hydraulic-fittings/sleeve/ss319-tube-sleeve-series-224</t>
        </is>
      </c>
      <c r="G173" s="37" t="inlineStr">
        <is>
          <t>SAE J514 070115 / MS51533</t>
        </is>
      </c>
      <c r="H173" s="37" t="inlineStr">
        <is>
          <t>NOT STARTED</t>
        </is>
      </c>
      <c r="I173" s="37" t="n"/>
      <c r="J173" s="37" t="n">
        <v>13</v>
      </c>
      <c r="K173" s="37" t="n"/>
    </row>
    <row r="174" ht="15" customHeight="1" s="35">
      <c r="A174" s="37" t="inlineStr">
        <is>
          <t>320</t>
        </is>
      </c>
      <c r="B174" s="37" t="inlineStr">
        <is>
          <t>7</t>
        </is>
      </c>
      <c r="C174" s="37" t="inlineStr">
        <is>
          <t>FF320 Tube Sleeve</t>
        </is>
      </c>
      <c r="D174" s="37" t="inlineStr">
        <is>
          <t>ORFS</t>
        </is>
      </c>
      <c r="E174" s="37" t="inlineStr">
        <is>
          <t>Sleeve</t>
        </is>
      </c>
      <c r="F174" s="37" t="inlineStr">
        <is>
          <t>https://parts.air-way.com/hydraulic-fittings/o-ring-face-seal-orfs-hydraulic-fittings/sleeve/ff320-tube-sleeve-series-7</t>
        </is>
      </c>
      <c r="G174" s="37" t="inlineStr">
        <is>
          <t>—</t>
        </is>
      </c>
      <c r="H174" s="37" t="inlineStr">
        <is>
          <t>NOT STARTED</t>
        </is>
      </c>
      <c r="I174" s="37" t="n"/>
      <c r="J174" s="37" t="n">
        <v>6</v>
      </c>
      <c r="K174" s="37" t="n"/>
    </row>
    <row r="175" ht="15" customHeight="1" s="35">
      <c r="A175" s="37" t="inlineStr">
        <is>
          <t>3220</t>
        </is>
      </c>
      <c r="B175" s="37" t="inlineStr">
        <is>
          <t>435</t>
        </is>
      </c>
      <c r="C175" s="37" t="inlineStr">
        <is>
          <t>Brass - 3220 Pipe Reducer Bushing series</t>
        </is>
      </c>
      <c r="D175" s="37" t="inlineStr">
        <is>
          <t>Brass Fittings</t>
        </is>
      </c>
      <c r="E175" s="37" t="inlineStr">
        <is>
          <t>Straight</t>
        </is>
      </c>
      <c r="F175" s="37" t="inlineStr">
        <is>
          <t>https://parts.air-way.com/hydraulic-fittings/brass-hydraulic-fittings/straight/brass-3220-pipe-reducer-bushing-series-435</t>
        </is>
      </c>
      <c r="G175" s="37" t="inlineStr">
        <is>
          <t>none</t>
        </is>
      </c>
      <c r="H175" s="37" t="inlineStr">
        <is>
          <t>NOT STARTED</t>
        </is>
      </c>
      <c r="I175" s="37" t="n"/>
      <c r="J175" s="37" t="n">
        <v>6</v>
      </c>
      <c r="K175" s="37" t="n"/>
    </row>
    <row r="176" ht="15" customHeight="1" s="35">
      <c r="A176" s="37" t="inlineStr">
        <is>
          <t>3300</t>
        </is>
      </c>
      <c r="B176" s="37" t="inlineStr">
        <is>
          <t>75</t>
        </is>
      </c>
      <c r="C176" s="37" t="inlineStr">
        <is>
          <t>3300-61 Braze Code 61 Flanged Head</t>
        </is>
      </c>
      <c r="D176" s="37" t="inlineStr">
        <is>
          <t>JIC 37 &amp; Beaded Hose</t>
        </is>
      </c>
      <c r="E176" s="37" t="inlineStr">
        <is>
          <t>Straight</t>
        </is>
      </c>
      <c r="F176" s="37" t="inlineStr">
        <is>
          <t>https://parts.air-way.com/hydraulic-fittings/jic-and-beaded-hose-fittings/straight/3300-61-braze-code-61-flanged-head-series-75</t>
        </is>
      </c>
      <c r="G176" s="37" t="inlineStr">
        <is>
          <t>none shown</t>
        </is>
      </c>
      <c r="H176" s="37" t="inlineStr">
        <is>
          <t>NOT STARTED</t>
        </is>
      </c>
      <c r="I176" s="37" t="n"/>
      <c r="J176" s="37" t="n">
        <v>4</v>
      </c>
      <c r="K176" s="37" t="n"/>
    </row>
    <row r="177" ht="15" customHeight="1" s="35">
      <c r="A177" s="37" t="inlineStr">
        <is>
          <t>3500</t>
        </is>
      </c>
      <c r="B177" s="37" t="inlineStr">
        <is>
          <t>425</t>
        </is>
      </c>
      <c r="C177" s="37" t="inlineStr">
        <is>
          <t>Brass - 3500F 90 Degree Female Pipe Elbow series</t>
        </is>
      </c>
      <c r="D177" s="37" t="inlineStr">
        <is>
          <t>Brass Fittings</t>
        </is>
      </c>
      <c r="E177" s="37" t="inlineStr">
        <is>
          <t>90°</t>
        </is>
      </c>
      <c r="F177" s="37" t="inlineStr">
        <is>
          <t>https://parts.air-way.com/hydraulic-fittings/brass-hydraulic-fittings/90/brass-3500f-90-degree-female-pipe-elbow-series-425</t>
        </is>
      </c>
      <c r="G177" s="37" t="inlineStr">
        <is>
          <t>none</t>
        </is>
      </c>
      <c r="H177" s="37" t="inlineStr">
        <is>
          <t>NOT STARTED</t>
        </is>
      </c>
      <c r="I177" s="37" t="n"/>
      <c r="J177" s="37" t="n">
        <v>2</v>
      </c>
      <c r="K177" s="37" t="n"/>
    </row>
    <row r="178" ht="15" customHeight="1" s="35">
      <c r="A178" s="37" t="inlineStr">
        <is>
          <t>3838</t>
        </is>
      </c>
      <c r="B178" s="37" t="inlineStr">
        <is>
          <t>508</t>
        </is>
      </c>
      <c r="C178" s="37" t="inlineStr">
        <is>
          <t>3838 45 DEGREE</t>
        </is>
      </c>
      <c r="D178" s="37" t="inlineStr">
        <is>
          <t>JIC 37 &amp; Beaded Hose</t>
        </is>
      </c>
      <c r="E178" s="37" t="inlineStr">
        <is>
          <t>45°</t>
        </is>
      </c>
      <c r="F178" s="37" t="inlineStr">
        <is>
          <t>https://parts.air-way.com/hydraulic-fittings/jic-and-beaded-hose-fittings/45/3838-45-degree-series-508</t>
        </is>
      </c>
      <c r="G178" s="37" t="inlineStr">
        <is>
          <t>SAE J1926-3 to SAE J514</t>
        </is>
      </c>
      <c r="H178" s="37" t="inlineStr">
        <is>
          <t>NOT STARTED</t>
        </is>
      </c>
      <c r="I178" s="37" t="n"/>
      <c r="J178" s="37" t="n">
        <v>4</v>
      </c>
      <c r="K178" s="37" t="n"/>
    </row>
    <row r="179" ht="15" customHeight="1" s="35">
      <c r="A179" s="37" t="inlineStr">
        <is>
          <t>403</t>
        </is>
      </c>
      <c r="B179" s="37" t="inlineStr">
        <is>
          <t>319</t>
        </is>
      </c>
      <c r="C179" s="37" t="inlineStr">
        <is>
          <t>F403 Braze Tube Union</t>
        </is>
      </c>
      <c r="D179" s="37" t="inlineStr">
        <is>
          <t>FLARE-O</t>
        </is>
      </c>
      <c r="E179" s="37" t="inlineStr">
        <is>
          <t>Straight</t>
        </is>
      </c>
      <c r="F179" s="37" t="inlineStr">
        <is>
          <t>https://parts.air-way.com/hydraulic-fittings/flare-o-hydraulic-fittings/straight/f403-braze-tube-union-series-319</t>
        </is>
      </c>
      <c r="G179" s="37" t="inlineStr">
        <is>
          <t>none shown</t>
        </is>
      </c>
      <c r="H179" s="37" t="inlineStr">
        <is>
          <t>NOT STARTED</t>
        </is>
      </c>
      <c r="I179" s="37" t="n"/>
      <c r="J179" s="37" t="n">
        <v>7</v>
      </c>
      <c r="K179" s="37" t="n"/>
    </row>
    <row r="180" ht="15" customHeight="1" s="35">
      <c r="A180" s="37" t="inlineStr">
        <is>
          <t>403</t>
        </is>
      </c>
      <c r="B180" s="37" t="inlineStr">
        <is>
          <t>49</t>
        </is>
      </c>
      <c r="C180" s="37" t="inlineStr">
        <is>
          <t>403 Braze Tube Union</t>
        </is>
      </c>
      <c r="D180" s="37" t="inlineStr">
        <is>
          <t>JIC 37 &amp; Beaded Hose</t>
        </is>
      </c>
      <c r="E180" s="37" t="inlineStr">
        <is>
          <t>Straight</t>
        </is>
      </c>
      <c r="F180" s="37" t="inlineStr">
        <is>
          <t>https://parts.air-way.com/hydraulic-fittings/jic-and-beaded-hose-fittings/straight/403-braze-tube-union-series-49</t>
        </is>
      </c>
      <c r="G180" s="37" t="inlineStr">
        <is>
          <t>none shown</t>
        </is>
      </c>
      <c r="H180" s="37" t="inlineStr">
        <is>
          <t>TABLED</t>
        </is>
      </c>
      <c r="I180" s="37" t="n"/>
      <c r="J180" s="37" t="n">
        <v>34</v>
      </c>
      <c r="K180" s="37" t="inlineStr">
        <is>
          <t>TABLED 2026-09-23: double-pass extraction 34 rows (sheet said 34); DesignTable_0403.xlsx; scope vs OMi feed: 0 BUILD / 34 DROP / 7 OMi-only (7 differ only by -FG); 2 source anomaly note(s) in 07_RAW_EXTRACTS/airway_anomalies_2026-09-23.txt</t>
        </is>
      </c>
    </row>
    <row r="181" ht="15" customHeight="1" s="35">
      <c r="A181" s="37" t="inlineStr">
        <is>
          <t>403</t>
        </is>
      </c>
      <c r="B181" s="37" t="inlineStr">
        <is>
          <t>8</t>
        </is>
      </c>
      <c r="C181" s="37" t="inlineStr">
        <is>
          <t>FF403 Braze Tube Union</t>
        </is>
      </c>
      <c r="D181" s="37" t="inlineStr">
        <is>
          <t>ORFS</t>
        </is>
      </c>
      <c r="E181" s="37" t="inlineStr">
        <is>
          <t>Straight</t>
        </is>
      </c>
      <c r="F181" s="37" t="inlineStr">
        <is>
          <t>https://parts.air-way.com/hydraulic-fittings/o-ring-face-seal-orfs-hydraulic-fittings/straight/ff403-braze-tube-union-series-8</t>
        </is>
      </c>
      <c r="G181" s="37" t="inlineStr">
        <is>
          <t>SAE J1453 520104</t>
        </is>
      </c>
      <c r="H181" s="37" t="inlineStr">
        <is>
          <t>NOT STARTED</t>
        </is>
      </c>
      <c r="I181" s="37" t="n"/>
      <c r="J181" s="37" t="n">
        <v>19</v>
      </c>
      <c r="K181" s="37" t="n"/>
    </row>
    <row r="182" ht="15" customHeight="1" s="35">
      <c r="A182" s="37" t="inlineStr">
        <is>
          <t>403</t>
        </is>
      </c>
      <c r="B182" s="37" t="inlineStr">
        <is>
          <t>225</t>
        </is>
      </c>
      <c r="C182" s="37" t="inlineStr">
        <is>
          <t>SS403 Braze Tube Union series</t>
        </is>
      </c>
      <c r="D182" s="37" t="inlineStr">
        <is>
          <t>Stainless Steel Fittings</t>
        </is>
      </c>
      <c r="E182" s="37" t="inlineStr">
        <is>
          <t>Straight</t>
        </is>
      </c>
      <c r="F182" s="37" t="inlineStr">
        <is>
          <t>https://parts.air-way.com/hydraulic-fittings/stainless-steel-hydraulic-fittings/straight/ss403-braze-tube-union-series-225</t>
        </is>
      </c>
      <c r="G182" s="37" t="inlineStr">
        <is>
          <t>none</t>
        </is>
      </c>
      <c r="H182" s="37" t="inlineStr">
        <is>
          <t>NOT STARTED</t>
        </is>
      </c>
      <c r="I182" s="37" t="n"/>
      <c r="J182" s="37" t="n">
        <v>8</v>
      </c>
      <c r="K182" s="37" t="n"/>
    </row>
    <row r="183" ht="15" customHeight="1" s="35">
      <c r="A183" s="37" t="inlineStr">
        <is>
          <t>403-L</t>
        </is>
      </c>
      <c r="B183" s="37" t="inlineStr">
        <is>
          <t>50</t>
        </is>
      </c>
      <c r="C183" s="37" t="inlineStr">
        <is>
          <t>403-L Braze Bulkhead Union</t>
        </is>
      </c>
      <c r="D183" s="37" t="inlineStr">
        <is>
          <t>JIC 37 &amp; Beaded Hose</t>
        </is>
      </c>
      <c r="E183" s="37" t="inlineStr">
        <is>
          <t>Straight</t>
        </is>
      </c>
      <c r="F183" s="37" t="inlineStr">
        <is>
          <t>https://parts.air-way.com/hydraulic-fittings/jic-and-beaded-hose-fittings/straight/403-l-braze-bulkhead-union-series-50</t>
        </is>
      </c>
      <c r="G183" s="37" t="inlineStr">
        <is>
          <t>none shown</t>
        </is>
      </c>
      <c r="H183" s="37" t="inlineStr">
        <is>
          <t>NOT STARTED</t>
        </is>
      </c>
      <c r="I183" s="37" t="n"/>
      <c r="J183" s="37" t="n">
        <v>3</v>
      </c>
      <c r="K183" s="37" t="n"/>
    </row>
    <row r="184" ht="15" customHeight="1" s="35">
      <c r="A184" s="37" t="inlineStr">
        <is>
          <t>404</t>
        </is>
      </c>
      <c r="B184" s="37" t="inlineStr">
        <is>
          <t>51</t>
        </is>
      </c>
      <c r="C184" s="37" t="inlineStr">
        <is>
          <t>404 Male Pipe Union</t>
        </is>
      </c>
      <c r="D184" s="37" t="inlineStr">
        <is>
          <t>JIC 37 &amp; Beaded Hose</t>
        </is>
      </c>
      <c r="E184" s="37" t="inlineStr">
        <is>
          <t>Straight</t>
        </is>
      </c>
      <c r="F184" s="37" t="inlineStr">
        <is>
          <t>https://parts.air-way.com/hydraulic-fittings/jic-and-beaded-hose-fittings/straight/404-male-pipe-union-series-51</t>
        </is>
      </c>
      <c r="G184" s="37" t="inlineStr">
        <is>
          <t>none shown</t>
        </is>
      </c>
      <c r="H184" s="37" t="inlineStr">
        <is>
          <t>NOT STARTED</t>
        </is>
      </c>
      <c r="I184" s="37" t="n"/>
      <c r="J184" s="37" t="n">
        <v>10</v>
      </c>
      <c r="K184" s="37" t="n"/>
    </row>
    <row r="185" ht="15" customHeight="1" s="35">
      <c r="A185" s="37" t="inlineStr">
        <is>
          <t>404</t>
        </is>
      </c>
      <c r="B185" s="37" t="inlineStr">
        <is>
          <t>226</t>
        </is>
      </c>
      <c r="C185" s="37" t="inlineStr">
        <is>
          <t>SS404 Braze Male Pipe Union series</t>
        </is>
      </c>
      <c r="D185" s="37" t="inlineStr">
        <is>
          <t>Stainless Steel Fittings</t>
        </is>
      </c>
      <c r="E185" s="37" t="inlineStr">
        <is>
          <t>Straight</t>
        </is>
      </c>
      <c r="F185" s="37" t="inlineStr">
        <is>
          <t>https://parts.air-way.com/hydraulic-fittings/stainless-steel-hydraulic-fittings/straight/ss404-braze-male-pipe-union-series-226</t>
        </is>
      </c>
      <c r="G185" s="37" t="inlineStr">
        <is>
          <t>none</t>
        </is>
      </c>
      <c r="H185" s="37" t="inlineStr">
        <is>
          <t>NOT STARTED</t>
        </is>
      </c>
      <c r="I185" s="37" t="n"/>
      <c r="J185" s="37" t="n">
        <v>1</v>
      </c>
      <c r="K185" s="37" t="n"/>
    </row>
    <row r="186" ht="15" customHeight="1" s="35">
      <c r="A186" s="37" t="inlineStr">
        <is>
          <t>4305</t>
        </is>
      </c>
      <c r="B186" s="37" t="inlineStr">
        <is>
          <t>77</t>
        </is>
      </c>
      <c r="C186" s="37" t="inlineStr">
        <is>
          <t>4305 Barbed Hose/37° Female Swivel Connector</t>
        </is>
      </c>
      <c r="D186" s="37" t="inlineStr">
        <is>
          <t>JIC 37 &amp; Beaded Hose</t>
        </is>
      </c>
      <c r="E186" s="37" t="inlineStr">
        <is>
          <t>Straight</t>
        </is>
      </c>
      <c r="F186" s="37" t="inlineStr">
        <is>
          <t>https://parts.air-way.com/hydraulic-fittings/jic-and-beaded-hose-fittings/straight/4305-barbed-hose-37-female-swivel-connector-series-77</t>
        </is>
      </c>
      <c r="G186" s="37" t="inlineStr">
        <is>
          <t>none shown</t>
        </is>
      </c>
      <c r="H186" s="37" t="inlineStr">
        <is>
          <t>NOT STARTED</t>
        </is>
      </c>
      <c r="I186" s="37" t="n"/>
      <c r="J186" s="37" t="n">
        <v>5</v>
      </c>
      <c r="K186" s="37" t="n"/>
    </row>
    <row r="187" ht="15" customHeight="1" s="35">
      <c r="A187" s="37" t="inlineStr">
        <is>
          <t>4404</t>
        </is>
      </c>
      <c r="B187" s="37" t="inlineStr">
        <is>
          <t>78</t>
        </is>
      </c>
      <c r="C187" s="37" t="inlineStr">
        <is>
          <t>4404 Male Pipe Thread Hose Connector</t>
        </is>
      </c>
      <c r="D187" s="37" t="inlineStr">
        <is>
          <t>JIC 37 &amp; Beaded Hose</t>
        </is>
      </c>
      <c r="E187" s="37" t="inlineStr">
        <is>
          <t>Straight</t>
        </is>
      </c>
      <c r="F187" s="37" t="inlineStr">
        <is>
          <t>https://parts.air-way.com/hydraulic-fittings/jic-and-beaded-hose-fittings/straight/4404-male-pipe-thread-hose-connector-series-78</t>
        </is>
      </c>
      <c r="G187" s="37" t="inlineStr">
        <is>
          <t>SAE J1231 430160</t>
        </is>
      </c>
      <c r="H187" s="37" t="inlineStr">
        <is>
          <t>TABLED</t>
        </is>
      </c>
      <c r="I187" s="37" t="n"/>
      <c r="J187" s="37" t="n">
        <v>34</v>
      </c>
      <c r="K187" s="37" t="inlineStr">
        <is>
          <t>TABLED 2026-09-23: double-pass extraction 33 rows (sheet said 34); DesignTable_4404.xlsx; scope vs OMi feed: 13 BUILD / 20 DROP / 0 OMi-only (0 differ only by -FG); 2 source anomaly note(s) in 07_RAW_EXTRACTS/airway_anomalies_2026-09-23.txt</t>
        </is>
      </c>
    </row>
    <row r="188" ht="15" customHeight="1" s="35">
      <c r="A188" s="37" t="inlineStr">
        <is>
          <t>4404</t>
        </is>
      </c>
      <c r="B188" s="37" t="inlineStr">
        <is>
          <t>241</t>
        </is>
      </c>
      <c r="C188" s="37" t="inlineStr">
        <is>
          <t>SS4404 Male Pipe Thread Hose Connector series</t>
        </is>
      </c>
      <c r="D188" s="37" t="inlineStr">
        <is>
          <t>Stainless Steel Fittings</t>
        </is>
      </c>
      <c r="E188" s="37" t="inlineStr">
        <is>
          <t>Straight</t>
        </is>
      </c>
      <c r="F188" s="37" t="inlineStr">
        <is>
          <t>https://parts.air-way.com/hydraulic-fittings/stainless-steel-hydraulic-fittings/straight/ss4404-male-pipe-thread-hose-connector-series-241</t>
        </is>
      </c>
      <c r="G188" s="37" t="inlineStr">
        <is>
          <t>SAE J1231 430160</t>
        </is>
      </c>
      <c r="H188" s="37" t="inlineStr">
        <is>
          <t>NOT STARTED</t>
        </is>
      </c>
      <c r="I188" s="37" t="n"/>
      <c r="J188" s="37" t="n">
        <v>10</v>
      </c>
      <c r="K188" s="37" t="n"/>
    </row>
    <row r="189" ht="15" customHeight="1" s="35">
      <c r="A189" s="37" t="inlineStr">
        <is>
          <t>4501</t>
        </is>
      </c>
      <c r="B189" s="37" t="inlineStr">
        <is>
          <t>125</t>
        </is>
      </c>
      <c r="C189" s="37" t="inlineStr">
        <is>
          <t>4501 90° Male Pipe Hose Fitting</t>
        </is>
      </c>
      <c r="D189" s="37" t="inlineStr">
        <is>
          <t>JIC 37 &amp; Beaded Hose</t>
        </is>
      </c>
      <c r="E189" s="37" t="inlineStr">
        <is>
          <t>90°</t>
        </is>
      </c>
      <c r="F189" s="37" t="inlineStr">
        <is>
          <t>https://parts.air-way.com/hydraulic-fittings/jic-and-beaded-hose-fittings/90/4501-90-male-pipe-hose-fitting-series-125</t>
        </is>
      </c>
      <c r="G189" s="37" t="inlineStr">
        <is>
          <t>SAE J1231 431460</t>
        </is>
      </c>
      <c r="H189" s="37" t="inlineStr">
        <is>
          <t>TABLED</t>
        </is>
      </c>
      <c r="I189" s="37" t="n"/>
      <c r="J189" s="37" t="n">
        <v>35</v>
      </c>
      <c r="K189" s="37" t="inlineStr">
        <is>
          <t>TABLED 2026-09-23: double-pass extraction 33 rows (sheet said 35); DesignTable_4501.xlsx; scope vs OMi feed: 1 BUILD / 32 DROP / 11 OMi-only (11 differ only by -FG); 1 source anomaly note(s) in 07_RAW_EXTRACTS/airway_anomalies_2026-09-23.txt</t>
        </is>
      </c>
    </row>
    <row r="190" ht="15" customHeight="1" s="35">
      <c r="A190" s="37" t="inlineStr">
        <is>
          <t>4501</t>
        </is>
      </c>
      <c r="B190" s="37" t="inlineStr">
        <is>
          <t>548</t>
        </is>
      </c>
      <c r="C190" s="37" t="inlineStr">
        <is>
          <t>SS4501 90º Male Pipe Hose Fitting series</t>
        </is>
      </c>
      <c r="D190" s="37" t="inlineStr">
        <is>
          <t>Stainless Steel Fittings</t>
        </is>
      </c>
      <c r="E190" s="37" t="inlineStr">
        <is>
          <t>90°</t>
        </is>
      </c>
      <c r="F190" s="37" t="inlineStr">
        <is>
          <t>https://parts.air-way.com/hydraulic-fittings/stainless-steel-hydraulic-fittings/90/ss4501-90º-male-pipe-hose-fitting-series-548</t>
        </is>
      </c>
      <c r="G190" s="37" t="inlineStr">
        <is>
          <t>none (SAE Code field empty)</t>
        </is>
      </c>
      <c r="H190" s="37" t="inlineStr">
        <is>
          <t>NOT STARTED</t>
        </is>
      </c>
      <c r="I190" s="37" t="n"/>
      <c r="J190" s="37" t="n">
        <v>9</v>
      </c>
      <c r="K190" s="37" t="n"/>
    </row>
    <row r="191" ht="15" customHeight="1" s="35">
      <c r="A191" s="37" t="inlineStr">
        <is>
          <t>4503</t>
        </is>
      </c>
      <c r="B191" s="37" t="inlineStr">
        <is>
          <t>151</t>
        </is>
      </c>
      <c r="C191" s="37" t="inlineStr">
        <is>
          <t>4503 45° Male Pipe Hose Fitting</t>
        </is>
      </c>
      <c r="D191" s="37" t="inlineStr">
        <is>
          <t>JIC 37 &amp; Beaded Hose</t>
        </is>
      </c>
      <c r="E191" s="37" t="inlineStr">
        <is>
          <t>45°</t>
        </is>
      </c>
      <c r="F191" s="37" t="inlineStr">
        <is>
          <t>https://parts.air-way.com/hydraulic-fittings/jic-and-beaded-hose-fittings/45/4503-45-male-pipe-hose-fitting-series-151</t>
        </is>
      </c>
      <c r="G191" s="37" t="inlineStr">
        <is>
          <t>SAE J1231 430360</t>
        </is>
      </c>
      <c r="H191" s="37" t="inlineStr">
        <is>
          <t>TABLED</t>
        </is>
      </c>
      <c r="I191" s="37" t="n"/>
      <c r="J191" s="37" t="n">
        <v>25</v>
      </c>
      <c r="K191" s="37" t="inlineStr">
        <is>
          <t>TABLED 2026-09-23: double-pass extraction 25 rows (sheet said 25); DesignTable_4503.xlsx; scope vs OMi feed: 0 BUILD / 25 DROP / 7 OMi-only (7 differ only by -FG); 1 source anomaly note(s) in 07_RAW_EXTRACTS/airway_anomalies_2026-09-23.txt</t>
        </is>
      </c>
    </row>
    <row r="192" ht="15" customHeight="1" s="35">
      <c r="A192" s="37" t="inlineStr">
        <is>
          <t>4503</t>
        </is>
      </c>
      <c r="B192" s="37" t="inlineStr">
        <is>
          <t>550</t>
        </is>
      </c>
      <c r="C192" s="37" t="inlineStr">
        <is>
          <t>SS4503 45º Degree Male Pipe Hose Fitting series</t>
        </is>
      </c>
      <c r="D192" s="37" t="inlineStr">
        <is>
          <t>Stainless Steel Fittings</t>
        </is>
      </c>
      <c r="E192" s="37" t="inlineStr">
        <is>
          <t>45°</t>
        </is>
      </c>
      <c r="F192" s="37" t="inlineStr">
        <is>
          <t>https://parts.air-way.com/hydraulic-fittings/stainless-steel-hydraulic-fittings/45/ss4503-45º-degree-male-pipe-hose-fitting-series-550</t>
        </is>
      </c>
      <c r="G192" s="37" t="inlineStr">
        <is>
          <t>SS J1231 430360 (as printed)</t>
        </is>
      </c>
      <c r="H192" s="37" t="inlineStr">
        <is>
          <t>NOT STARTED</t>
        </is>
      </c>
      <c r="I192" s="37" t="n"/>
      <c r="J192" s="37" t="n">
        <v>6</v>
      </c>
      <c r="K192" s="37" t="n"/>
    </row>
    <row r="193" ht="15" customHeight="1" s="35">
      <c r="A193" s="37" t="inlineStr">
        <is>
          <t>4504</t>
        </is>
      </c>
      <c r="B193" s="37" t="inlineStr">
        <is>
          <t>184</t>
        </is>
      </c>
      <c r="C193" s="37" t="inlineStr">
        <is>
          <t>4504 Beaded Hose Fitting Tee</t>
        </is>
      </c>
      <c r="D193" s="37" t="inlineStr">
        <is>
          <t>JIC 37 &amp; Beaded Hose</t>
        </is>
      </c>
      <c r="E193" s="37" t="inlineStr">
        <is>
          <t>Tee</t>
        </is>
      </c>
      <c r="F193" s="37" t="inlineStr">
        <is>
          <t>https://parts.air-way.com/hydraulic-fittings/jic-and-beaded-hose-fittings/tee/4504-beaded-hose-fitting-tee-series-184</t>
        </is>
      </c>
      <c r="G193" s="37" t="inlineStr">
        <is>
          <t>none shown</t>
        </is>
      </c>
      <c r="H193" s="37" t="inlineStr">
        <is>
          <t>NOT STARTED</t>
        </is>
      </c>
      <c r="I193" s="37" t="n"/>
      <c r="J193" s="37" t="n">
        <v>24</v>
      </c>
      <c r="K193" s="37" t="n"/>
    </row>
    <row r="194" ht="15" customHeight="1" s="35">
      <c r="A194" s="37" t="inlineStr">
        <is>
          <t>4505</t>
        </is>
      </c>
      <c r="B194" s="37" t="inlineStr">
        <is>
          <t>185</t>
        </is>
      </c>
      <c r="C194" s="37" t="inlineStr">
        <is>
          <t>4505 Male Pipe Run Hose Fitting Tee</t>
        </is>
      </c>
      <c r="D194" s="37" t="inlineStr">
        <is>
          <t>JIC 37 &amp; Beaded Hose</t>
        </is>
      </c>
      <c r="E194" s="37" t="inlineStr">
        <is>
          <t>Tee</t>
        </is>
      </c>
      <c r="F194" s="37" t="inlineStr">
        <is>
          <t>https://parts.air-way.com/hydraulic-fittings/jic-and-beaded-hose-fittings/tee/4505-male-pipe-run-hose-fitting-tee-series-185</t>
        </is>
      </c>
      <c r="G194" s="37" t="inlineStr">
        <is>
          <t>none shown</t>
        </is>
      </c>
      <c r="H194" s="37" t="inlineStr">
        <is>
          <t>NOT STARTED</t>
        </is>
      </c>
      <c r="I194" s="37" t="n"/>
      <c r="J194" s="37" t="n">
        <v>1</v>
      </c>
      <c r="K194" s="37" t="n"/>
    </row>
    <row r="195" ht="15" customHeight="1" s="35">
      <c r="A195" s="37" t="inlineStr">
        <is>
          <t>4601</t>
        </is>
      </c>
      <c r="B195" s="37" t="inlineStr">
        <is>
          <t>505</t>
        </is>
      </c>
      <c r="C195" s="37" t="inlineStr">
        <is>
          <t>M4601 90 Degree Straight Thread Hose Fitting</t>
        </is>
      </c>
      <c r="D195" s="37" t="inlineStr">
        <is>
          <t>International &amp; Metric</t>
        </is>
      </c>
      <c r="E195" s="37" t="inlineStr">
        <is>
          <t>Metric</t>
        </is>
      </c>
      <c r="F195" s="37" t="inlineStr">
        <is>
          <t>https://parts.air-way.com/hydraulic-fittings/international-metric/metric/m4601-90-degree-straight-thread-hose-fitting-series-505</t>
        </is>
      </c>
      <c r="G195" s="37" t="inlineStr">
        <is>
          <t>SAE J1231, SAE J2244-3, ISO 6149-3</t>
        </is>
      </c>
      <c r="H195" s="37" t="inlineStr">
        <is>
          <t>NOT STARTED</t>
        </is>
      </c>
      <c r="I195" s="37" t="n"/>
      <c r="J195" s="37" t="n">
        <v>10</v>
      </c>
      <c r="K195" s="37" t="n"/>
    </row>
    <row r="196" ht="15" customHeight="1" s="35">
      <c r="A196" s="37" t="inlineStr">
        <is>
          <t>4601</t>
        </is>
      </c>
      <c r="B196" s="37" t="inlineStr">
        <is>
          <t>126</t>
        </is>
      </c>
      <c r="C196" s="37" t="inlineStr">
        <is>
          <t>4601 90° Straight Thread Hose Fitting</t>
        </is>
      </c>
      <c r="D196" s="37" t="inlineStr">
        <is>
          <t>JIC 37 &amp; Beaded Hose</t>
        </is>
      </c>
      <c r="E196" s="37" t="inlineStr">
        <is>
          <t>90°</t>
        </is>
      </c>
      <c r="F196" s="37" t="inlineStr">
        <is>
          <t>https://parts.air-way.com/hydraulic-fittings/jic-and-beaded-hose-fittings/90/4601-90-straight-thread-hose-fitting-series-126</t>
        </is>
      </c>
      <c r="G196" s="37" t="inlineStr">
        <is>
          <t>SAE J1231 431492</t>
        </is>
      </c>
      <c r="H196" s="37" t="inlineStr">
        <is>
          <t>TABLED</t>
        </is>
      </c>
      <c r="I196" s="37" t="n"/>
      <c r="J196" s="37" t="n">
        <v>43</v>
      </c>
      <c r="K196" s="37" t="inlineStr">
        <is>
          <t>TABLED 2026-09-23: double-pass extraction 42 rows (sheet said 43); DesignTable_4601.xlsx; scope vs OMi feed: 6 BUILD / 36 DROP / 9 OMi-only (9 differ only by -FG); 1 source anomaly note(s) in 07_RAW_EXTRACTS/airway_anomalies_2026-09-23.txt</t>
        </is>
      </c>
    </row>
    <row r="197" ht="15" customHeight="1" s="35">
      <c r="A197" s="37" t="inlineStr">
        <is>
          <t>4601</t>
        </is>
      </c>
      <c r="B197" s="37" t="inlineStr">
        <is>
          <t>484</t>
        </is>
      </c>
      <c r="C197" s="37" t="inlineStr">
        <is>
          <t>SS4601 90 Degree Straight Thread Hose Fitting series</t>
        </is>
      </c>
      <c r="D197" s="37" t="inlineStr">
        <is>
          <t>Stainless Steel Fittings</t>
        </is>
      </c>
      <c r="E197" s="37" t="inlineStr">
        <is>
          <t>90°</t>
        </is>
      </c>
      <c r="F197" s="37" t="inlineStr">
        <is>
          <t>https://parts.air-way.com/hydraulic-fittings/stainless-steel-hydraulic-fittings/90/ss4601-90-degree-straight-thread-hose-fitting-series-484</t>
        </is>
      </c>
      <c r="G197" s="37" t="inlineStr">
        <is>
          <t>SAE J1231 431492</t>
        </is>
      </c>
      <c r="H197" s="37" t="inlineStr">
        <is>
          <t>NOT STARTED</t>
        </is>
      </c>
      <c r="I197" s="37" t="n"/>
      <c r="J197" s="37" t="n">
        <v>9</v>
      </c>
      <c r="K197" s="37" t="n"/>
    </row>
    <row r="198" ht="15" customHeight="1" s="35">
      <c r="A198" s="37" t="inlineStr">
        <is>
          <t>4603</t>
        </is>
      </c>
      <c r="B198" s="37" t="inlineStr">
        <is>
          <t>152</t>
        </is>
      </c>
      <c r="C198" s="37" t="inlineStr">
        <is>
          <t>4603 45° Straight Thread Hose Fitting</t>
        </is>
      </c>
      <c r="D198" s="37" t="inlineStr">
        <is>
          <t>JIC 37 &amp; Beaded Hose</t>
        </is>
      </c>
      <c r="E198" s="37" t="inlineStr">
        <is>
          <t>45°</t>
        </is>
      </c>
      <c r="F198" s="37" t="inlineStr">
        <is>
          <t>https://parts.air-way.com/hydraulic-fittings/jic-and-beaded-hose-fittings/45/4603-45-straight-thread-hose-fitting-series-152</t>
        </is>
      </c>
      <c r="G198" s="37" t="inlineStr">
        <is>
          <t>SAE J1231 430392</t>
        </is>
      </c>
      <c r="H198" s="37" t="inlineStr">
        <is>
          <t>TABLED</t>
        </is>
      </c>
      <c r="I198" s="37" t="n"/>
      <c r="J198" s="37" t="n">
        <v>34</v>
      </c>
      <c r="K198" s="37" t="inlineStr">
        <is>
          <t>TABLED 2026-09-23: double-pass extraction 33 rows (sheet said 34); DesignTable_4603.xlsx; scope vs OMi feed: 4 BUILD / 29 DROP / 1 OMi-only (1 differ only by -FG); 1 source anomaly note(s) in 07_RAW_EXTRACTS/airway_anomalies_2026-09-23.txt</t>
        </is>
      </c>
    </row>
    <row r="199" ht="15" customHeight="1" s="35">
      <c r="A199" s="37" t="inlineStr">
        <is>
          <t>4604</t>
        </is>
      </c>
      <c r="B199" s="37" t="inlineStr">
        <is>
          <t>441</t>
        </is>
      </c>
      <c r="C199" s="37" t="inlineStr">
        <is>
          <t>M4604 Threaded Straight Fitting, Hose Connector to Stud End</t>
        </is>
      </c>
      <c r="D199" s="37" t="inlineStr">
        <is>
          <t>International &amp; Metric</t>
        </is>
      </c>
      <c r="E199" s="37" t="inlineStr">
        <is>
          <t>Metric</t>
        </is>
      </c>
      <c r="F199" s="37" t="inlineStr">
        <is>
          <t>https://parts.air-way.com/hydraulic-fittings/international-metric/metric/m4604-threaded-straight-fitting-hose-connector-to-stud-end-series-441</t>
        </is>
      </c>
      <c r="G199" s="37" t="inlineStr">
        <is>
          <t>SAE J1231, SAE J2244-2, ISO 6149-2</t>
        </is>
      </c>
      <c r="H199" s="37" t="inlineStr">
        <is>
          <t>NOT STARTED</t>
        </is>
      </c>
      <c r="I199" s="37" t="n"/>
      <c r="J199" s="37" t="n">
        <v>22</v>
      </c>
      <c r="K199" s="37" t="n"/>
    </row>
    <row r="200" ht="15" customHeight="1" s="35">
      <c r="A200" s="37" t="inlineStr">
        <is>
          <t>4604</t>
        </is>
      </c>
      <c r="B200" s="37" t="inlineStr">
        <is>
          <t>79</t>
        </is>
      </c>
      <c r="C200" s="37" t="inlineStr">
        <is>
          <t>4604 Male Straight Thread Hose Connector</t>
        </is>
      </c>
      <c r="D200" s="37" t="inlineStr">
        <is>
          <t>JIC 37 &amp; Beaded Hose</t>
        </is>
      </c>
      <c r="E200" s="37" t="inlineStr">
        <is>
          <t>Straight</t>
        </is>
      </c>
      <c r="F200" s="37" t="inlineStr">
        <is>
          <t>https://parts.air-way.com/hydraulic-fittings/jic-and-beaded-hose-fittings/straight/4604-male-straight-thread-hose-connector-series-79</t>
        </is>
      </c>
      <c r="G200" s="37" t="inlineStr">
        <is>
          <t>SAE J1231 430192</t>
        </is>
      </c>
      <c r="H200" s="37" t="inlineStr">
        <is>
          <t>TABLED</t>
        </is>
      </c>
      <c r="I200" s="37" t="n"/>
      <c r="J200" s="37" t="n">
        <v>38</v>
      </c>
      <c r="K200" s="37" t="inlineStr">
        <is>
          <t>TABLED 2026-09-23: double-pass extraction 38 rows (sheet said 38); DesignTable_4604.xlsx; scope vs OMi feed: 14 BUILD / 24 DROP / 0 OMi-only (0 differ only by -FG); 2 source anomaly note(s) in 07_RAW_EXTRACTS/airway_anomalies_2026-09-23.txt</t>
        </is>
      </c>
    </row>
    <row r="201" ht="15" customHeight="1" s="35">
      <c r="A201" s="37" t="inlineStr">
        <is>
          <t>4604</t>
        </is>
      </c>
      <c r="B201" s="37" t="inlineStr">
        <is>
          <t>529</t>
        </is>
      </c>
      <c r="C201" s="37" t="inlineStr">
        <is>
          <t>SS4604 MALE STRAIGHT THREAD HOSE CONNECTOR series</t>
        </is>
      </c>
      <c r="D201" s="37" t="inlineStr">
        <is>
          <t>Stainless Steel Fittings</t>
        </is>
      </c>
      <c r="E201" s="37" t="inlineStr">
        <is>
          <t>Straight</t>
        </is>
      </c>
      <c r="F201" s="37" t="inlineStr">
        <is>
          <t>https://parts.air-way.com/hydraulic-fittings/stainless-steel-hydraulic-fittings/straight/ss4604-male-straight-thread-hose-connector-series-529</t>
        </is>
      </c>
      <c r="G201" s="37" t="inlineStr">
        <is>
          <t>SAE J1231 430192</t>
        </is>
      </c>
      <c r="H201" s="37" t="inlineStr">
        <is>
          <t>NOT STARTED</t>
        </is>
      </c>
      <c r="I201" s="37" t="n"/>
      <c r="J201" s="37" t="n">
        <v>10</v>
      </c>
      <c r="K201" s="37" t="n"/>
    </row>
    <row r="202" ht="15" customHeight="1" s="35">
      <c r="A202" s="37" t="inlineStr">
        <is>
          <t>4605</t>
        </is>
      </c>
      <c r="B202" s="37" t="inlineStr">
        <is>
          <t>80</t>
        </is>
      </c>
      <c r="C202" s="37" t="inlineStr">
        <is>
          <t>4605 Male Straight Thread Run Hose Connector</t>
        </is>
      </c>
      <c r="D202" s="37" t="inlineStr">
        <is>
          <t>JIC 37 &amp; Beaded Hose</t>
        </is>
      </c>
      <c r="E202" s="37" t="inlineStr">
        <is>
          <t>Tee</t>
        </is>
      </c>
      <c r="F202" s="37" t="inlineStr">
        <is>
          <t>https://parts.air-way.com/hydraulic-fittings/jic-and-beaded-hose-fittings/tee/4605-male-straight-thread-run-hose-connector-series-80</t>
        </is>
      </c>
      <c r="G202" s="37" t="inlineStr">
        <is>
          <t>none shown</t>
        </is>
      </c>
      <c r="H202" s="37" t="inlineStr">
        <is>
          <t>NOT STARTED</t>
        </is>
      </c>
      <c r="I202" s="37" t="n"/>
      <c r="J202" s="37" t="n">
        <v>9</v>
      </c>
      <c r="K202" s="37" t="n"/>
    </row>
    <row r="203" ht="15" customHeight="1" s="35">
      <c r="A203" s="37" t="inlineStr">
        <is>
          <t>4606</t>
        </is>
      </c>
      <c r="B203" s="37" t="inlineStr">
        <is>
          <t>81</t>
        </is>
      </c>
      <c r="C203" s="37" t="inlineStr">
        <is>
          <t>4606 Male Straight Thread Branch Hose</t>
        </is>
      </c>
      <c r="D203" s="37" t="inlineStr">
        <is>
          <t>JIC 37 &amp; Beaded Hose</t>
        </is>
      </c>
      <c r="E203" s="37" t="inlineStr">
        <is>
          <t>Tee</t>
        </is>
      </c>
      <c r="F203" s="37" t="inlineStr">
        <is>
          <t>https://parts.air-way.com/hydraulic-fittings/jic-and-beaded-hose-fittings/tee/4606-male-straight-thread-branch-hose-series-81</t>
        </is>
      </c>
      <c r="G203" s="37" t="inlineStr">
        <is>
          <t>none shown</t>
        </is>
      </c>
      <c r="H203" s="37" t="inlineStr">
        <is>
          <t>NOT STARTED</t>
        </is>
      </c>
      <c r="I203" s="37" t="n"/>
      <c r="J203" s="37" t="n">
        <v>3</v>
      </c>
      <c r="K203" s="37" t="n"/>
    </row>
    <row r="204" ht="15" customHeight="1" s="35">
      <c r="A204" s="37" t="inlineStr">
        <is>
          <t>500</t>
        </is>
      </c>
      <c r="B204" s="37" t="inlineStr">
        <is>
          <t>109</t>
        </is>
      </c>
      <c r="C204" s="37" t="inlineStr">
        <is>
          <t>500 Braze 90° Tube Elbow</t>
        </is>
      </c>
      <c r="D204" s="37" t="inlineStr">
        <is>
          <t>JIC 37 &amp; Beaded Hose</t>
        </is>
      </c>
      <c r="E204" s="37" t="inlineStr">
        <is>
          <t>90°</t>
        </is>
      </c>
      <c r="F204" s="37" t="inlineStr">
        <is>
          <t>https://parts.air-way.com/hydraulic-fittings/jic-and-beaded-hose-fittings/90/500-braze-90-tube-elbow-series-109</t>
        </is>
      </c>
      <c r="G204" s="37" t="inlineStr">
        <is>
          <t>none shown</t>
        </is>
      </c>
      <c r="H204" s="37" t="inlineStr">
        <is>
          <t>NOT STARTED</t>
        </is>
      </c>
      <c r="I204" s="37" t="n"/>
      <c r="J204" s="37" t="n">
        <v>11</v>
      </c>
      <c r="K204" s="37" t="n"/>
    </row>
    <row r="205" ht="15" customHeight="1" s="35">
      <c r="A205" s="37" t="inlineStr">
        <is>
          <t>5000</t>
        </is>
      </c>
      <c r="B205" s="37" t="inlineStr">
        <is>
          <t>82</t>
        </is>
      </c>
      <c r="C205" s="37" t="inlineStr">
        <is>
          <t>5000 Hexagon Pipe Coupling</t>
        </is>
      </c>
      <c r="D205" s="37" t="inlineStr">
        <is>
          <t>JIC 37 &amp; Beaded Hose</t>
        </is>
      </c>
      <c r="E205" s="37" t="inlineStr">
        <is>
          <t>Straight</t>
        </is>
      </c>
      <c r="F205" s="37" t="inlineStr">
        <is>
          <t>https://parts.air-way.com/hydraulic-fittings/jic-and-beaded-hose-fittings/straight/5000-hexagon-pipe-coupling-series-82</t>
        </is>
      </c>
      <c r="G205" s="37" t="inlineStr">
        <is>
          <t>SAE J514 140138</t>
        </is>
      </c>
      <c r="H205" s="37" t="inlineStr">
        <is>
          <t>NOT STARTED</t>
        </is>
      </c>
      <c r="I205" s="37" t="n"/>
      <c r="J205" s="37" t="n">
        <v>19</v>
      </c>
      <c r="K205" s="37" t="n"/>
    </row>
    <row r="206" ht="15" customHeight="1" s="35">
      <c r="A206" s="37" t="inlineStr">
        <is>
          <t>5000</t>
        </is>
      </c>
      <c r="B206" s="37" t="inlineStr">
        <is>
          <t>242</t>
        </is>
      </c>
      <c r="C206" s="37" t="inlineStr">
        <is>
          <t>SS5000 Hexagon Pipe Coupling series</t>
        </is>
      </c>
      <c r="D206" s="37" t="inlineStr">
        <is>
          <t>Stainless Steel Fittings</t>
        </is>
      </c>
      <c r="E206" s="37" t="inlineStr">
        <is>
          <t>Straight</t>
        </is>
      </c>
      <c r="F206" s="37" t="inlineStr">
        <is>
          <t>https://parts.air-way.com/hydraulic-fittings/stainless-steel-hydraulic-fittings/straight/ss5000-hexagon-pipe-coupling-series-242</t>
        </is>
      </c>
      <c r="G206" s="37" t="inlineStr">
        <is>
          <t>SAE J514 140138</t>
        </is>
      </c>
      <c r="H206" s="37" t="inlineStr">
        <is>
          <t>NOT STARTED</t>
        </is>
      </c>
      <c r="I206" s="37" t="n"/>
      <c r="J206" s="37" t="n">
        <v>14</v>
      </c>
      <c r="K206" s="37" t="n"/>
    </row>
    <row r="207" ht="15" customHeight="1" s="35">
      <c r="A207" s="37" t="inlineStr">
        <is>
          <t>5404</t>
        </is>
      </c>
      <c r="B207" s="37" t="inlineStr">
        <is>
          <t>83</t>
        </is>
      </c>
      <c r="C207" s="37" t="inlineStr">
        <is>
          <t>5404 Hexagon Pipe Nipple</t>
        </is>
      </c>
      <c r="D207" s="37" t="inlineStr">
        <is>
          <t>JIC 37 &amp; Beaded Hose</t>
        </is>
      </c>
      <c r="E207" s="37" t="inlineStr">
        <is>
          <t>Straight</t>
        </is>
      </c>
      <c r="F207" s="37" t="inlineStr">
        <is>
          <t>https://parts.air-way.com/hydraulic-fittings/jic-and-beaded-hose-fittings/straight/5404-hexagon-pipe-nipple-series-83</t>
        </is>
      </c>
      <c r="G207" s="37" t="inlineStr">
        <is>
          <t>SAE J514 140137</t>
        </is>
      </c>
      <c r="H207" s="37" t="inlineStr">
        <is>
          <t>NOT STARTED</t>
        </is>
      </c>
      <c r="I207" s="37" t="n"/>
      <c r="J207" s="37" t="n">
        <v>26</v>
      </c>
      <c r="K207" s="37" t="n"/>
    </row>
    <row r="208" ht="15" customHeight="1" s="35">
      <c r="A208" s="37" t="inlineStr">
        <is>
          <t>5404</t>
        </is>
      </c>
      <c r="B208" s="37" t="inlineStr">
        <is>
          <t>243</t>
        </is>
      </c>
      <c r="C208" s="37" t="inlineStr">
        <is>
          <t>SS5404 Hexagon Pipe Nipple series</t>
        </is>
      </c>
      <c r="D208" s="37" t="inlineStr">
        <is>
          <t>Stainless Steel Fittings</t>
        </is>
      </c>
      <c r="E208" s="37" t="inlineStr">
        <is>
          <t>Straight</t>
        </is>
      </c>
      <c r="F208" s="37" t="inlineStr">
        <is>
          <t>https://parts.air-way.com/hydraulic-fittings/stainless-steel-hydraulic-fittings/straight/ss5404-hexagon-pipe-nipple-series-243</t>
        </is>
      </c>
      <c r="G208" s="37" t="inlineStr">
        <is>
          <t>SAE J514 140137</t>
        </is>
      </c>
      <c r="H208" s="37" t="inlineStr">
        <is>
          <t>NOT STARTED</t>
        </is>
      </c>
      <c r="I208" s="37" t="n"/>
      <c r="J208" s="37" t="n">
        <v>18</v>
      </c>
      <c r="K208" s="37" t="n"/>
    </row>
    <row r="209" ht="15" customHeight="1" s="35">
      <c r="A209" s="37" t="inlineStr">
        <is>
          <t>5404-N</t>
        </is>
      </c>
      <c r="B209" s="37" t="inlineStr">
        <is>
          <t>84</t>
        </is>
      </c>
      <c r="C209" s="37" t="inlineStr">
        <is>
          <t>5404-N Straight Pipe Nipple</t>
        </is>
      </c>
      <c r="D209" s="37" t="inlineStr">
        <is>
          <t>JIC 37 &amp; Beaded Hose</t>
        </is>
      </c>
      <c r="E209" s="37" t="inlineStr">
        <is>
          <t>Straight</t>
        </is>
      </c>
      <c r="F209" s="37" t="inlineStr">
        <is>
          <t>https://parts.air-way.com/hydraulic-fittings/jic-and-beaded-hose-fittings/straight/5404-n-straight-pipe-nipple-series-84</t>
        </is>
      </c>
      <c r="G209" s="37" t="inlineStr">
        <is>
          <t>none shown</t>
        </is>
      </c>
      <c r="H209" s="37" t="inlineStr">
        <is>
          <t>NOT STARTED</t>
        </is>
      </c>
      <c r="I209" s="37" t="n"/>
      <c r="J209" s="37" t="n">
        <v>14</v>
      </c>
      <c r="K209" s="37" t="n"/>
    </row>
    <row r="210" ht="15" customHeight="1" s="35">
      <c r="A210" s="37" t="inlineStr">
        <is>
          <t>5404-N</t>
        </is>
      </c>
      <c r="B210" s="37" t="inlineStr">
        <is>
          <t>244</t>
        </is>
      </c>
      <c r="C210" s="37" t="inlineStr">
        <is>
          <t>SS5404-N Straight Pipe Nipple series</t>
        </is>
      </c>
      <c r="D210" s="37" t="inlineStr">
        <is>
          <t>Stainless Steel Fittings</t>
        </is>
      </c>
      <c r="E210" s="37" t="inlineStr">
        <is>
          <t>Straight</t>
        </is>
      </c>
      <c r="F210" s="37" t="inlineStr">
        <is>
          <t>https://parts.air-way.com/hydraulic-fittings/stainless-steel-hydraulic-fittings/straight/ss5404-n-straight-pipe-nipple-series-244</t>
        </is>
      </c>
      <c r="G210" s="37" t="inlineStr">
        <is>
          <t>SAE J514 (no numeric code shown)</t>
        </is>
      </c>
      <c r="H210" s="37" t="inlineStr">
        <is>
          <t>NOT STARTED</t>
        </is>
      </c>
      <c r="I210" s="37" t="n"/>
      <c r="J210" s="37" t="n">
        <v>3</v>
      </c>
      <c r="K210" s="37" t="n"/>
    </row>
    <row r="211" ht="15" customHeight="1" s="35">
      <c r="A211" s="37" t="inlineStr">
        <is>
          <t>5405</t>
        </is>
      </c>
      <c r="B211" s="37" t="inlineStr">
        <is>
          <t>472</t>
        </is>
      </c>
      <c r="C211" s="37" t="inlineStr">
        <is>
          <t>MBT5405 Threaded Straight Fitting, BSPT to Female NPTF</t>
        </is>
      </c>
      <c r="D211" s="37" t="inlineStr">
        <is>
          <t>International &amp; Metric</t>
        </is>
      </c>
      <c r="E211" s="37" t="inlineStr">
        <is>
          <t>BSPT</t>
        </is>
      </c>
      <c r="F211" s="37" t="inlineStr">
        <is>
          <t>https://parts.air-way.com/hydraulic-fittings/international-metric/bspt/mbt5405-threaded-straight-fitting-bspt-to-female-nptf-series-472</t>
        </is>
      </c>
      <c r="G211" s="37" t="inlineStr">
        <is>
          <t>—</t>
        </is>
      </c>
      <c r="H211" s="37" t="inlineStr">
        <is>
          <t>NOT STARTED</t>
        </is>
      </c>
      <c r="I211" s="37" t="n"/>
      <c r="J211" s="37" t="n">
        <v>3</v>
      </c>
      <c r="K211" s="37" t="n"/>
    </row>
    <row r="212" ht="15" customHeight="1" s="35">
      <c r="A212" s="37" t="inlineStr">
        <is>
          <t>5405</t>
        </is>
      </c>
      <c r="B212" s="37" t="inlineStr">
        <is>
          <t>85</t>
        </is>
      </c>
      <c r="C212" s="37" t="inlineStr">
        <is>
          <t>5405 Pipe Adapter</t>
        </is>
      </c>
      <c r="D212" s="37" t="inlineStr">
        <is>
          <t>JIC 37 &amp; Beaded Hose</t>
        </is>
      </c>
      <c r="E212" s="37" t="inlineStr">
        <is>
          <t>Straight</t>
        </is>
      </c>
      <c r="F212" s="37" t="inlineStr">
        <is>
          <t>https://parts.air-way.com/hydraulic-fittings/jic-and-beaded-hose-fittings/straight/5405-pipe-adapter-series-85</t>
        </is>
      </c>
      <c r="G212" s="37" t="inlineStr">
        <is>
          <t>SAE J514 140139</t>
        </is>
      </c>
      <c r="H212" s="37" t="inlineStr">
        <is>
          <t>NOT STARTED</t>
        </is>
      </c>
      <c r="I212" s="37" t="n"/>
      <c r="J212" s="37" t="n">
        <v>28</v>
      </c>
      <c r="K212" s="37" t="n"/>
    </row>
    <row r="213" ht="15" customHeight="1" s="35">
      <c r="A213" s="37" t="inlineStr">
        <is>
          <t>5405</t>
        </is>
      </c>
      <c r="B213" s="37" t="inlineStr">
        <is>
          <t>245</t>
        </is>
      </c>
      <c r="C213" s="37" t="inlineStr">
        <is>
          <t>SS5405 Pipe Adapter series</t>
        </is>
      </c>
      <c r="D213" s="37" t="inlineStr">
        <is>
          <t>Stainless Steel Fittings</t>
        </is>
      </c>
      <c r="E213" s="37" t="inlineStr">
        <is>
          <t>Straight</t>
        </is>
      </c>
      <c r="F213" s="37" t="inlineStr">
        <is>
          <t>https://parts.air-way.com/hydraulic-fittings/stainless-steel-hydraulic-fittings/straight/ss5405-pipe-adapter-series-245</t>
        </is>
      </c>
      <c r="G213" s="37" t="inlineStr">
        <is>
          <t>SAE J514 140139</t>
        </is>
      </c>
      <c r="H213" s="37" t="inlineStr">
        <is>
          <t>NOT STARTED</t>
        </is>
      </c>
      <c r="I213" s="37" t="n"/>
      <c r="J213" s="37" t="n">
        <v>12</v>
      </c>
      <c r="K213" s="37" t="n"/>
    </row>
    <row r="214" ht="15" customHeight="1" s="35">
      <c r="A214" s="37" t="inlineStr">
        <is>
          <t>5406</t>
        </is>
      </c>
      <c r="B214" s="37" t="inlineStr">
        <is>
          <t>86</t>
        </is>
      </c>
      <c r="C214" s="37" t="inlineStr">
        <is>
          <t>5406 Pipe Reducer Bushing</t>
        </is>
      </c>
      <c r="D214" s="37" t="inlineStr">
        <is>
          <t>JIC 37 &amp; Beaded Hose</t>
        </is>
      </c>
      <c r="E214" s="37" t="inlineStr">
        <is>
          <t>Straight</t>
        </is>
      </c>
      <c r="F214" s="37" t="inlineStr">
        <is>
          <t>https://parts.air-way.com/hydraulic-fittings/jic-and-beaded-hose-fittings/straight/5406-pipe-reducer-bushing-series-86</t>
        </is>
      </c>
      <c r="G214" s="37" t="inlineStr">
        <is>
          <t>SAE J514 140140</t>
        </is>
      </c>
      <c r="H214" s="37" t="inlineStr">
        <is>
          <t>NOT STARTED</t>
        </is>
      </c>
      <c r="I214" s="37" t="n"/>
      <c r="J214" s="37" t="n">
        <v>31</v>
      </c>
      <c r="K214" s="37" t="n"/>
    </row>
    <row r="215" ht="15" customHeight="1" s="35">
      <c r="A215" s="37" t="inlineStr">
        <is>
          <t>5406</t>
        </is>
      </c>
      <c r="B215" s="37" t="inlineStr">
        <is>
          <t>246</t>
        </is>
      </c>
      <c r="C215" s="37" t="inlineStr">
        <is>
          <t>SS5406 Pipe Reducer Bushing series</t>
        </is>
      </c>
      <c r="D215" s="37" t="inlineStr">
        <is>
          <t>Stainless Steel Fittings</t>
        </is>
      </c>
      <c r="E215" s="37" t="inlineStr">
        <is>
          <t>Straight</t>
        </is>
      </c>
      <c r="F215" s="37" t="inlineStr">
        <is>
          <t>https://parts.air-way.com/hydraulic-fittings/stainless-steel-hydraulic-fittings/straight/ss5406-pipe-reducer-bushing-series-246</t>
        </is>
      </c>
      <c r="G215" s="37" t="inlineStr">
        <is>
          <t>SAE J514 140140</t>
        </is>
      </c>
      <c r="H215" s="37" t="inlineStr">
        <is>
          <t>NOT STARTED</t>
        </is>
      </c>
      <c r="I215" s="37" t="n"/>
      <c r="J215" s="37" t="n">
        <v>23</v>
      </c>
      <c r="K215" s="37" t="n"/>
    </row>
    <row r="216" ht="15" customHeight="1" s="35">
      <c r="A216" s="37" t="inlineStr">
        <is>
          <t>5406-C</t>
        </is>
      </c>
      <c r="B216" s="37" t="inlineStr">
        <is>
          <t>87</t>
        </is>
      </c>
      <c r="C216" s="37" t="inlineStr">
        <is>
          <t>5406-C Heavy Duty Female Pipe Cap Nut</t>
        </is>
      </c>
      <c r="D216" s="37" t="inlineStr">
        <is>
          <t>JIC 37 &amp; Beaded Hose</t>
        </is>
      </c>
      <c r="E216" s="37" t="inlineStr">
        <is>
          <t>Straight</t>
        </is>
      </c>
      <c r="F216" s="37" t="inlineStr">
        <is>
          <t>https://parts.air-way.com/hydraulic-fittings/jic-and-beaded-hose-fittings/straight/5406-c-heavy-duty-female-pipe-cap-nut-series-87</t>
        </is>
      </c>
      <c r="G216" s="37" t="inlineStr">
        <is>
          <t>none shown</t>
        </is>
      </c>
      <c r="H216" s="37" t="inlineStr">
        <is>
          <t>NOT STARTED</t>
        </is>
      </c>
      <c r="I216" s="37" t="n"/>
      <c r="J216" s="37" t="n">
        <v>6</v>
      </c>
      <c r="K216" s="37" t="n"/>
    </row>
    <row r="217" ht="15" customHeight="1" s="35">
      <c r="A217" s="37" t="inlineStr">
        <is>
          <t>5406-C</t>
        </is>
      </c>
      <c r="B217" s="37" t="inlineStr">
        <is>
          <t>265</t>
        </is>
      </c>
      <c r="C217" s="37" t="inlineStr">
        <is>
          <t>SS5406-C Female Pipe Cap Nut series</t>
        </is>
      </c>
      <c r="D217" s="37" t="inlineStr">
        <is>
          <t>Stainless Steel Fittings</t>
        </is>
      </c>
      <c r="E217" s="37" t="inlineStr">
        <is>
          <t>Straight</t>
        </is>
      </c>
      <c r="F217" s="37" t="inlineStr">
        <is>
          <t>https://parts.air-way.com/hydraulic-fittings/stainless-steel-hydraulic-fittings/straight/ss5406-c-female-pipe-cap-nut-series-265</t>
        </is>
      </c>
      <c r="G217" s="37" t="inlineStr">
        <is>
          <t>none</t>
        </is>
      </c>
      <c r="H217" s="37" t="inlineStr">
        <is>
          <t>NOT STARTED</t>
        </is>
      </c>
      <c r="I217" s="37" t="n"/>
      <c r="J217" s="37" t="n">
        <v>3</v>
      </c>
      <c r="K217" s="37" t="n"/>
    </row>
    <row r="218" ht="15" customHeight="1" s="35">
      <c r="A218" s="37" t="inlineStr">
        <is>
          <t>5406-P</t>
        </is>
      </c>
      <c r="B218" s="37" t="inlineStr">
        <is>
          <t>88</t>
        </is>
      </c>
      <c r="C218" s="37" t="inlineStr">
        <is>
          <t>5406-P Male Pipe Plug</t>
        </is>
      </c>
      <c r="D218" s="37" t="inlineStr">
        <is>
          <t>JIC 37 &amp; Beaded Hose</t>
        </is>
      </c>
      <c r="E218" s="37" t="inlineStr">
        <is>
          <t>Straight</t>
        </is>
      </c>
      <c r="F218" s="37" t="inlineStr">
        <is>
          <t>https://parts.air-way.com/hydraulic-fittings/jic-and-beaded-hose-fittings/straight/5406-p-male-pipe-plug-series-88</t>
        </is>
      </c>
      <c r="G218" s="37" t="inlineStr">
        <is>
          <t>SAE J531 130109E</t>
        </is>
      </c>
      <c r="H218" s="37" t="inlineStr">
        <is>
          <t>NOT STARTED</t>
        </is>
      </c>
      <c r="I218" s="37" t="n"/>
      <c r="J218" s="37" t="n">
        <v>9</v>
      </c>
      <c r="K218" s="37" t="n"/>
    </row>
    <row r="219" ht="15" customHeight="1" s="35">
      <c r="A219" s="37" t="inlineStr">
        <is>
          <t>5406-P</t>
        </is>
      </c>
      <c r="B219" s="37" t="inlineStr">
        <is>
          <t>266</t>
        </is>
      </c>
      <c r="C219" s="37" t="inlineStr">
        <is>
          <t>SS5406-P Male Pipe Plug series</t>
        </is>
      </c>
      <c r="D219" s="37" t="inlineStr">
        <is>
          <t>Stainless Steel Fittings</t>
        </is>
      </c>
      <c r="E219" s="37" t="inlineStr">
        <is>
          <t>Straight</t>
        </is>
      </c>
      <c r="F219" s="37" t="inlineStr">
        <is>
          <t>https://parts.air-way.com/hydraulic-fittings/stainless-steel-hydraulic-fittings/straight/ss5406-p-male-pipe-plug-series-266</t>
        </is>
      </c>
      <c r="G219" s="37" t="inlineStr">
        <is>
          <t>SAE J531 130109E</t>
        </is>
      </c>
      <c r="H219" s="37" t="inlineStr">
        <is>
          <t>NOT STARTED</t>
        </is>
      </c>
      <c r="I219" s="37" t="n"/>
      <c r="J219" s="37" t="n">
        <v>9</v>
      </c>
      <c r="K219" s="37" t="n"/>
    </row>
    <row r="220" ht="15" customHeight="1" s="35">
      <c r="A220" s="37" t="inlineStr">
        <is>
          <t>5409</t>
        </is>
      </c>
      <c r="B220" s="37" t="inlineStr">
        <is>
          <t>247</t>
        </is>
      </c>
      <c r="C220" s="37" t="inlineStr">
        <is>
          <t>SS5409 Hexagon Socket Male Pipe Plug series</t>
        </is>
      </c>
      <c r="D220" s="37" t="inlineStr">
        <is>
          <t>Stainless Steel Fittings</t>
        </is>
      </c>
      <c r="E220" s="37" t="inlineStr">
        <is>
          <t>Straight</t>
        </is>
      </c>
      <c r="F220" s="37" t="inlineStr">
        <is>
          <t>https://parts.air-way.com/hydraulic-fittings/stainless-steel-hydraulic-fittings/straight/ss5409-hexagon-socket-male-pipe-plug-series-247</t>
        </is>
      </c>
      <c r="G220" s="37" t="inlineStr">
        <is>
          <t>SAE J531 130109P</t>
        </is>
      </c>
      <c r="H220" s="37" t="inlineStr">
        <is>
          <t>NOT STARTED</t>
        </is>
      </c>
      <c r="I220" s="37" t="n"/>
      <c r="J220" s="37" t="n">
        <v>6</v>
      </c>
      <c r="K220" s="37" t="n"/>
    </row>
    <row r="221" ht="15" customHeight="1" s="35">
      <c r="A221" s="37" t="inlineStr">
        <is>
          <t>5500</t>
        </is>
      </c>
      <c r="B221" s="37" t="inlineStr">
        <is>
          <t>127</t>
        </is>
      </c>
      <c r="C221" s="37" t="inlineStr">
        <is>
          <t>5500 90° Male Pipe Elbow</t>
        </is>
      </c>
      <c r="D221" s="37" t="inlineStr">
        <is>
          <t>JIC 37 &amp; Beaded Hose</t>
        </is>
      </c>
      <c r="E221" s="37" t="inlineStr">
        <is>
          <t>90°</t>
        </is>
      </c>
      <c r="F221" s="37" t="inlineStr">
        <is>
          <t>https://parts.air-way.com/hydraulic-fittings/jic-and-beaded-hose-fittings/90/5500-90-male-pipe-elbow-series-127</t>
        </is>
      </c>
      <c r="G221" s="37" t="inlineStr">
        <is>
          <t>none shown</t>
        </is>
      </c>
      <c r="H221" s="37" t="inlineStr">
        <is>
          <t>NOT STARTED</t>
        </is>
      </c>
      <c r="I221" s="37" t="n"/>
      <c r="J221" s="37" t="n">
        <v>29</v>
      </c>
      <c r="K221" s="37" t="n"/>
    </row>
    <row r="222" ht="15" customHeight="1" s="35">
      <c r="A222" s="37" t="inlineStr">
        <is>
          <t>5500</t>
        </is>
      </c>
      <c r="B222" s="37" t="inlineStr">
        <is>
          <t>275</t>
        </is>
      </c>
      <c r="C222" s="37" t="inlineStr">
        <is>
          <t>SS5500 90° Male Pipe Elbow series</t>
        </is>
      </c>
      <c r="D222" s="37" t="inlineStr">
        <is>
          <t>Stainless Steel Fittings</t>
        </is>
      </c>
      <c r="E222" s="37" t="inlineStr">
        <is>
          <t>90°</t>
        </is>
      </c>
      <c r="F222" s="37" t="inlineStr">
        <is>
          <t>https://parts.air-way.com/hydraulic-fittings/stainless-steel-hydraulic-fittings/90/ss5500-90-male-pipe-elbow-series-275</t>
        </is>
      </c>
      <c r="G222" s="37" t="inlineStr">
        <is>
          <t>none</t>
        </is>
      </c>
      <c r="H222" s="37" t="inlineStr">
        <is>
          <t>NOT STARTED</t>
        </is>
      </c>
      <c r="I222" s="37" t="n"/>
      <c r="J222" s="37" t="n">
        <v>8</v>
      </c>
      <c r="K222" s="37" t="n"/>
    </row>
    <row r="223" ht="15" customHeight="1" s="35">
      <c r="A223" s="37" t="inlineStr">
        <is>
          <t>5501</t>
        </is>
      </c>
      <c r="B223" s="37" t="inlineStr">
        <is>
          <t>153</t>
        </is>
      </c>
      <c r="C223" s="37" t="inlineStr">
        <is>
          <t>5501 45° Male Pipe Elbow</t>
        </is>
      </c>
      <c r="D223" s="37" t="inlineStr">
        <is>
          <t>JIC 37 &amp; Beaded Hose</t>
        </is>
      </c>
      <c r="E223" s="37" t="inlineStr">
        <is>
          <t>45°</t>
        </is>
      </c>
      <c r="F223" s="37" t="inlineStr">
        <is>
          <t>https://parts.air-way.com/hydraulic-fittings/jic-and-beaded-hose-fittings/45/5501-45-male-pipe-elbow-series-153</t>
        </is>
      </c>
      <c r="G223" s="37" t="inlineStr">
        <is>
          <t>none shown</t>
        </is>
      </c>
      <c r="H223" s="37" t="inlineStr">
        <is>
          <t>TABLED</t>
        </is>
      </c>
      <c r="I223" s="37" t="n"/>
      <c r="J223" s="37" t="n">
        <v>7</v>
      </c>
      <c r="K223" s="37" t="inlineStr">
        <is>
          <t>TABLED 2026-09-23: double-pass extraction 7 rows (sheet said 7); DesignTable_5501.xlsx; scope vs OMi feed: 0 BUILD / 7 DROP / 9 OMi-only (7 differ only by -FG)</t>
        </is>
      </c>
    </row>
    <row r="224" ht="15" customHeight="1" s="35">
      <c r="A224" s="37" t="inlineStr">
        <is>
          <t>5501</t>
        </is>
      </c>
      <c r="B224" s="37" t="inlineStr">
        <is>
          <t>290</t>
        </is>
      </c>
      <c r="C224" s="37" t="inlineStr">
        <is>
          <t>SS5501 45° Male Pipe to Elbow series</t>
        </is>
      </c>
      <c r="D224" s="37" t="inlineStr">
        <is>
          <t>Stainless Steel Fittings</t>
        </is>
      </c>
      <c r="E224" s="37" t="inlineStr">
        <is>
          <t>45°</t>
        </is>
      </c>
      <c r="F224" s="37" t="inlineStr">
        <is>
          <t>https://parts.air-way.com/hydraulic-fittings/stainless-steel-hydraulic-fittings/45/ss5501-45-male-pipe-to-elbow-series-290</t>
        </is>
      </c>
      <c r="G224" s="37" t="inlineStr">
        <is>
          <t>none</t>
        </is>
      </c>
      <c r="H224" s="37" t="inlineStr">
        <is>
          <t>NOT STARTED</t>
        </is>
      </c>
      <c r="I224" s="37" t="n"/>
      <c r="J224" s="37" t="n">
        <v>3</v>
      </c>
      <c r="K224" s="37" t="n"/>
    </row>
    <row r="225" ht="15" customHeight="1" s="35">
      <c r="A225" s="37" t="inlineStr">
        <is>
          <t>5502</t>
        </is>
      </c>
      <c r="B225" s="37" t="inlineStr">
        <is>
          <t>128</t>
        </is>
      </c>
      <c r="C225" s="37" t="inlineStr">
        <is>
          <t>5502 90° Street Elbow</t>
        </is>
      </c>
      <c r="D225" s="37" t="inlineStr">
        <is>
          <t>JIC 37 &amp; Beaded Hose</t>
        </is>
      </c>
      <c r="E225" s="37" t="inlineStr">
        <is>
          <t>90°</t>
        </is>
      </c>
      <c r="F225" s="37" t="inlineStr">
        <is>
          <t>https://parts.air-way.com/hydraulic-fittings/jic-and-beaded-hose-fittings/90/5502-90-street-elbow-series-128</t>
        </is>
      </c>
      <c r="G225" s="37" t="inlineStr">
        <is>
          <t>SAE J514 140239</t>
        </is>
      </c>
      <c r="H225" s="37" t="inlineStr">
        <is>
          <t>NOT STARTED</t>
        </is>
      </c>
      <c r="I225" s="37" t="n"/>
      <c r="J225" s="37" t="n">
        <v>46</v>
      </c>
      <c r="K225" s="37" t="n"/>
    </row>
    <row r="226" ht="15" customHeight="1" s="35">
      <c r="A226" s="37" t="inlineStr">
        <is>
          <t>5502</t>
        </is>
      </c>
      <c r="B226" s="37" t="inlineStr">
        <is>
          <t>276</t>
        </is>
      </c>
      <c r="C226" s="37" t="inlineStr">
        <is>
          <t>SS5502 90° Street Elbow series</t>
        </is>
      </c>
      <c r="D226" s="37" t="inlineStr">
        <is>
          <t>Stainless Steel Fittings</t>
        </is>
      </c>
      <c r="E226" s="37" t="inlineStr">
        <is>
          <t>90°</t>
        </is>
      </c>
      <c r="F226" s="37" t="inlineStr">
        <is>
          <t>https://parts.air-way.com/hydraulic-fittings/stainless-steel-hydraulic-fittings/90/ss5502-90-street-elbow-series-276</t>
        </is>
      </c>
      <c r="G226" s="37" t="inlineStr">
        <is>
          <t>SAE J514 140239</t>
        </is>
      </c>
      <c r="H226" s="37" t="inlineStr">
        <is>
          <t>NOT STARTED</t>
        </is>
      </c>
      <c r="I226" s="37" t="n"/>
      <c r="J226" s="37" t="n">
        <v>9</v>
      </c>
      <c r="K226" s="37" t="n"/>
    </row>
    <row r="227" ht="15" customHeight="1" s="35">
      <c r="A227" s="37" t="inlineStr">
        <is>
          <t>5503</t>
        </is>
      </c>
      <c r="B227" s="37" t="inlineStr">
        <is>
          <t>154</t>
        </is>
      </c>
      <c r="C227" s="37" t="inlineStr">
        <is>
          <t>5503 45° Street Elbow</t>
        </is>
      </c>
      <c r="D227" s="37" t="inlineStr">
        <is>
          <t>JIC 37 &amp; Beaded Hose</t>
        </is>
      </c>
      <c r="E227" s="37" t="inlineStr">
        <is>
          <t>45°</t>
        </is>
      </c>
      <c r="F227" s="37" t="inlineStr">
        <is>
          <t>https://parts.air-way.com/hydraulic-fittings/jic-and-beaded-hose-fittings/45/5503-45-street-elbow-series-154</t>
        </is>
      </c>
      <c r="G227" s="37" t="inlineStr">
        <is>
          <t>SAE J514 140339</t>
        </is>
      </c>
      <c r="H227" s="37" t="inlineStr">
        <is>
          <t>TABLED</t>
        </is>
      </c>
      <c r="I227" s="37" t="n"/>
      <c r="J227" s="37" t="n">
        <v>16</v>
      </c>
      <c r="K227" s="37" t="inlineStr">
        <is>
          <t>TABLED 2026-09-23: double-pass extraction 15 rows (sheet said 16); DesignTable_5503.xlsx; scope vs OMi feed: 5 BUILD / 10 DROP / 9 OMi-only (4 differ only by -FG); 1 source anomaly note(s) in 07_RAW_EXTRACTS/airway_anomalies_2026-09-23.txt</t>
        </is>
      </c>
    </row>
    <row r="228" ht="15" customHeight="1" s="35">
      <c r="A228" s="37" t="inlineStr">
        <is>
          <t>5503</t>
        </is>
      </c>
      <c r="B228" s="37" t="inlineStr">
        <is>
          <t>291</t>
        </is>
      </c>
      <c r="C228" s="37" t="inlineStr">
        <is>
          <t>SS5503 45° Street Elbow series</t>
        </is>
      </c>
      <c r="D228" s="37" t="inlineStr">
        <is>
          <t>Stainless Steel Fittings</t>
        </is>
      </c>
      <c r="E228" s="37" t="inlineStr">
        <is>
          <t>45°</t>
        </is>
      </c>
      <c r="F228" s="37" t="inlineStr">
        <is>
          <t>https://parts.air-way.com/hydraulic-fittings/stainless-steel-hydraulic-fittings/45/ss5503-45-street-elbow-series-291</t>
        </is>
      </c>
      <c r="G228" s="37" t="inlineStr">
        <is>
          <t>SAE J514 140339</t>
        </is>
      </c>
      <c r="H228" s="37" t="inlineStr">
        <is>
          <t>NOT STARTED</t>
        </is>
      </c>
      <c r="I228" s="37" t="n"/>
      <c r="J228" s="37" t="n">
        <v>5</v>
      </c>
      <c r="K228" s="37" t="n"/>
    </row>
    <row r="229" ht="15" customHeight="1" s="35">
      <c r="A229" s="37" t="inlineStr">
        <is>
          <t>5504</t>
        </is>
      </c>
      <c r="B229" s="37" t="inlineStr">
        <is>
          <t>129</t>
        </is>
      </c>
      <c r="C229" s="37" t="inlineStr">
        <is>
          <t>5504 90° Female Pipe Elbow</t>
        </is>
      </c>
      <c r="D229" s="37" t="inlineStr">
        <is>
          <t>JIC 37 &amp; Beaded Hose</t>
        </is>
      </c>
      <c r="E229" s="37" t="inlineStr">
        <is>
          <t>90°</t>
        </is>
      </c>
      <c r="F229" s="37" t="inlineStr">
        <is>
          <t>https://parts.air-way.com/hydraulic-fittings/jic-and-beaded-hose-fittings/90/5504-90-female-pipe-elbow-series-129</t>
        </is>
      </c>
      <c r="G229" s="37" t="inlineStr">
        <is>
          <t>SAE J514 140238</t>
        </is>
      </c>
      <c r="H229" s="37" t="inlineStr">
        <is>
          <t>NOT STARTED</t>
        </is>
      </c>
      <c r="I229" s="37" t="n"/>
      <c r="J229" s="37" t="n">
        <v>22</v>
      </c>
      <c r="K229" s="37" t="n"/>
    </row>
    <row r="230" ht="15" customHeight="1" s="35">
      <c r="A230" s="37" t="inlineStr">
        <is>
          <t>5504</t>
        </is>
      </c>
      <c r="B230" s="37" t="inlineStr">
        <is>
          <t>277</t>
        </is>
      </c>
      <c r="C230" s="37" t="inlineStr">
        <is>
          <t>SS5504 90° Female Pipe Elbow series</t>
        </is>
      </c>
      <c r="D230" s="37" t="inlineStr">
        <is>
          <t>Stainless Steel Fittings</t>
        </is>
      </c>
      <c r="E230" s="37" t="inlineStr">
        <is>
          <t>90°</t>
        </is>
      </c>
      <c r="F230" s="37" t="inlineStr">
        <is>
          <t>https://parts.air-way.com/hydraulic-fittings/stainless-steel-hydraulic-fittings/90/ss5504-90-female-pipe-elbow-series-277</t>
        </is>
      </c>
      <c r="G230" s="37" t="inlineStr">
        <is>
          <t>SAE J514 140238</t>
        </is>
      </c>
      <c r="H230" s="37" t="inlineStr">
        <is>
          <t>NOT STARTED</t>
        </is>
      </c>
      <c r="I230" s="37" t="n"/>
      <c r="J230" s="37" t="n">
        <v>9</v>
      </c>
      <c r="K230" s="37" t="n"/>
    </row>
    <row r="231" ht="15" customHeight="1" s="35">
      <c r="A231" s="37" t="inlineStr">
        <is>
          <t>5505</t>
        </is>
      </c>
      <c r="B231" s="37" t="inlineStr">
        <is>
          <t>155</t>
        </is>
      </c>
      <c r="C231" s="37" t="inlineStr">
        <is>
          <t>5505 45° Female Pipe Elbow</t>
        </is>
      </c>
      <c r="D231" s="37" t="inlineStr">
        <is>
          <t>JIC 37 &amp; Beaded Hose</t>
        </is>
      </c>
      <c r="E231" s="37" t="inlineStr">
        <is>
          <t>45°</t>
        </is>
      </c>
      <c r="F231" s="37" t="inlineStr">
        <is>
          <t>https://parts.air-way.com/hydraulic-fittings/jic-and-beaded-hose-fittings/45/5505-45-female-pipe-elbow-series-155</t>
        </is>
      </c>
      <c r="G231" s="37" t="inlineStr">
        <is>
          <t>SAE J514 140338</t>
        </is>
      </c>
      <c r="H231" s="37" t="inlineStr">
        <is>
          <t>TABLED</t>
        </is>
      </c>
      <c r="I231" s="37" t="n"/>
      <c r="J231" s="37" t="n">
        <v>9</v>
      </c>
      <c r="K231" s="37" t="inlineStr">
        <is>
          <t>TABLED 2026-09-23: double-pass extraction 9 rows (sheet said 9); DesignTable_5505.xlsx; scope vs OMi feed: 1 BUILD / 8 DROP / 6 OMi-only (5 differ only by -FG); 1 source anomaly note(s) in 07_RAW_EXTRACTS/airway_anomalies_2026-09-23.txt</t>
        </is>
      </c>
    </row>
    <row r="232" ht="15" customHeight="1" s="35">
      <c r="A232" s="37" t="inlineStr">
        <is>
          <t>5505</t>
        </is>
      </c>
      <c r="B232" s="37" t="inlineStr">
        <is>
          <t>292</t>
        </is>
      </c>
      <c r="C232" s="37" t="inlineStr">
        <is>
          <t>SS5505 45° Female Pipe Elbow series</t>
        </is>
      </c>
      <c r="D232" s="37" t="inlineStr">
        <is>
          <t>Stainless Steel Fittings</t>
        </is>
      </c>
      <c r="E232" s="37" t="inlineStr">
        <is>
          <t>45°</t>
        </is>
      </c>
      <c r="F232" s="37" t="inlineStr">
        <is>
          <t>https://parts.air-way.com/hydraulic-fittings/stainless-steel-hydraulic-fittings/45/ss5505-45-female-pipe-elbow-series-292</t>
        </is>
      </c>
      <c r="G232" s="37" t="inlineStr">
        <is>
          <t>SAE J514 140338</t>
        </is>
      </c>
      <c r="H232" s="37" t="inlineStr">
        <is>
          <t>NOT STARTED</t>
        </is>
      </c>
      <c r="I232" s="37" t="n"/>
      <c r="J232" s="37" t="n">
        <v>2</v>
      </c>
      <c r="K232" s="37" t="n"/>
    </row>
    <row r="233" ht="15" customHeight="1" s="35">
      <c r="A233" s="37" t="inlineStr">
        <is>
          <t>5600</t>
        </is>
      </c>
      <c r="B233" s="37" t="inlineStr">
        <is>
          <t>187</t>
        </is>
      </c>
      <c r="C233" s="37" t="inlineStr">
        <is>
          <t>5600 Male Pipe Tee</t>
        </is>
      </c>
      <c r="D233" s="37" t="inlineStr">
        <is>
          <t>JIC 37 &amp; Beaded Hose</t>
        </is>
      </c>
      <c r="E233" s="37" t="inlineStr">
        <is>
          <t>Tee</t>
        </is>
      </c>
      <c r="F233" s="37" t="inlineStr">
        <is>
          <t>https://parts.air-way.com/hydraulic-fittings/jic-and-beaded-hose-fittings/tee/5600-male-pipe-tee-series-187</t>
        </is>
      </c>
      <c r="G233" s="37" t="inlineStr">
        <is>
          <t>none shown</t>
        </is>
      </c>
      <c r="H233" s="37" t="inlineStr">
        <is>
          <t>TABLED</t>
        </is>
      </c>
      <c r="I233" s="37" t="n"/>
      <c r="J233" s="37" t="n">
        <v>12</v>
      </c>
      <c r="K233" s="37" t="inlineStr">
        <is>
          <t>TABLED 2026-09-23: double-pass extraction 12 rows (sheet said 12); DesignTable_5600.xlsx; scope vs OMi feed: 6 BUILD / 6 DROP / 2 OMi-only (0 differ only by -FG)</t>
        </is>
      </c>
    </row>
    <row r="234" ht="15" customHeight="1" s="35">
      <c r="A234" s="37" t="inlineStr">
        <is>
          <t>5600</t>
        </is>
      </c>
      <c r="B234" s="37" t="inlineStr">
        <is>
          <t>306</t>
        </is>
      </c>
      <c r="C234" s="37" t="inlineStr">
        <is>
          <t>SS5600 Male Pipe Tee series</t>
        </is>
      </c>
      <c r="D234" s="37" t="inlineStr">
        <is>
          <t>Stainless Steel Fittings</t>
        </is>
      </c>
      <c r="E234" s="37" t="inlineStr">
        <is>
          <t>Tee</t>
        </is>
      </c>
      <c r="F234" s="37" t="inlineStr">
        <is>
          <t>https://parts.air-way.com/hydraulic-fittings/stainless-steel-hydraulic-fittings/tee/ss5600-male-pipe-tee-series-306</t>
        </is>
      </c>
      <c r="G234" s="37" t="inlineStr">
        <is>
          <t>none</t>
        </is>
      </c>
      <c r="H234" s="37" t="inlineStr">
        <is>
          <t>NOT STARTED</t>
        </is>
      </c>
      <c r="I234" s="37" t="n"/>
      <c r="J234" s="37" t="n">
        <v>1</v>
      </c>
      <c r="K234" s="37" t="n"/>
    </row>
    <row r="235" ht="15" customHeight="1" s="35">
      <c r="A235" s="37" t="inlineStr">
        <is>
          <t>5601</t>
        </is>
      </c>
      <c r="B235" s="37" t="inlineStr">
        <is>
          <t>188</t>
        </is>
      </c>
      <c r="C235" s="37" t="inlineStr">
        <is>
          <t>5601 Female Branch Pipe Tee</t>
        </is>
      </c>
      <c r="D235" s="37" t="inlineStr">
        <is>
          <t>JIC 37 &amp; Beaded Hose</t>
        </is>
      </c>
      <c r="E235" s="37" t="inlineStr">
        <is>
          <t>Tee</t>
        </is>
      </c>
      <c r="F235" s="37" t="inlineStr">
        <is>
          <t>https://parts.air-way.com/hydraulic-fittings/jic-and-beaded-hose-fittings/tee/5601-female-branch-pipe-tee-series-188</t>
        </is>
      </c>
      <c r="G235" s="37" t="inlineStr">
        <is>
          <t>none shown</t>
        </is>
      </c>
      <c r="H235" s="37" t="inlineStr">
        <is>
          <t>TABLED</t>
        </is>
      </c>
      <c r="I235" s="37" t="n"/>
      <c r="J235" s="37" t="n">
        <v>5</v>
      </c>
      <c r="K235" s="37" t="inlineStr">
        <is>
          <t>TABLED 2026-09-23: double-pass extraction 5 rows (sheet said 5); DesignTable_5601.xlsx; scope vs OMi feed: 0 BUILD / 5 DROP / 5 OMi-only (2 differ only by -FG)</t>
        </is>
      </c>
    </row>
    <row r="236" ht="15" customHeight="1" s="35">
      <c r="A236" s="37" t="inlineStr">
        <is>
          <t>5601</t>
        </is>
      </c>
      <c r="B236" s="37" t="inlineStr">
        <is>
          <t>307</t>
        </is>
      </c>
      <c r="C236" s="37" t="inlineStr">
        <is>
          <t>SS5601 Female Branch Pipe Tee series</t>
        </is>
      </c>
      <c r="D236" s="37" t="inlineStr">
        <is>
          <t>Stainless Steel Fittings</t>
        </is>
      </c>
      <c r="E236" s="37" t="inlineStr">
        <is>
          <t>Tee</t>
        </is>
      </c>
      <c r="F236" s="37" t="inlineStr">
        <is>
          <t>https://parts.air-way.com/hydraulic-fittings/stainless-steel-hydraulic-fittings/tee/ss5601-female-branch-pipe-tee-series-307</t>
        </is>
      </c>
      <c r="G236" s="37" t="inlineStr">
        <is>
          <t>none</t>
        </is>
      </c>
      <c r="H236" s="37" t="inlineStr">
        <is>
          <t>NOT STARTED</t>
        </is>
      </c>
      <c r="I236" s="37" t="n"/>
      <c r="J236" s="37" t="n">
        <v>3</v>
      </c>
      <c r="K236" s="37" t="n"/>
    </row>
    <row r="237" ht="15" customHeight="1" s="35">
      <c r="A237" s="37" t="inlineStr">
        <is>
          <t>5602</t>
        </is>
      </c>
      <c r="B237" s="37" t="inlineStr">
        <is>
          <t>189</t>
        </is>
      </c>
      <c r="C237" s="37" t="inlineStr">
        <is>
          <t>5602 Male Run Pipe Tee</t>
        </is>
      </c>
      <c r="D237" s="37" t="inlineStr">
        <is>
          <t>JIC 37 &amp; Beaded Hose</t>
        </is>
      </c>
      <c r="E237" s="37" t="inlineStr">
        <is>
          <t>Tee</t>
        </is>
      </c>
      <c r="F237" s="37" t="inlineStr">
        <is>
          <t>https://parts.air-way.com/hydraulic-fittings/jic-and-beaded-hose-fittings/tee/5602-male-run-pipe-tee-series-189</t>
        </is>
      </c>
      <c r="G237" s="37" t="inlineStr">
        <is>
          <t>SAE J514 140424</t>
        </is>
      </c>
      <c r="H237" s="37" t="inlineStr">
        <is>
          <t>NOT STARTED</t>
        </is>
      </c>
      <c r="I237" s="37" t="n"/>
      <c r="J237" s="37" t="n">
        <v>14</v>
      </c>
      <c r="K237" s="37" t="n"/>
    </row>
    <row r="238" ht="15" customHeight="1" s="35">
      <c r="A238" s="37" t="inlineStr">
        <is>
          <t>5602</t>
        </is>
      </c>
      <c r="B238" s="37" t="inlineStr">
        <is>
          <t>308</t>
        </is>
      </c>
      <c r="C238" s="37" t="inlineStr">
        <is>
          <t>SS5602 Male Run Pipe Tee series</t>
        </is>
      </c>
      <c r="D238" s="37" t="inlineStr">
        <is>
          <t>Stainless Steel Fittings</t>
        </is>
      </c>
      <c r="E238" s="37" t="inlineStr">
        <is>
          <t>Tee</t>
        </is>
      </c>
      <c r="F238" s="37" t="inlineStr">
        <is>
          <t>https://parts.air-way.com/hydraulic-fittings/stainless-steel-hydraulic-fittings/tee/ss5602-male-run-pipe-tee-series-308</t>
        </is>
      </c>
      <c r="G238" s="37" t="inlineStr">
        <is>
          <t>SAE J514 140424</t>
        </is>
      </c>
      <c r="H238" s="37" t="inlineStr">
        <is>
          <t>NOT STARTED</t>
        </is>
      </c>
      <c r="I238" s="37" t="n"/>
      <c r="J238" s="37" t="n">
        <v>8</v>
      </c>
      <c r="K238" s="37" t="n"/>
    </row>
    <row r="239" ht="15" customHeight="1" s="35">
      <c r="A239" s="37" t="inlineStr">
        <is>
          <t>5603</t>
        </is>
      </c>
      <c r="B239" s="37" t="inlineStr">
        <is>
          <t>190</t>
        </is>
      </c>
      <c r="C239" s="37" t="inlineStr">
        <is>
          <t>5603 Female Run Pipe Tee</t>
        </is>
      </c>
      <c r="D239" s="37" t="inlineStr">
        <is>
          <t>JIC 37 &amp; Beaded Hose</t>
        </is>
      </c>
      <c r="E239" s="37" t="inlineStr">
        <is>
          <t>Tee</t>
        </is>
      </c>
      <c r="F239" s="37" t="inlineStr">
        <is>
          <t>https://parts.air-way.com/hydraulic-fittings/jic-and-beaded-hose-fittings/tee/5603-female-run-pipe-tee-series-190</t>
        </is>
      </c>
      <c r="G239" s="37" t="inlineStr">
        <is>
          <t>none shown</t>
        </is>
      </c>
      <c r="H239" s="37" t="inlineStr">
        <is>
          <t>NOT STARTED</t>
        </is>
      </c>
      <c r="I239" s="37" t="n"/>
      <c r="J239" s="37" t="n">
        <v>6</v>
      </c>
      <c r="K239" s="37" t="n"/>
    </row>
    <row r="240" ht="15" customHeight="1" s="35">
      <c r="A240" s="37" t="inlineStr">
        <is>
          <t>5603</t>
        </is>
      </c>
      <c r="B240" s="37" t="inlineStr">
        <is>
          <t>309</t>
        </is>
      </c>
      <c r="C240" s="37" t="inlineStr">
        <is>
          <t>SS5603 Female Run Pipe Tee series</t>
        </is>
      </c>
      <c r="D240" s="37" t="inlineStr">
        <is>
          <t>Stainless Steel Fittings</t>
        </is>
      </c>
      <c r="E240" s="37" t="inlineStr">
        <is>
          <t>Tee</t>
        </is>
      </c>
      <c r="F240" s="37" t="inlineStr">
        <is>
          <t>https://parts.air-way.com/hydraulic-fittings/stainless-steel-hydraulic-fittings/tee/ss5603-female-run-pipe-tee-series-309</t>
        </is>
      </c>
      <c r="G240" s="37" t="inlineStr">
        <is>
          <t>none</t>
        </is>
      </c>
      <c r="H240" s="37" t="inlineStr">
        <is>
          <t>NOT STARTED</t>
        </is>
      </c>
      <c r="I240" s="37" t="n"/>
      <c r="J240" s="37" t="n">
        <v>2</v>
      </c>
      <c r="K240" s="37" t="n"/>
    </row>
    <row r="241" ht="15" customHeight="1" s="35">
      <c r="A241" s="37" t="inlineStr">
        <is>
          <t>5604</t>
        </is>
      </c>
      <c r="B241" s="37" t="inlineStr">
        <is>
          <t>191</t>
        </is>
      </c>
      <c r="C241" s="37" t="inlineStr">
        <is>
          <t>5604 Male Branch Pipe Tee</t>
        </is>
      </c>
      <c r="D241" s="37" t="inlineStr">
        <is>
          <t>JIC 37 &amp; Beaded Hose</t>
        </is>
      </c>
      <c r="E241" s="37" t="inlineStr">
        <is>
          <t>Tee</t>
        </is>
      </c>
      <c r="F241" s="37" t="inlineStr">
        <is>
          <t>https://parts.air-way.com/hydraulic-fittings/jic-and-beaded-hose-fittings/tee/5604-male-branch-pipe-tee-series-191</t>
        </is>
      </c>
      <c r="G241" s="37" t="inlineStr">
        <is>
          <t>SAE J514 140425</t>
        </is>
      </c>
      <c r="H241" s="37" t="inlineStr">
        <is>
          <t>TABLED</t>
        </is>
      </c>
      <c r="I241" s="37" t="n"/>
      <c r="J241" s="37" t="n">
        <v>13</v>
      </c>
      <c r="K241" s="37" t="inlineStr">
        <is>
          <t>TABLED 2026-09-23: double-pass extraction 12 rows (sheet said 13); DesignTable_5604.xlsx; scope vs OMi feed: 4 BUILD / 8 DROP / 5 OMi-only (4 differ only by -FG); 1 source anomaly note(s) in 07_RAW_EXTRACTS/airway_anomalies_2026-09-23.txt</t>
        </is>
      </c>
    </row>
    <row r="242" ht="15" customHeight="1" s="35">
      <c r="A242" s="37" t="inlineStr">
        <is>
          <t>5604</t>
        </is>
      </c>
      <c r="B242" s="37" t="inlineStr">
        <is>
          <t>310</t>
        </is>
      </c>
      <c r="C242" s="37" t="inlineStr">
        <is>
          <t>SS5604 Male Branch Pipe Tee series</t>
        </is>
      </c>
      <c r="D242" s="37" t="inlineStr">
        <is>
          <t>Stainless Steel Fittings</t>
        </is>
      </c>
      <c r="E242" s="37" t="inlineStr">
        <is>
          <t>Tee</t>
        </is>
      </c>
      <c r="F242" s="37" t="inlineStr">
        <is>
          <t>https://parts.air-way.com/hydraulic-fittings/stainless-steel-hydraulic-fittings/tee/ss5604-male-branch-pipe-tee-series-310</t>
        </is>
      </c>
      <c r="G242" s="37" t="inlineStr">
        <is>
          <t>SAE J514 140425</t>
        </is>
      </c>
      <c r="H242" s="37" t="inlineStr">
        <is>
          <t>NOT STARTED</t>
        </is>
      </c>
      <c r="I242" s="37" t="n"/>
      <c r="J242" s="37" t="n">
        <v>4</v>
      </c>
      <c r="K242" s="37" t="n"/>
    </row>
    <row r="243" ht="15" customHeight="1" s="35">
      <c r="A243" s="37" t="inlineStr">
        <is>
          <t>5605</t>
        </is>
      </c>
      <c r="B243" s="37" t="inlineStr">
        <is>
          <t>192</t>
        </is>
      </c>
      <c r="C243" s="37" t="inlineStr">
        <is>
          <t>5605 Female Pipe Tee</t>
        </is>
      </c>
      <c r="D243" s="37" t="inlineStr">
        <is>
          <t>JIC 37 &amp; Beaded Hose</t>
        </is>
      </c>
      <c r="E243" s="37" t="inlineStr">
        <is>
          <t>Tee</t>
        </is>
      </c>
      <c r="F243" s="37" t="inlineStr">
        <is>
          <t>https://parts.air-way.com/hydraulic-fittings/jic-and-beaded-hose-fittings/tee/5605-female-pipe-tee-series-192</t>
        </is>
      </c>
      <c r="G243" s="37" t="inlineStr">
        <is>
          <t>SAE J514 140438</t>
        </is>
      </c>
      <c r="H243" s="37" t="inlineStr">
        <is>
          <t>TABLED</t>
        </is>
      </c>
      <c r="I243" s="37" t="n"/>
      <c r="J243" s="37" t="n">
        <v>14</v>
      </c>
      <c r="K243" s="37" t="inlineStr">
        <is>
          <t>TABLED 2026-09-23: double-pass extraction 14 rows (sheet said 14); DesignTable_5605.xlsx; scope vs OMi feed: 4 BUILD / 10 DROP / 5 OMi-only (5 differ only by -FG); 1 source anomaly note(s) in 07_RAW_EXTRACTS/airway_anomalies_2026-09-23.txt</t>
        </is>
      </c>
    </row>
    <row r="244" ht="15" customHeight="1" s="35">
      <c r="A244" s="37" t="inlineStr">
        <is>
          <t>5605</t>
        </is>
      </c>
      <c r="B244" s="37" t="inlineStr">
        <is>
          <t>311</t>
        </is>
      </c>
      <c r="C244" s="37" t="inlineStr">
        <is>
          <t>SS5605 Female Pipe Tee series</t>
        </is>
      </c>
      <c r="D244" s="37" t="inlineStr">
        <is>
          <t>Stainless Steel Fittings</t>
        </is>
      </c>
      <c r="E244" s="37" t="inlineStr">
        <is>
          <t>Tee</t>
        </is>
      </c>
      <c r="F244" s="37" t="inlineStr">
        <is>
          <t>https://parts.air-way.com/hydraulic-fittings/stainless-steel-hydraulic-fittings/tee/ss5605-female-pipe-tee-series-311</t>
        </is>
      </c>
      <c r="G244" s="37" t="inlineStr">
        <is>
          <t>SAE J514 140438</t>
        </is>
      </c>
      <c r="H244" s="37" t="inlineStr">
        <is>
          <t>NOT STARTED</t>
        </is>
      </c>
      <c r="I244" s="37" t="n"/>
      <c r="J244" s="37" t="n">
        <v>8</v>
      </c>
      <c r="K244" s="37" t="n"/>
    </row>
    <row r="245" ht="15" customHeight="1" s="35">
      <c r="A245" s="37" t="inlineStr">
        <is>
          <t>5652</t>
        </is>
      </c>
      <c r="B245" s="37" t="inlineStr">
        <is>
          <t>214</t>
        </is>
      </c>
      <c r="C245" s="37" t="inlineStr">
        <is>
          <t>5652 Female Pipe Cross</t>
        </is>
      </c>
      <c r="D245" s="37" t="inlineStr">
        <is>
          <t>JIC 37 &amp; Beaded Hose</t>
        </is>
      </c>
      <c r="E245" s="37" t="inlineStr">
        <is>
          <t>Cross</t>
        </is>
      </c>
      <c r="F245" s="37" t="inlineStr">
        <is>
          <t>https://parts.air-way.com/hydraulic-fittings/jic-and-beaded-hose-fittings/cross/5652-female-pipe-cross-series-214</t>
        </is>
      </c>
      <c r="G245" s="37" t="inlineStr">
        <is>
          <t>none shown</t>
        </is>
      </c>
      <c r="H245" s="37" t="inlineStr">
        <is>
          <t>TABLED</t>
        </is>
      </c>
      <c r="I245" s="37" t="n"/>
      <c r="J245" s="37" t="n">
        <v>8</v>
      </c>
      <c r="K245" s="37" t="inlineStr">
        <is>
          <t>TABLED 2026-09-23: double-pass extraction 8 rows (sheet said 8); DesignTable_5652.xlsx; scope vs OMi feed: 0 BUILD / 8 DROP / 9 OMi-only (8 differ only by -FG)</t>
        </is>
      </c>
    </row>
    <row r="246" ht="15" customHeight="1" s="35">
      <c r="A246" s="37" t="inlineStr">
        <is>
          <t>5652</t>
        </is>
      </c>
      <c r="B246" s="37" t="inlineStr">
        <is>
          <t>318</t>
        </is>
      </c>
      <c r="C246" s="37" t="inlineStr">
        <is>
          <t>SS5652 Female Pipe Cross series</t>
        </is>
      </c>
      <c r="D246" s="37" t="inlineStr">
        <is>
          <t>Stainless Steel Fittings</t>
        </is>
      </c>
      <c r="E246" s="37" t="inlineStr">
        <is>
          <t>Cross</t>
        </is>
      </c>
      <c r="F246" s="37" t="inlineStr">
        <is>
          <t>https://parts.air-way.com/hydraulic-fittings/stainless-steel-hydraulic-fittings/cross/ss5652-female-pipe-cross-series-318</t>
        </is>
      </c>
      <c r="G246" s="37" t="inlineStr">
        <is>
          <t>none</t>
        </is>
      </c>
      <c r="H246" s="37" t="inlineStr">
        <is>
          <t>NOT STARTED</t>
        </is>
      </c>
      <c r="I246" s="37" t="n"/>
      <c r="J246" s="37" t="n">
        <v>3</v>
      </c>
      <c r="K246" s="37" t="n"/>
    </row>
    <row r="247" ht="15" customHeight="1" s="35">
      <c r="A247" s="37" t="inlineStr">
        <is>
          <t>5655</t>
        </is>
      </c>
      <c r="B247" s="37" t="inlineStr">
        <is>
          <t>217</t>
        </is>
      </c>
      <c r="C247" s="37" t="inlineStr">
        <is>
          <t>5655 Male Run Pipe Cross</t>
        </is>
      </c>
      <c r="D247" s="37" t="inlineStr">
        <is>
          <t>JIC 37 &amp; Beaded Hose</t>
        </is>
      </c>
      <c r="E247" s="37" t="inlineStr">
        <is>
          <t>Cross</t>
        </is>
      </c>
      <c r="F247" s="37" t="inlineStr">
        <is>
          <t>https://parts.air-way.com/hydraulic-fittings/jic-and-beaded-hose-fittings/cross/5655-male-run-pipe-cross-series-217</t>
        </is>
      </c>
      <c r="G247" s="37" t="inlineStr">
        <is>
          <t>none shown</t>
        </is>
      </c>
      <c r="H247" s="37" t="inlineStr">
        <is>
          <t>NOT STARTED</t>
        </is>
      </c>
      <c r="I247" s="37" t="n"/>
      <c r="J247" s="37" t="n">
        <v>5</v>
      </c>
      <c r="K247" s="37" t="n"/>
    </row>
    <row r="248" ht="15" customHeight="1" s="35">
      <c r="A248" s="37" t="inlineStr">
        <is>
          <t>600</t>
        </is>
      </c>
      <c r="B248" s="37" t="inlineStr">
        <is>
          <t>162</t>
        </is>
      </c>
      <c r="C248" s="37" t="inlineStr">
        <is>
          <t>600 Braze Tube Run/Run Tee</t>
        </is>
      </c>
      <c r="D248" s="37" t="inlineStr">
        <is>
          <t>JIC 37 &amp; Beaded Hose</t>
        </is>
      </c>
      <c r="E248" s="37" t="inlineStr">
        <is>
          <t>Tee</t>
        </is>
      </c>
      <c r="F248" s="37" t="inlineStr">
        <is>
          <t>https://parts.air-way.com/hydraulic-fittings/jic-and-beaded-hose-fittings/tee/600-braze-tube-run-run-tee-series-162</t>
        </is>
      </c>
      <c r="G248" s="37" t="inlineStr">
        <is>
          <t>none shown</t>
        </is>
      </c>
      <c r="H248" s="37" t="inlineStr">
        <is>
          <t>NOT STARTED</t>
        </is>
      </c>
      <c r="I248" s="37" t="n"/>
      <c r="J248" s="37" t="n">
        <v>8</v>
      </c>
      <c r="K248" s="37" t="n"/>
    </row>
    <row r="249" ht="15" customHeight="1" s="35">
      <c r="A249" s="37" t="inlineStr">
        <is>
          <t>603</t>
        </is>
      </c>
      <c r="B249" s="37" t="inlineStr">
        <is>
          <t>165</t>
        </is>
      </c>
      <c r="C249" s="37" t="inlineStr">
        <is>
          <t>603 Braze Junction Tee</t>
        </is>
      </c>
      <c r="D249" s="37" t="inlineStr">
        <is>
          <t>JIC 37 &amp; Beaded Hose</t>
        </is>
      </c>
      <c r="E249" s="37" t="inlineStr">
        <is>
          <t>Tee</t>
        </is>
      </c>
      <c r="F249" s="37" t="inlineStr">
        <is>
          <t>https://parts.air-way.com/hydraulic-fittings/jic-and-beaded-hose-fittings/tee/603-braze-junction-tee-series-165</t>
        </is>
      </c>
      <c r="G249" s="37" t="inlineStr">
        <is>
          <t>none shown</t>
        </is>
      </c>
      <c r="H249" s="37" t="inlineStr">
        <is>
          <t>NOT STARTED</t>
        </is>
      </c>
      <c r="I249" s="37" t="n"/>
      <c r="J249" s="37" t="n">
        <v>1</v>
      </c>
      <c r="K249" s="37" t="n"/>
    </row>
    <row r="250" ht="15" customHeight="1" s="35">
      <c r="A250" s="37" t="inlineStr">
        <is>
          <t>6400</t>
        </is>
      </c>
      <c r="B250" s="37" t="inlineStr">
        <is>
          <t>335</t>
        </is>
      </c>
      <c r="C250" s="37" t="inlineStr">
        <is>
          <t>F6400 Straight Thread Connector</t>
        </is>
      </c>
      <c r="D250" s="37" t="inlineStr">
        <is>
          <t>FLARE-O</t>
        </is>
      </c>
      <c r="E250" s="37" t="inlineStr">
        <is>
          <t>Straight</t>
        </is>
      </c>
      <c r="F250" s="37" t="inlineStr">
        <is>
          <t>https://parts.air-way.com/hydraulic-fittings/flare-o-hydraulic-fittings/straight/f6400-straight-thread-connector-series-335</t>
        </is>
      </c>
      <c r="G250" s="37" t="inlineStr">
        <is>
          <t>SAE J514 070120</t>
        </is>
      </c>
      <c r="H250" s="37" t="inlineStr">
        <is>
          <t>NOT STARTED</t>
        </is>
      </c>
      <c r="I250" s="37" t="n"/>
      <c r="J250" s="37" t="n">
        <v>35</v>
      </c>
      <c r="K250" s="37" t="n"/>
    </row>
    <row r="251" ht="15" customHeight="1" s="35">
      <c r="A251" s="37" t="inlineStr">
        <is>
          <t>6400</t>
        </is>
      </c>
      <c r="B251" s="37" t="inlineStr">
        <is>
          <t>450</t>
        </is>
      </c>
      <c r="C251" s="37" t="inlineStr">
        <is>
          <t>MBP6400 Threaded Straight Fitting, JIC to BSPP Stud End</t>
        </is>
      </c>
      <c r="D251" s="37" t="inlineStr">
        <is>
          <t>International &amp; Metric</t>
        </is>
      </c>
      <c r="E251" s="37" t="inlineStr">
        <is>
          <t>BSPP</t>
        </is>
      </c>
      <c r="F251" s="37" t="inlineStr">
        <is>
          <t>https://parts.air-way.com/hydraulic-fittings/international-metric/bspp/mbp6400-threaded-straight-fitting-jic-to-bspp-stud-end-series-450</t>
        </is>
      </c>
      <c r="G251" s="37" t="inlineStr">
        <is>
          <t>SAE J514, ISO 1179-3</t>
        </is>
      </c>
      <c r="H251" s="37" t="inlineStr">
        <is>
          <t>NOT STARTED</t>
        </is>
      </c>
      <c r="I251" s="37" t="n"/>
      <c r="J251" s="37" t="n">
        <v>24</v>
      </c>
      <c r="K251" s="37" t="n"/>
    </row>
    <row r="252" ht="15" customHeight="1" s="35">
      <c r="A252" s="37" t="inlineStr">
        <is>
          <t>6400</t>
        </is>
      </c>
      <c r="B252" s="37" t="inlineStr">
        <is>
          <t>464</t>
        </is>
      </c>
      <c r="C252" s="37" t="inlineStr">
        <is>
          <t>MBS6400 Threaded Straight Fitting, BSPP 60° Cone to SAE Stud End</t>
        </is>
      </c>
      <c r="D252" s="37" t="inlineStr">
        <is>
          <t>International &amp; Metric</t>
        </is>
      </c>
      <c r="E252" s="37" t="inlineStr">
        <is>
          <t>BSPP ISO 8434-6</t>
        </is>
      </c>
      <c r="F252" s="37" t="inlineStr">
        <is>
          <t>https://parts.air-way.com/hydraulic-fittings/international-metric/bspp-iso-8434-6/mbs6400-threaded-straight-fitting-bspp-60-cone-to-sae-stud-end-series-464</t>
        </is>
      </c>
      <c r="G252" s="37" t="inlineStr">
        <is>
          <t>ISO 8434-6 to SAE J1926-3</t>
        </is>
      </c>
      <c r="H252" s="37" t="inlineStr">
        <is>
          <t>NOT STARTED</t>
        </is>
      </c>
      <c r="I252" s="37" t="n"/>
      <c r="J252" s="37" t="n">
        <v>1</v>
      </c>
      <c r="K252" s="37" t="n"/>
    </row>
    <row r="253" ht="15" customHeight="1" s="35">
      <c r="A253" s="37" t="inlineStr">
        <is>
          <t>6400</t>
        </is>
      </c>
      <c r="B253" s="37" t="inlineStr">
        <is>
          <t>442</t>
        </is>
      </c>
      <c r="C253" s="37" t="inlineStr">
        <is>
          <t>M6400 Threaded Straight Fitting, JIC to Metric Stud End</t>
        </is>
      </c>
      <c r="D253" s="37" t="inlineStr">
        <is>
          <t>International &amp; Metric</t>
        </is>
      </c>
      <c r="E253" s="37" t="inlineStr">
        <is>
          <t>Metric</t>
        </is>
      </c>
      <c r="F253" s="37" t="inlineStr">
        <is>
          <t>https://parts.air-way.com/hydraulic-fittings/international-metric/metric/m6400-threaded-straight-fitting-jic-to-metric-stud-end-series-442</t>
        </is>
      </c>
      <c r="G253" s="37" t="inlineStr">
        <is>
          <t>SAE J514, ISO 9974</t>
        </is>
      </c>
      <c r="H253" s="37" t="inlineStr">
        <is>
          <t>NOT STARTED</t>
        </is>
      </c>
      <c r="I253" s="37" t="n"/>
      <c r="J253" s="37" t="n">
        <v>19</v>
      </c>
      <c r="K253" s="37" t="n"/>
    </row>
    <row r="254" ht="15" customHeight="1" s="35">
      <c r="A254" s="37" t="inlineStr">
        <is>
          <t>6400</t>
        </is>
      </c>
      <c r="B254" s="37" t="inlineStr">
        <is>
          <t>474</t>
        </is>
      </c>
      <c r="C254" s="37" t="inlineStr">
        <is>
          <t>MFF6400 Threaded Straight Fitting, ORFS to Metric Stud End</t>
        </is>
      </c>
      <c r="D254" s="37" t="inlineStr">
        <is>
          <t>International &amp; Metric</t>
        </is>
      </c>
      <c r="E254" s="37" t="inlineStr">
        <is>
          <t>ORFS metric</t>
        </is>
      </c>
      <c r="F254" s="37" t="inlineStr">
        <is>
          <t>https://parts.air-way.com/hydraulic-fittings/international-metric/orfs-metric/mff6400-threaded-straight-fitting-orfs-to-metric-stud-end-series-474</t>
        </is>
      </c>
      <c r="G254" s="37" t="inlineStr">
        <is>
          <t>SAE J1453, ISO 8434-3, ISO 6149</t>
        </is>
      </c>
      <c r="H254" s="37" t="inlineStr">
        <is>
          <t>NOT STARTED</t>
        </is>
      </c>
      <c r="I254" s="37" t="n"/>
      <c r="J254" s="37" t="n">
        <v>36</v>
      </c>
      <c r="K254" s="37" t="n"/>
    </row>
    <row r="255" ht="15" customHeight="1" s="35">
      <c r="A255" s="37" t="inlineStr">
        <is>
          <t>6400</t>
        </is>
      </c>
      <c r="B255" s="37" t="inlineStr">
        <is>
          <t>89</t>
        </is>
      </c>
      <c r="C255" s="37" t="inlineStr">
        <is>
          <t>6400 Straight Thread Connector</t>
        </is>
      </c>
      <c r="D255" s="37" t="inlineStr">
        <is>
          <t>JIC 37 &amp; Beaded Hose</t>
        </is>
      </c>
      <c r="E255" s="37" t="inlineStr">
        <is>
          <t>Straight</t>
        </is>
      </c>
      <c r="F255" s="37" t="inlineStr">
        <is>
          <t>https://parts.air-way.com/hydraulic-fittings/jic-and-beaded-hose-fittings/straight/6400-straight-thread-connector-series-89</t>
        </is>
      </c>
      <c r="G255" s="37" t="inlineStr">
        <is>
          <t>SAE J514 070120 / MS51525 / MS39324</t>
        </is>
      </c>
      <c r="H255" s="37" t="inlineStr">
        <is>
          <t>NOT STARTED</t>
        </is>
      </c>
      <c r="I255" s="37" t="n"/>
      <c r="J255" s="37" t="n">
        <v>65</v>
      </c>
      <c r="K255" s="37" t="n"/>
    </row>
    <row r="256" ht="15" customHeight="1" s="35">
      <c r="A256" s="37" t="inlineStr">
        <is>
          <t>6400</t>
        </is>
      </c>
      <c r="B256" s="37" t="inlineStr">
        <is>
          <t>14</t>
        </is>
      </c>
      <c r="C256" s="37" t="inlineStr">
        <is>
          <t>FF6400 Straight Thread Connector</t>
        </is>
      </c>
      <c r="D256" s="37" t="inlineStr">
        <is>
          <t>ORFS</t>
        </is>
      </c>
      <c r="E256" s="37" t="inlineStr">
        <is>
          <t>Straight</t>
        </is>
      </c>
      <c r="F256" s="37" t="inlineStr">
        <is>
          <t>https://parts.air-way.com/hydraulic-fittings/o-ring-face-seal-orfs-hydraulic-fittings/straight/ff6400-straight-thread-connector-series-14</t>
        </is>
      </c>
      <c r="G256" s="37" t="inlineStr">
        <is>
          <t>SAE J1453 520120</t>
        </is>
      </c>
      <c r="H256" s="37" t="inlineStr">
        <is>
          <t>NOT STARTED</t>
        </is>
      </c>
      <c r="I256" s="37" t="n"/>
      <c r="J256" s="37" t="n">
        <v>41</v>
      </c>
      <c r="K256" s="37" t="n"/>
    </row>
    <row r="257" ht="15" customHeight="1" s="35">
      <c r="A257" s="37" t="inlineStr">
        <is>
          <t>6400</t>
        </is>
      </c>
      <c r="B257" s="37" t="inlineStr">
        <is>
          <t>248</t>
        </is>
      </c>
      <c r="C257" s="37" t="inlineStr">
        <is>
          <t>SS6400 Straight Thread Connector series</t>
        </is>
      </c>
      <c r="D257" s="37" t="inlineStr">
        <is>
          <t>Stainless Steel Fittings</t>
        </is>
      </c>
      <c r="E257" s="37" t="inlineStr">
        <is>
          <t>Straight</t>
        </is>
      </c>
      <c r="F257" s="37" t="inlineStr">
        <is>
          <t>https://parts.air-way.com/hydraulic-fittings/stainless-steel-hydraulic-fittings/straight/ss6400-straight-thread-connector-series-248</t>
        </is>
      </c>
      <c r="G257" s="37" t="inlineStr">
        <is>
          <t>SAE J514 070120 / MS51525 / MS39324</t>
        </is>
      </c>
      <c r="H257" s="37" t="inlineStr">
        <is>
          <t>NOT STARTED</t>
        </is>
      </c>
      <c r="I257" s="37" t="n"/>
      <c r="J257" s="37" t="n">
        <v>38</v>
      </c>
      <c r="K257" s="37" t="n"/>
    </row>
    <row r="258" ht="15" customHeight="1" s="35">
      <c r="A258" s="37" t="inlineStr">
        <is>
          <t>6400-L</t>
        </is>
      </c>
      <c r="B258" s="37" t="inlineStr">
        <is>
          <t>336</t>
        </is>
      </c>
      <c r="C258" s="37" t="inlineStr">
        <is>
          <t>F6400-L Straight Thread Connector Long</t>
        </is>
      </c>
      <c r="D258" s="37" t="inlineStr">
        <is>
          <t>FLARE-O</t>
        </is>
      </c>
      <c r="E258" s="37" t="inlineStr">
        <is>
          <t>Straight</t>
        </is>
      </c>
      <c r="F258" s="37" t="inlineStr">
        <is>
          <t>https://parts.air-way.com/hydraulic-fittings/flare-o-hydraulic-fittings/straight/f6400-l-straight-thread-connector-long-series-336</t>
        </is>
      </c>
      <c r="G258" s="37" t="inlineStr">
        <is>
          <t>SAE J514 071720</t>
        </is>
      </c>
      <c r="H258" s="37" t="inlineStr">
        <is>
          <t>NOT STARTED</t>
        </is>
      </c>
      <c r="I258" s="37" t="n"/>
      <c r="J258" s="37" t="n">
        <v>5</v>
      </c>
      <c r="K258" s="37" t="n"/>
    </row>
    <row r="259" ht="15" customHeight="1" s="35">
      <c r="A259" s="37" t="inlineStr">
        <is>
          <t>6400-L</t>
        </is>
      </c>
      <c r="B259" s="37" t="inlineStr">
        <is>
          <t>475</t>
        </is>
      </c>
      <c r="C259" s="37" t="inlineStr">
        <is>
          <t>MFF6400-L Threaded Straight Fitting, ORFS to Metric Stud End - Long</t>
        </is>
      </c>
      <c r="D259" s="37" t="inlineStr">
        <is>
          <t>International &amp; Metric</t>
        </is>
      </c>
      <c r="E259" s="37" t="inlineStr">
        <is>
          <t>ORFS metric</t>
        </is>
      </c>
      <c r="F259" s="37" t="inlineStr">
        <is>
          <t>https://parts.air-way.com/hydraulic-fittings/international-metric/orfs-metric/mff6400-l-threaded-straight-fitting-orfs-to-metric-stud-end-long-series-475</t>
        </is>
      </c>
      <c r="G259" s="37" t="inlineStr">
        <is>
          <t>SAE J1453, ISO 8434-3, ISO 6149</t>
        </is>
      </c>
      <c r="H259" s="37" t="inlineStr">
        <is>
          <t>NOT STARTED</t>
        </is>
      </c>
      <c r="I259" s="37" t="n"/>
      <c r="J259" s="37" t="n">
        <v>20</v>
      </c>
      <c r="K259" s="37" t="n"/>
    </row>
    <row r="260" ht="15" customHeight="1" s="35">
      <c r="A260" s="37" t="inlineStr">
        <is>
          <t>6400-L</t>
        </is>
      </c>
      <c r="B260" s="37" t="inlineStr">
        <is>
          <t>90</t>
        </is>
      </c>
      <c r="C260" s="37" t="inlineStr">
        <is>
          <t>6400-L Straight Thread Connector Long</t>
        </is>
      </c>
      <c r="D260" s="37" t="inlineStr">
        <is>
          <t>JIC 37 &amp; Beaded Hose</t>
        </is>
      </c>
      <c r="E260" s="37" t="inlineStr">
        <is>
          <t>Straight</t>
        </is>
      </c>
      <c r="F260" s="37" t="inlineStr">
        <is>
          <t>https://parts.air-way.com/hydraulic-fittings/jic-and-beaded-hose-fittings/straight/6400-l-straight-thread-connector-long-series-90</t>
        </is>
      </c>
      <c r="G260" s="37" t="inlineStr">
        <is>
          <t>SAE J514 071720 formally 070122 / MS51526</t>
        </is>
      </c>
      <c r="H260" s="37" t="inlineStr">
        <is>
          <t>NOT STARTED</t>
        </is>
      </c>
      <c r="I260" s="37" t="n"/>
      <c r="J260" s="37" t="n">
        <v>15</v>
      </c>
      <c r="K260" s="37" t="n"/>
    </row>
    <row r="261" ht="15" customHeight="1" s="35">
      <c r="A261" s="37" t="inlineStr">
        <is>
          <t>6400-L</t>
        </is>
      </c>
      <c r="B261" s="37" t="inlineStr">
        <is>
          <t>15</t>
        </is>
      </c>
      <c r="C261" s="37" t="inlineStr">
        <is>
          <t>FF6400-L Straight Thread Connector Long</t>
        </is>
      </c>
      <c r="D261" s="37" t="inlineStr">
        <is>
          <t>ORFS</t>
        </is>
      </c>
      <c r="E261" s="37" t="inlineStr">
        <is>
          <t>Straight</t>
        </is>
      </c>
      <c r="F261" s="37" t="inlineStr">
        <is>
          <t>https://parts.air-way.com/hydraulic-fittings/o-ring-face-seal-orfs-hydraulic-fittings/straight/ff6400-l-straight-thread-connector-long-series-15</t>
        </is>
      </c>
      <c r="G261" s="37" t="inlineStr">
        <is>
          <t>SAE J1453 521820/521720</t>
        </is>
      </c>
      <c r="H261" s="37" t="inlineStr">
        <is>
          <t>NOT STARTED</t>
        </is>
      </c>
      <c r="I261" s="37" t="n"/>
      <c r="J261" s="37" t="n">
        <v>16</v>
      </c>
      <c r="K261" s="37" t="n"/>
    </row>
    <row r="262" ht="15" customHeight="1" s="35">
      <c r="A262" s="37" t="inlineStr">
        <is>
          <t>6400-L</t>
        </is>
      </c>
      <c r="B262" s="37" t="inlineStr">
        <is>
          <t>249</t>
        </is>
      </c>
      <c r="C262" s="37" t="inlineStr">
        <is>
          <t>SS6400-L Straight Thread Connector Long series</t>
        </is>
      </c>
      <c r="D262" s="37" t="inlineStr">
        <is>
          <t>Stainless Steel Fittings</t>
        </is>
      </c>
      <c r="E262" s="37" t="inlineStr">
        <is>
          <t>Straight</t>
        </is>
      </c>
      <c r="F262" s="37" t="inlineStr">
        <is>
          <t>https://parts.air-way.com/hydraulic-fittings/stainless-steel-hydraulic-fittings/straight/ss6400-l-straight-thread-connector-long-series-249</t>
        </is>
      </c>
      <c r="G262" s="37" t="inlineStr">
        <is>
          <t>SAE J514 071720 formally 070122 / MS51526</t>
        </is>
      </c>
      <c r="H262" s="37" t="inlineStr">
        <is>
          <t>NOT STARTED</t>
        </is>
      </c>
      <c r="I262" s="37" t="n"/>
      <c r="J262" s="37" t="n">
        <v>2</v>
      </c>
      <c r="K262" s="37" t="n"/>
    </row>
    <row r="263" ht="15" customHeight="1" s="35">
      <c r="A263" s="37" t="inlineStr">
        <is>
          <t>6400-LL</t>
        </is>
      </c>
      <c r="B263" s="37" t="inlineStr">
        <is>
          <t>497</t>
        </is>
      </c>
      <c r="C263" s="37" t="inlineStr">
        <is>
          <t>MFF6400-LL ORFS to Metric Stud End - Long</t>
        </is>
      </c>
      <c r="D263" s="37" t="inlineStr">
        <is>
          <t>International &amp; Metric</t>
        </is>
      </c>
      <c r="E263" s="37" t="inlineStr">
        <is>
          <t>ORFS metric</t>
        </is>
      </c>
      <c r="F263" s="37" t="inlineStr">
        <is>
          <t>https://parts.air-way.com/hydraulic-fittings/international-metric/orfs-metric/mff6400-ll-orfs-to-metric-stud-end-long-series-497</t>
        </is>
      </c>
      <c r="G263" s="37" t="inlineStr">
        <is>
          <t>SAE J1453, ISO 8434-3, ISO 6149</t>
        </is>
      </c>
      <c r="H263" s="37" t="inlineStr">
        <is>
          <t>NOT STARTED</t>
        </is>
      </c>
      <c r="I263" s="37" t="n"/>
      <c r="J263" s="37" t="n">
        <v>4</v>
      </c>
      <c r="K263" s="37" t="n"/>
    </row>
    <row r="264" ht="15" customHeight="1" s="35">
      <c r="A264" s="37" t="inlineStr">
        <is>
          <t>6401</t>
        </is>
      </c>
      <c r="B264" s="37" t="inlineStr">
        <is>
          <t>91</t>
        </is>
      </c>
      <c r="C264" s="37" t="inlineStr">
        <is>
          <t>6401 Straight Thread/Male Pipe Adapter</t>
        </is>
      </c>
      <c r="D264" s="37" t="inlineStr">
        <is>
          <t>JIC 37 &amp; Beaded Hose</t>
        </is>
      </c>
      <c r="E264" s="37" t="inlineStr">
        <is>
          <t>Straight</t>
        </is>
      </c>
      <c r="F264" s="37" t="inlineStr">
        <is>
          <t>https://parts.air-way.com/hydraulic-fittings/jic-and-beaded-hose-fittings/straight/6401-straight-thread-male-pipe-adapter-series-91</t>
        </is>
      </c>
      <c r="G264" s="37" t="inlineStr">
        <is>
          <t>none shown</t>
        </is>
      </c>
      <c r="H264" s="37" t="inlineStr">
        <is>
          <t>NOT STARTED</t>
        </is>
      </c>
      <c r="I264" s="37" t="n"/>
      <c r="J264" s="37" t="n">
        <v>26</v>
      </c>
      <c r="K264" s="37" t="n"/>
    </row>
    <row r="265" ht="15" customHeight="1" s="35">
      <c r="A265" s="37" t="inlineStr">
        <is>
          <t>6401</t>
        </is>
      </c>
      <c r="B265" s="37" t="inlineStr">
        <is>
          <t>250</t>
        </is>
      </c>
      <c r="C265" s="37" t="inlineStr">
        <is>
          <t>SS6401 Straight Thread/Male Pipe Adapter series</t>
        </is>
      </c>
      <c r="D265" s="37" t="inlineStr">
        <is>
          <t>Stainless Steel Fittings</t>
        </is>
      </c>
      <c r="E265" s="37" t="inlineStr">
        <is>
          <t>Straight</t>
        </is>
      </c>
      <c r="F265" s="37" t="inlineStr">
        <is>
          <t>https://parts.air-way.com/hydraulic-fittings/stainless-steel-hydraulic-fittings/straight/ss6401-straight-thread-male-pipe-adapter-series-250</t>
        </is>
      </c>
      <c r="G265" s="37" t="inlineStr">
        <is>
          <t>SAE J514 (no numeric code shown)</t>
        </is>
      </c>
      <c r="H265" s="37" t="inlineStr">
        <is>
          <t>NOT STARTED</t>
        </is>
      </c>
      <c r="I265" s="37" t="n"/>
      <c r="J265" s="37" t="n">
        <v>11</v>
      </c>
      <c r="K265" s="37" t="n"/>
    </row>
    <row r="266" ht="15" customHeight="1" s="35">
      <c r="A266" s="37" t="inlineStr">
        <is>
          <t>6402</t>
        </is>
      </c>
      <c r="B266" s="37" t="inlineStr">
        <is>
          <t>512</t>
        </is>
      </c>
      <c r="C266" s="37" t="inlineStr">
        <is>
          <t>MFF6402 Straight Thread / Swivel Adapter</t>
        </is>
      </c>
      <c r="D266" s="37" t="inlineStr">
        <is>
          <t>International &amp; Metric</t>
        </is>
      </c>
      <c r="E266" s="37" t="inlineStr">
        <is>
          <t>ORFS metric</t>
        </is>
      </c>
      <c r="F266" s="37" t="inlineStr">
        <is>
          <t>https://parts.air-way.com/hydraulic-fittings/international-metric/orfs-metric/mff6402-straight-thread-swivel-adapter-series-512</t>
        </is>
      </c>
      <c r="G266" s="37" t="inlineStr">
        <is>
          <t>SAE J1432-2 52M0196 (as printed)</t>
        </is>
      </c>
      <c r="H266" s="37" t="inlineStr">
        <is>
          <t>NOT STARTED</t>
        </is>
      </c>
      <c r="I266" s="37" t="n"/>
      <c r="J266" s="37" t="n">
        <v>5</v>
      </c>
      <c r="K266" s="37" t="n"/>
    </row>
    <row r="267" ht="15" customHeight="1" s="35">
      <c r="A267" s="37" t="inlineStr">
        <is>
          <t>6402</t>
        </is>
      </c>
      <c r="B267" s="37" t="inlineStr">
        <is>
          <t>92</t>
        </is>
      </c>
      <c r="C267" s="37" t="inlineStr">
        <is>
          <t>6402 Straight Thread/37° Female Swivel Adapter</t>
        </is>
      </c>
      <c r="D267" s="37" t="inlineStr">
        <is>
          <t>JIC 37 &amp; Beaded Hose</t>
        </is>
      </c>
      <c r="E267" s="37" t="inlineStr">
        <is>
          <t>Straight</t>
        </is>
      </c>
      <c r="F267" s="37" t="inlineStr">
        <is>
          <t>https://parts.air-way.com/hydraulic-fittings/jic-and-beaded-hose-fittings/straight/6402-straight-thread-37-female-swivel-adapter-series-92</t>
        </is>
      </c>
      <c r="G267" s="37" t="inlineStr">
        <is>
          <t>none shown</t>
        </is>
      </c>
      <c r="H267" s="37" t="inlineStr">
        <is>
          <t>TABLED</t>
        </is>
      </c>
      <c r="I267" s="37" t="n"/>
      <c r="J267" s="37" t="n">
        <v>22</v>
      </c>
      <c r="K267" s="37" t="inlineStr">
        <is>
          <t>TABLED 2026-09-23: double-pass extraction 22 rows (sheet said 22); DesignTable_6402.xlsx; scope vs OMi feed: 15 BUILD / 7 DROP / 0 OMi-only (0 differ only by -FG); 1 source anomaly note(s) in 07_RAW_EXTRACTS/airway_anomalies_2026-09-23.txt</t>
        </is>
      </c>
    </row>
    <row r="268" ht="15" customHeight="1" s="35">
      <c r="A268" s="37" t="inlineStr">
        <is>
          <t>6402</t>
        </is>
      </c>
      <c r="B268" s="37" t="inlineStr">
        <is>
          <t>16</t>
        </is>
      </c>
      <c r="C268" s="37" t="inlineStr">
        <is>
          <t>FF6402 Straight Thread / Female ORFS Swivel Adapter</t>
        </is>
      </c>
      <c r="D268" s="37" t="inlineStr">
        <is>
          <t>ORFS</t>
        </is>
      </c>
      <c r="E268" s="37" t="inlineStr">
        <is>
          <t>Straight</t>
        </is>
      </c>
      <c r="F268" s="37" t="inlineStr">
        <is>
          <t>https://parts.air-way.com/hydraulic-fittings/o-ring-face-seal-orfs-hydraulic-fittings/straight/ff6402-straight-thread-female-orfs-swivel-adapter-series-16</t>
        </is>
      </c>
      <c r="G268" s="37" t="inlineStr">
        <is>
          <t>SAE J1453 520181</t>
        </is>
      </c>
      <c r="H268" s="37" t="inlineStr">
        <is>
          <t>NOT STARTED</t>
        </is>
      </c>
      <c r="I268" s="37" t="n"/>
      <c r="J268" s="37" t="n">
        <v>11</v>
      </c>
      <c r="K268" s="37" t="n"/>
    </row>
    <row r="269" ht="15" customHeight="1" s="35">
      <c r="A269" s="37" t="inlineStr">
        <is>
          <t>6402</t>
        </is>
      </c>
      <c r="B269" s="37" t="inlineStr">
        <is>
          <t>251</t>
        </is>
      </c>
      <c r="C269" s="37" t="inlineStr">
        <is>
          <t>SS6402 Straight Thread/37° Female Swivel Adapter series</t>
        </is>
      </c>
      <c r="D269" s="37" t="inlineStr">
        <is>
          <t>Stainless Steel Fittings</t>
        </is>
      </c>
      <c r="E269" s="37" t="inlineStr">
        <is>
          <t>Straight</t>
        </is>
      </c>
      <c r="F269" s="37" t="inlineStr">
        <is>
          <t>https://parts.air-way.com/hydraulic-fittings/stainless-steel-hydraulic-fittings/straight/ss6402-straight-thread-37-female-swivel-adapter-series-251</t>
        </is>
      </c>
      <c r="G269" s="37" t="inlineStr">
        <is>
          <t>SAE J514 (no numeric code shown)</t>
        </is>
      </c>
      <c r="H269" s="37" t="inlineStr">
        <is>
          <t>NOT STARTED</t>
        </is>
      </c>
      <c r="I269" s="37" t="n"/>
      <c r="J269" s="37" t="n">
        <v>8</v>
      </c>
      <c r="K269" s="37" t="n"/>
    </row>
    <row r="270" ht="15" customHeight="1" s="35">
      <c r="A270" s="37" t="inlineStr">
        <is>
          <t>6403</t>
        </is>
      </c>
      <c r="B270" s="37" t="inlineStr">
        <is>
          <t>93</t>
        </is>
      </c>
      <c r="C270" s="37" t="inlineStr">
        <is>
          <t>6403 Straight Thread Union</t>
        </is>
      </c>
      <c r="D270" s="37" t="inlineStr">
        <is>
          <t>JIC 37 &amp; Beaded Hose</t>
        </is>
      </c>
      <c r="E270" s="37" t="inlineStr">
        <is>
          <t>Straight</t>
        </is>
      </c>
      <c r="F270" s="37" t="inlineStr">
        <is>
          <t>https://parts.air-way.com/hydraulic-fittings/jic-and-beaded-hose-fittings/straight/6403-straight-thread-union-series-93</t>
        </is>
      </c>
      <c r="G270" s="37" t="inlineStr">
        <is>
          <t>none shown</t>
        </is>
      </c>
      <c r="H270" s="37" t="inlineStr">
        <is>
          <t>NOT STARTED</t>
        </is>
      </c>
      <c r="I270" s="37" t="n"/>
      <c r="J270" s="37" t="n">
        <v>8</v>
      </c>
      <c r="K270" s="37" t="n"/>
    </row>
    <row r="271" ht="15" customHeight="1" s="35">
      <c r="A271" s="37" t="inlineStr">
        <is>
          <t>6404</t>
        </is>
      </c>
      <c r="B271" s="37" t="inlineStr">
        <is>
          <t>94</t>
        </is>
      </c>
      <c r="C271" s="37" t="inlineStr">
        <is>
          <t>6404 O-ring Port/Male Pipe Adapter</t>
        </is>
      </c>
      <c r="D271" s="37" t="inlineStr">
        <is>
          <t>JIC 37 &amp; Beaded Hose</t>
        </is>
      </c>
      <c r="E271" s="37" t="inlineStr">
        <is>
          <t>Straight</t>
        </is>
      </c>
      <c r="F271" s="37" t="inlineStr">
        <is>
          <t>https://parts.air-way.com/hydraulic-fittings/jic-and-beaded-hose-fittings/straight/6404-o-ring-port-male-pipe-adapter-series-94</t>
        </is>
      </c>
      <c r="G271" s="37" t="inlineStr">
        <is>
          <t>none shown</t>
        </is>
      </c>
      <c r="H271" s="37" t="inlineStr">
        <is>
          <t>NOT STARTED</t>
        </is>
      </c>
      <c r="I271" s="37" t="n"/>
      <c r="J271" s="37" t="n">
        <v>26</v>
      </c>
      <c r="K271" s="37" t="n"/>
    </row>
    <row r="272" ht="15" customHeight="1" s="35">
      <c r="A272" s="37" t="inlineStr">
        <is>
          <t>6404</t>
        </is>
      </c>
      <c r="B272" s="37" t="inlineStr">
        <is>
          <t>252</t>
        </is>
      </c>
      <c r="C272" s="37" t="inlineStr">
        <is>
          <t>SS6404 O-ring Port/Male Pipe Adapter series</t>
        </is>
      </c>
      <c r="D272" s="37" t="inlineStr">
        <is>
          <t>Stainless Steel Fittings</t>
        </is>
      </c>
      <c r="E272" s="37" t="inlineStr">
        <is>
          <t>Straight</t>
        </is>
      </c>
      <c r="F272" s="37" t="inlineStr">
        <is>
          <t>https://parts.air-way.com/hydraulic-fittings/stainless-steel-hydraulic-fittings/straight/ss6404-o-ring-port-male-pipe-adapter-series-252</t>
        </is>
      </c>
      <c r="G272" s="37" t="inlineStr">
        <is>
          <t>SAE J514 (no numeric code shown)</t>
        </is>
      </c>
      <c r="H272" s="37" t="inlineStr">
        <is>
          <t>NOT STARTED</t>
        </is>
      </c>
      <c r="I272" s="37" t="n"/>
      <c r="J272" s="37" t="n">
        <v>9</v>
      </c>
      <c r="K272" s="37" t="n"/>
    </row>
    <row r="273" ht="15" customHeight="1" s="35">
      <c r="A273" s="37" t="inlineStr">
        <is>
          <t>6405</t>
        </is>
      </c>
      <c r="B273" s="37" t="inlineStr">
        <is>
          <t>496</t>
        </is>
      </c>
      <c r="C273" s="37" t="inlineStr">
        <is>
          <t>MBP6405 BSPP End to Female NPTF Stud</t>
        </is>
      </c>
      <c r="D273" s="37" t="inlineStr">
        <is>
          <t>International &amp; Metric</t>
        </is>
      </c>
      <c r="E273" s="37" t="inlineStr">
        <is>
          <t>BSPP</t>
        </is>
      </c>
      <c r="F273" s="37" t="inlineStr">
        <is>
          <t>https://parts.air-way.com/hydraulic-fittings/international-metric/bspp/mbp6405-bspp-end-to-female-nptf-stud-series-496</t>
        </is>
      </c>
      <c r="G273" s="37" t="inlineStr">
        <is>
          <t>ISO 1179-3, SAE J514</t>
        </is>
      </c>
      <c r="H273" s="37" t="inlineStr">
        <is>
          <t>NOT STARTED</t>
        </is>
      </c>
      <c r="I273" s="37" t="n"/>
      <c r="J273" s="37" t="n">
        <v>2</v>
      </c>
      <c r="K273" s="37" t="n"/>
    </row>
    <row r="274" ht="15" customHeight="1" s="35">
      <c r="A274" s="37" t="inlineStr">
        <is>
          <t>6405</t>
        </is>
      </c>
      <c r="B274" s="37" t="inlineStr">
        <is>
          <t>443</t>
        </is>
      </c>
      <c r="C274" s="37" t="inlineStr">
        <is>
          <t>M6405 Threaded Straight Fitting, Metric Stud End to Female NPTF</t>
        </is>
      </c>
      <c r="D274" s="37" t="inlineStr">
        <is>
          <t>International &amp; Metric</t>
        </is>
      </c>
      <c r="E274" s="37" t="inlineStr">
        <is>
          <t>Metric</t>
        </is>
      </c>
      <c r="F274" s="37" t="inlineStr">
        <is>
          <t>https://parts.air-way.com/hydraulic-fittings/international-metric/metric/m6405-threaded-straight-fitting-metric-stud-end-to-female-nptf-series-443</t>
        </is>
      </c>
      <c r="G274" s="37" t="inlineStr">
        <is>
          <t>ISO 9974, SAE J514</t>
        </is>
      </c>
      <c r="H274" s="37" t="inlineStr">
        <is>
          <t>NOT STARTED</t>
        </is>
      </c>
      <c r="I274" s="37" t="n"/>
      <c r="J274" s="37" t="n">
        <v>10</v>
      </c>
      <c r="K274" s="37" t="n"/>
    </row>
    <row r="275" ht="15" customHeight="1" s="35">
      <c r="A275" s="37" t="inlineStr">
        <is>
          <t>6405</t>
        </is>
      </c>
      <c r="B275" s="37" t="inlineStr">
        <is>
          <t>95</t>
        </is>
      </c>
      <c r="C275" s="37" t="inlineStr">
        <is>
          <t>6405 Straight Thread/Female Pipe Adapter</t>
        </is>
      </c>
      <c r="D275" s="37" t="inlineStr">
        <is>
          <t>JIC 37 &amp; Beaded Hose</t>
        </is>
      </c>
      <c r="E275" s="37" t="inlineStr">
        <is>
          <t>Straight</t>
        </is>
      </c>
      <c r="F275" s="37" t="inlineStr">
        <is>
          <t>https://parts.air-way.com/hydraulic-fittings/jic-and-beaded-hose-fittings/straight/6405-straight-thread-female-pipe-adapter-series-95</t>
        </is>
      </c>
      <c r="G275" s="37" t="inlineStr">
        <is>
          <t>none shown</t>
        </is>
      </c>
      <c r="H275" s="37" t="inlineStr">
        <is>
          <t>NOT STARTED</t>
        </is>
      </c>
      <c r="I275" s="37" t="n"/>
      <c r="J275" s="37" t="n">
        <v>44</v>
      </c>
      <c r="K275" s="37" t="n"/>
    </row>
    <row r="276" ht="15" customHeight="1" s="35">
      <c r="A276" s="37" t="inlineStr">
        <is>
          <t>6405</t>
        </is>
      </c>
      <c r="B276" s="37" t="inlineStr">
        <is>
          <t>253</t>
        </is>
      </c>
      <c r="C276" s="37" t="inlineStr">
        <is>
          <t>SS6405 Straight/Female Pipe Adapter series</t>
        </is>
      </c>
      <c r="D276" s="37" t="inlineStr">
        <is>
          <t>Stainless Steel Fittings</t>
        </is>
      </c>
      <c r="E276" s="37" t="inlineStr">
        <is>
          <t>Straight</t>
        </is>
      </c>
      <c r="F276" s="37" t="inlineStr">
        <is>
          <t>https://parts.air-way.com/hydraulic-fittings/stainless-steel-hydraulic-fittings/straight/ss6405-straight-female-pipe-adapter-series-253</t>
        </is>
      </c>
      <c r="G276" s="37" t="inlineStr">
        <is>
          <t>SAE J514 (no numeric code shown)</t>
        </is>
      </c>
      <c r="H276" s="37" t="inlineStr">
        <is>
          <t>NOT STARTED</t>
        </is>
      </c>
      <c r="I276" s="37" t="n"/>
      <c r="J276" s="37" t="n">
        <v>23</v>
      </c>
      <c r="K276" s="37" t="n"/>
    </row>
    <row r="277" ht="15" customHeight="1" s="35">
      <c r="A277" s="37" t="inlineStr">
        <is>
          <t>6407</t>
        </is>
      </c>
      <c r="B277" s="37" t="inlineStr">
        <is>
          <t>506</t>
        </is>
      </c>
      <c r="C277" s="37" t="inlineStr">
        <is>
          <t>M6407 Straight Thread Adjustable Union</t>
        </is>
      </c>
      <c r="D277" s="37" t="inlineStr">
        <is>
          <t>International &amp; Metric</t>
        </is>
      </c>
      <c r="E277" s="37" t="inlineStr">
        <is>
          <t>Metric</t>
        </is>
      </c>
      <c r="F277" s="37" t="inlineStr">
        <is>
          <t>https://parts.air-way.com/hydraulic-fittings/international-metric/metric/m6407-straight-thread-adjustable-union-series-506</t>
        </is>
      </c>
      <c r="G277" s="37" t="inlineStr">
        <is>
          <t>ISO 6149-3</t>
        </is>
      </c>
      <c r="H277" s="37" t="inlineStr">
        <is>
          <t>NOT STARTED</t>
        </is>
      </c>
      <c r="I277" s="37" t="n"/>
      <c r="J277" s="37" t="n">
        <v>4</v>
      </c>
      <c r="K277" s="37" t="n"/>
    </row>
    <row r="278" ht="15" customHeight="1" s="35">
      <c r="A278" s="37" t="inlineStr">
        <is>
          <t>6407</t>
        </is>
      </c>
      <c r="B278" s="37" t="inlineStr">
        <is>
          <t>96</t>
        </is>
      </c>
      <c r="C278" s="37" t="inlineStr">
        <is>
          <t>6407 Straight Thread Adjustable Union</t>
        </is>
      </c>
      <c r="D278" s="37" t="inlineStr">
        <is>
          <t>JIC 37 &amp; Beaded Hose</t>
        </is>
      </c>
      <c r="E278" s="37" t="inlineStr">
        <is>
          <t>Straight</t>
        </is>
      </c>
      <c r="F278" s="37" t="inlineStr">
        <is>
          <t>https://parts.air-way.com/hydraulic-fittings/jic-and-beaded-hose-fittings/straight/6407-straight-thread-adjustable-union-series-96</t>
        </is>
      </c>
      <c r="G278" s="37" t="inlineStr">
        <is>
          <t>none shown</t>
        </is>
      </c>
      <c r="H278" s="37" t="inlineStr">
        <is>
          <t>NOT STARTED</t>
        </is>
      </c>
      <c r="I278" s="37" t="n"/>
      <c r="J278" s="37" t="n">
        <v>17</v>
      </c>
      <c r="K278" s="37" t="n"/>
    </row>
    <row r="279" ht="15" customHeight="1" s="35">
      <c r="A279" s="37" t="inlineStr">
        <is>
          <t>6407</t>
        </is>
      </c>
      <c r="B279" s="37" t="inlineStr">
        <is>
          <t>254</t>
        </is>
      </c>
      <c r="C279" s="37" t="inlineStr">
        <is>
          <t>SS6407 Straight Thread Union series</t>
        </is>
      </c>
      <c r="D279" s="37" t="inlineStr">
        <is>
          <t>Stainless Steel Fittings</t>
        </is>
      </c>
      <c r="E279" s="37" t="inlineStr">
        <is>
          <t>Straight</t>
        </is>
      </c>
      <c r="F279" s="37" t="inlineStr">
        <is>
          <t>https://parts.air-way.com/hydraulic-fittings/stainless-steel-hydraulic-fittings/straight/ss6407-straight-thread-union-series-254</t>
        </is>
      </c>
      <c r="G279" s="37" t="inlineStr">
        <is>
          <t>SAE J514 (no numeric code shown)</t>
        </is>
      </c>
      <c r="H279" s="37" t="inlineStr">
        <is>
          <t>NOT STARTED</t>
        </is>
      </c>
      <c r="I279" s="37" t="n"/>
      <c r="J279" s="37" t="n">
        <v>6</v>
      </c>
      <c r="K279" s="37" t="n"/>
    </row>
    <row r="280" ht="15" customHeight="1" s="35">
      <c r="A280" s="37" t="inlineStr">
        <is>
          <t>6408</t>
        </is>
      </c>
      <c r="B280" s="37" t="inlineStr">
        <is>
          <t>444</t>
        </is>
      </c>
      <c r="C280" s="37" t="inlineStr">
        <is>
          <t>M6408 Threaded Straight Fitting, Metric Hex Head O-Ring Plug</t>
        </is>
      </c>
      <c r="D280" s="37" t="inlineStr">
        <is>
          <t>International &amp; Metric</t>
        </is>
      </c>
      <c r="E280" s="37" t="inlineStr">
        <is>
          <t>Metric</t>
        </is>
      </c>
      <c r="F280" s="37" t="inlineStr">
        <is>
          <t>https://parts.air-way.com/hydraulic-fittings/international-metric/metric/m6408-threaded-straight-fitting-metric-hex-head-o-ring-plug-series-444</t>
        </is>
      </c>
      <c r="G280" s="37" t="inlineStr">
        <is>
          <t>ISO 6149-4</t>
        </is>
      </c>
      <c r="H280" s="37" t="inlineStr">
        <is>
          <t>NOT STARTED</t>
        </is>
      </c>
      <c r="I280" s="37" t="n"/>
      <c r="J280" s="37" t="n">
        <v>13</v>
      </c>
      <c r="K280" s="37" t="n"/>
    </row>
    <row r="281" ht="15" customHeight="1" s="35">
      <c r="A281" s="37" t="inlineStr">
        <is>
          <t>6408</t>
        </is>
      </c>
      <c r="B281" s="37" t="inlineStr">
        <is>
          <t>97</t>
        </is>
      </c>
      <c r="C281" s="37" t="inlineStr">
        <is>
          <t>6408 Hexagon Head O-ring Boss Plug</t>
        </is>
      </c>
      <c r="D281" s="37" t="inlineStr">
        <is>
          <t>JIC 37 &amp; Beaded Hose</t>
        </is>
      </c>
      <c r="E281" s="37" t="inlineStr">
        <is>
          <t>Straight</t>
        </is>
      </c>
      <c r="F281" s="37" t="inlineStr">
        <is>
          <t>https://parts.air-way.com/hydraulic-fittings/jic-and-beaded-hose-fittings/straight/6408-hexagon-head-o-ring-boss-plug-series-97</t>
        </is>
      </c>
      <c r="G281" s="37" t="inlineStr">
        <is>
          <t>SAE J1926-4 / J514 090109A</t>
        </is>
      </c>
      <c r="H281" s="37" t="inlineStr">
        <is>
          <t>NOT STARTED</t>
        </is>
      </c>
      <c r="I281" s="37" t="n"/>
      <c r="J281" s="37" t="n">
        <v>23</v>
      </c>
      <c r="K281" s="37" t="n"/>
    </row>
    <row r="282" ht="15" customHeight="1" s="35">
      <c r="A282" s="37" t="inlineStr">
        <is>
          <t>6408</t>
        </is>
      </c>
      <c r="B282" s="37" t="inlineStr">
        <is>
          <t>255</t>
        </is>
      </c>
      <c r="C282" s="37" t="inlineStr">
        <is>
          <t>SS6408 Hexagon Head O-ring Boss Plug series</t>
        </is>
      </c>
      <c r="D282" s="37" t="inlineStr">
        <is>
          <t>Stainless Steel Fittings</t>
        </is>
      </c>
      <c r="E282" s="37" t="inlineStr">
        <is>
          <t>Straight</t>
        </is>
      </c>
      <c r="F282" s="37" t="inlineStr">
        <is>
          <t>https://parts.air-way.com/hydraulic-fittings/stainless-steel-hydraulic-fittings/straight/ss6408-hexagon-head-o-ring-boss-plug-series-255</t>
        </is>
      </c>
      <c r="G282" s="37" t="inlineStr">
        <is>
          <t>SAE J514 090109A</t>
        </is>
      </c>
      <c r="H282" s="37" t="inlineStr">
        <is>
          <t>NOT STARTED</t>
        </is>
      </c>
      <c r="I282" s="37" t="n"/>
      <c r="J282" s="37" t="n">
        <v>13</v>
      </c>
      <c r="K282" s="37" t="n"/>
    </row>
    <row r="283" ht="15" customHeight="1" s="35">
      <c r="A283" s="37" t="inlineStr">
        <is>
          <t>6409</t>
        </is>
      </c>
      <c r="B283" s="37" t="inlineStr">
        <is>
          <t>445</t>
        </is>
      </c>
      <c r="C283" s="37" t="inlineStr">
        <is>
          <t>M6409 Threaded Straight Fitting, Metric Hexagon Socket O-Ring Boss Plug</t>
        </is>
      </c>
      <c r="D283" s="37" t="inlineStr">
        <is>
          <t>International &amp; Metric</t>
        </is>
      </c>
      <c r="E283" s="37" t="inlineStr">
        <is>
          <t>Metric</t>
        </is>
      </c>
      <c r="F283" s="37" t="inlineStr">
        <is>
          <t>https://parts.air-way.com/hydraulic-fittings/international-metric/metric/m6409-threaded-straight-fitting-metric-hexagon-socket-o-ring-boss-plug-series-445</t>
        </is>
      </c>
      <c r="G283" s="37" t="inlineStr">
        <is>
          <t>ISO 6149-4</t>
        </is>
      </c>
      <c r="H283" s="37" t="inlineStr">
        <is>
          <t>NOT STARTED</t>
        </is>
      </c>
      <c r="I283" s="37" t="n"/>
      <c r="J283" s="37" t="n">
        <v>13</v>
      </c>
      <c r="K283" s="37" t="n"/>
    </row>
    <row r="284" ht="15" customHeight="1" s="35">
      <c r="A284" s="37" t="inlineStr">
        <is>
          <t>6409</t>
        </is>
      </c>
      <c r="B284" s="37" t="inlineStr">
        <is>
          <t>98</t>
        </is>
      </c>
      <c r="C284" s="37" t="inlineStr">
        <is>
          <t>6409 Hexagon Socket O-ring Boss Plug</t>
        </is>
      </c>
      <c r="D284" s="37" t="inlineStr">
        <is>
          <t>JIC 37 &amp; Beaded Hose</t>
        </is>
      </c>
      <c r="E284" s="37" t="inlineStr">
        <is>
          <t>Straight</t>
        </is>
      </c>
      <c r="F284" s="37" t="inlineStr">
        <is>
          <t>https://parts.air-way.com/hydraulic-fittings/jic-and-beaded-hose-fittings/straight/6409-hexagon-socket-o-ring-boss-plug-series-98</t>
        </is>
      </c>
      <c r="G284" s="37" t="inlineStr">
        <is>
          <t>SAE J1926-4</t>
        </is>
      </c>
      <c r="H284" s="37" t="inlineStr">
        <is>
          <t>NOT STARTED</t>
        </is>
      </c>
      <c r="I284" s="37" t="n"/>
      <c r="J284" s="37" t="n">
        <v>14</v>
      </c>
      <c r="K284" s="37" t="n"/>
    </row>
    <row r="285" ht="15" customHeight="1" s="35">
      <c r="A285" s="37" t="inlineStr">
        <is>
          <t>6409</t>
        </is>
      </c>
      <c r="B285" s="37" t="inlineStr">
        <is>
          <t>256</t>
        </is>
      </c>
      <c r="C285" s="37" t="inlineStr">
        <is>
          <t>SS6409 Hexagon Socket O-ring Boss Plug series</t>
        </is>
      </c>
      <c r="D285" s="37" t="inlineStr">
        <is>
          <t>Stainless Steel Fittings</t>
        </is>
      </c>
      <c r="E285" s="37" t="inlineStr">
        <is>
          <t>Straight</t>
        </is>
      </c>
      <c r="F285" s="37" t="inlineStr">
        <is>
          <t>https://parts.air-way.com/hydraulic-fittings/stainless-steel-hydraulic-fittings/straight/ss6409-hexagon-socket-o-ring-boss-plug-series-256</t>
        </is>
      </c>
      <c r="G285" s="37" t="inlineStr">
        <is>
          <t>SAE J514 090109B</t>
        </is>
      </c>
      <c r="H285" s="37" t="inlineStr">
        <is>
          <t>NOT STARTED</t>
        </is>
      </c>
      <c r="I285" s="37" t="n"/>
      <c r="J285" s="37" t="n">
        <v>12</v>
      </c>
      <c r="K285" s="37" t="n"/>
    </row>
    <row r="286" ht="15" customHeight="1" s="35">
      <c r="A286" s="37" t="inlineStr">
        <is>
          <t>6410</t>
        </is>
      </c>
      <c r="B286" s="37" t="inlineStr">
        <is>
          <t>451</t>
        </is>
      </c>
      <c r="C286" s="37" t="inlineStr">
        <is>
          <t>MBP6410 Threaded Straight Fitting, BSPP Stud End to BSPP Port</t>
        </is>
      </c>
      <c r="D286" s="37" t="inlineStr">
        <is>
          <t>International &amp; Metric</t>
        </is>
      </c>
      <c r="E286" s="37" t="inlineStr">
        <is>
          <t>BSPP</t>
        </is>
      </c>
      <c r="F286" s="37" t="inlineStr">
        <is>
          <t>https://parts.air-way.com/hydraulic-fittings/international-metric/bspp/mbp6410-threaded-straight-fitting-bspp-stud-end-to-bspp-port-series-451</t>
        </is>
      </c>
      <c r="G286" s="37" t="inlineStr">
        <is>
          <t>ISO 1179-3, ISO 1179-1</t>
        </is>
      </c>
      <c r="H286" s="37" t="inlineStr">
        <is>
          <t>NOT STARTED</t>
        </is>
      </c>
      <c r="I286" s="37" t="n"/>
      <c r="J286" s="37" t="n">
        <v>4</v>
      </c>
      <c r="K286" s="37" t="n"/>
    </row>
    <row r="287" ht="15" customHeight="1" s="35">
      <c r="A287" s="37" t="inlineStr">
        <is>
          <t>6410</t>
        </is>
      </c>
      <c r="B287" s="37" t="inlineStr">
        <is>
          <t>507</t>
        </is>
      </c>
      <c r="C287" s="37" t="inlineStr">
        <is>
          <t>M6410 Straight Thread Reducer/Expander</t>
        </is>
      </c>
      <c r="D287" s="37" t="inlineStr">
        <is>
          <t>International &amp; Metric</t>
        </is>
      </c>
      <c r="E287" s="37" t="inlineStr">
        <is>
          <t>Metric</t>
        </is>
      </c>
      <c r="F287" s="37" t="inlineStr">
        <is>
          <t>https://parts.air-way.com/hydraulic-fittings/international-metric/metric/m6410-straight-thread-reducer-expander-series-507</t>
        </is>
      </c>
      <c r="G287" s="37" t="inlineStr">
        <is>
          <t>ISO 6149-1, ISO 6149-3, SAE J1926-1, SAE J1926-3</t>
        </is>
      </c>
      <c r="H287" s="37" t="inlineStr">
        <is>
          <t>NOT STARTED</t>
        </is>
      </c>
      <c r="I287" s="37" t="n"/>
      <c r="J287" s="37" t="n">
        <v>8</v>
      </c>
      <c r="K287" s="37" t="n"/>
    </row>
    <row r="288" ht="15" customHeight="1" s="35">
      <c r="A288" s="37" t="inlineStr">
        <is>
          <t>6410</t>
        </is>
      </c>
      <c r="B288" s="37" t="inlineStr">
        <is>
          <t>500</t>
        </is>
      </c>
      <c r="C288" s="37" t="inlineStr">
        <is>
          <t>MFF6410 Straight Thread Reducer/Expander</t>
        </is>
      </c>
      <c r="D288" s="37" t="inlineStr">
        <is>
          <t>International &amp; Metric</t>
        </is>
      </c>
      <c r="E288" s="37" t="inlineStr">
        <is>
          <t>ORFS metric</t>
        </is>
      </c>
      <c r="F288" s="37" t="inlineStr">
        <is>
          <t>https://parts.air-way.com/hydraulic-fittings/international-metric/orfs-metric/mff6410-straight-thread-reducer-expander-series-500</t>
        </is>
      </c>
      <c r="G288" s="37" t="inlineStr">
        <is>
          <t>—</t>
        </is>
      </c>
      <c r="H288" s="37" t="inlineStr">
        <is>
          <t>NOT STARTED</t>
        </is>
      </c>
      <c r="I288" s="37" t="n"/>
      <c r="J288" s="37" t="n">
        <v>7</v>
      </c>
      <c r="K288" s="37" t="n"/>
    </row>
    <row r="289" ht="15" customHeight="1" s="35">
      <c r="A289" s="37" t="inlineStr">
        <is>
          <t>6410</t>
        </is>
      </c>
      <c r="B289" s="37" t="inlineStr">
        <is>
          <t>99</t>
        </is>
      </c>
      <c r="C289" s="37" t="inlineStr">
        <is>
          <t>6410 Straight Thread Reducer/Expander</t>
        </is>
      </c>
      <c r="D289" s="37" t="inlineStr">
        <is>
          <t>JIC 37 &amp; Beaded Hose</t>
        </is>
      </c>
      <c r="E289" s="37" t="inlineStr">
        <is>
          <t>Straight</t>
        </is>
      </c>
      <c r="F289" s="37" t="inlineStr">
        <is>
          <t>https://parts.air-way.com/hydraulic-fittings/jic-and-beaded-hose-fittings/straight/6410-straight-thread-reducer-expander-series-99</t>
        </is>
      </c>
      <c r="G289" s="37" t="inlineStr">
        <is>
          <t>none shown</t>
        </is>
      </c>
      <c r="H289" s="37" t="inlineStr">
        <is>
          <t>NOT STARTED</t>
        </is>
      </c>
      <c r="I289" s="37" t="n"/>
      <c r="J289" s="37" t="n">
        <v>45</v>
      </c>
      <c r="K289" s="37" t="n"/>
    </row>
    <row r="290" ht="15" customHeight="1" s="35">
      <c r="A290" s="37" t="inlineStr">
        <is>
          <t>6410</t>
        </is>
      </c>
      <c r="B290" s="37" t="inlineStr">
        <is>
          <t>257</t>
        </is>
      </c>
      <c r="C290" s="37" t="inlineStr">
        <is>
          <t>SS6410 Straight Thread Reducer/Expander series</t>
        </is>
      </c>
      <c r="D290" s="37" t="inlineStr">
        <is>
          <t>Stainless Steel Fittings</t>
        </is>
      </c>
      <c r="E290" s="37" t="inlineStr">
        <is>
          <t>Straight</t>
        </is>
      </c>
      <c r="F290" s="37" t="inlineStr">
        <is>
          <t>https://parts.air-way.com/hydraulic-fittings/stainless-steel-hydraulic-fittings/straight/ss6410-straight-thread-reducer-expander-series-257</t>
        </is>
      </c>
      <c r="G290" s="37" t="inlineStr">
        <is>
          <t>SAE J514 (no numeric code shown)</t>
        </is>
      </c>
      <c r="H290" s="37" t="inlineStr">
        <is>
          <t>NOT STARTED</t>
        </is>
      </c>
      <c r="I290" s="37" t="n"/>
      <c r="J290" s="37" t="n">
        <v>22</v>
      </c>
      <c r="K290" s="37" t="n"/>
    </row>
    <row r="291" ht="15" customHeight="1" s="35">
      <c r="A291" s="37" t="inlineStr">
        <is>
          <t>6410-SAE</t>
        </is>
      </c>
      <c r="B291" s="37" t="inlineStr">
        <is>
          <t>452</t>
        </is>
      </c>
      <c r="C291" s="37" t="inlineStr">
        <is>
          <t>MBP6410-SAE Threaded Straight Fitting, BSPP Stud End to SAE Port</t>
        </is>
      </c>
      <c r="D291" s="37" t="inlineStr">
        <is>
          <t>International &amp; Metric</t>
        </is>
      </c>
      <c r="E291" s="37" t="inlineStr">
        <is>
          <t>BSPP</t>
        </is>
      </c>
      <c r="F291" s="37" t="inlineStr">
        <is>
          <t>https://parts.air-way.com/hydraulic-fittings/international-metric/bspp/mbp6410-sae-threaded-straight-fitting-bspp-stud-end-to-sae-port-series-452</t>
        </is>
      </c>
      <c r="G291" s="37" t="inlineStr">
        <is>
          <t>ISO 1179-3, SAE J1926-1</t>
        </is>
      </c>
      <c r="H291" s="37" t="inlineStr">
        <is>
          <t>NOT STARTED</t>
        </is>
      </c>
      <c r="I291" s="37" t="n"/>
      <c r="J291" s="37" t="n">
        <v>3</v>
      </c>
      <c r="K291" s="37" t="n"/>
    </row>
    <row r="292" ht="15" customHeight="1" s="35">
      <c r="A292" s="37" t="inlineStr">
        <is>
          <t>6500</t>
        </is>
      </c>
      <c r="B292" s="37" t="inlineStr">
        <is>
          <t>428</t>
        </is>
      </c>
      <c r="C292" s="37" t="inlineStr">
        <is>
          <t>Brass - 6500 - EBS 37° JIC Swivel 90° Elbow series</t>
        </is>
      </c>
      <c r="D292" s="37" t="inlineStr">
        <is>
          <t>Brass Fittings</t>
        </is>
      </c>
      <c r="E292" s="37" t="inlineStr">
        <is>
          <t>90°</t>
        </is>
      </c>
      <c r="F292" s="37" t="inlineStr">
        <is>
          <t>https://parts.air-way.com/hydraulic-fittings/brass-hydraulic-fittings/90/brass-6500-ebs-37-jic-swivel-90-elbow-series-428</t>
        </is>
      </c>
      <c r="G292" s="37" t="inlineStr">
        <is>
          <t>none</t>
        </is>
      </c>
      <c r="H292" s="37" t="inlineStr">
        <is>
          <t>NOT STARTED</t>
        </is>
      </c>
      <c r="I292" s="37" t="n"/>
      <c r="J292" s="37" t="n">
        <v>2</v>
      </c>
      <c r="K292" s="37" t="n"/>
    </row>
    <row r="293" ht="15" customHeight="1" s="35">
      <c r="A293" s="37" t="inlineStr">
        <is>
          <t>6500</t>
        </is>
      </c>
      <c r="B293" s="37" t="inlineStr">
        <is>
          <t>347</t>
        </is>
      </c>
      <c r="C293" s="37" t="inlineStr">
        <is>
          <t>F6500 37° JIC Swivel 90° Elbow</t>
        </is>
      </c>
      <c r="D293" s="37" t="inlineStr">
        <is>
          <t>FLARE-O</t>
        </is>
      </c>
      <c r="E293" s="37" t="inlineStr">
        <is>
          <t>90°</t>
        </is>
      </c>
      <c r="F293" s="37" t="inlineStr">
        <is>
          <t>https://parts.air-way.com/hydraulic-fittings/flare-o-hydraulic-fittings/90/f6500-37-jic-swivel-90-elbow-series-347</t>
        </is>
      </c>
      <c r="G293" s="37" t="inlineStr">
        <is>
          <t>SAE J514 070221</t>
        </is>
      </c>
      <c r="H293" s="37" t="inlineStr">
        <is>
          <t>NOT STARTED</t>
        </is>
      </c>
      <c r="I293" s="37" t="n"/>
      <c r="J293" s="37" t="n">
        <v>9</v>
      </c>
      <c r="K293" s="37" t="n"/>
    </row>
    <row r="294" ht="15" customHeight="1" s="35">
      <c r="A294" s="37" t="inlineStr">
        <is>
          <t>6500</t>
        </is>
      </c>
      <c r="B294" s="37" t="inlineStr">
        <is>
          <t>467</t>
        </is>
      </c>
      <c r="C294" s="37" t="inlineStr">
        <is>
          <t>MBS6500 Threaded Fitting, BSPP 60° Cone to BSPP 60° Cone Swivel 90° Elbow</t>
        </is>
      </c>
      <c r="D294" s="37" t="inlineStr">
        <is>
          <t>International &amp; Metric</t>
        </is>
      </c>
      <c r="E294" s="37" t="inlineStr">
        <is>
          <t>BSPP ISO 8434-6</t>
        </is>
      </c>
      <c r="F294" s="37" t="inlineStr">
        <is>
          <t>https://parts.air-way.com/hydraulic-fittings/international-metric/bspp-iso-8434-6/mbs6500-threaded-fitting-bspp-60-cone-to-bspp-60-cone-swivel-90-elbow-series-467</t>
        </is>
      </c>
      <c r="G294" s="37" t="inlineStr">
        <is>
          <t>ISO 8434-6</t>
        </is>
      </c>
      <c r="H294" s="37" t="inlineStr">
        <is>
          <t>NOT STARTED</t>
        </is>
      </c>
      <c r="I294" s="37" t="n"/>
      <c r="J294" s="37" t="n">
        <v>2</v>
      </c>
      <c r="K294" s="37" t="n"/>
    </row>
    <row r="295" ht="15" customHeight="1" s="35">
      <c r="A295" s="37" t="inlineStr">
        <is>
          <t>6500</t>
        </is>
      </c>
      <c r="B295" s="37" t="inlineStr">
        <is>
          <t>513</t>
        </is>
      </c>
      <c r="C295" s="37" t="inlineStr">
        <is>
          <t>MFF6500 90° ORFS Swivel Elbow</t>
        </is>
      </c>
      <c r="D295" s="37" t="inlineStr">
        <is>
          <t>International &amp; Metric</t>
        </is>
      </c>
      <c r="E295" s="37" t="inlineStr">
        <is>
          <t>ORFS metric</t>
        </is>
      </c>
      <c r="F295" s="37" t="inlineStr">
        <is>
          <t>https://parts.air-way.com/hydraulic-fittings/international-metric/orfs-metric/mff6500-90-orfs-swivel-elbow-series-513</t>
        </is>
      </c>
      <c r="G295" s="37" t="inlineStr">
        <is>
          <t>SAE J1453-2 52M0221</t>
        </is>
      </c>
      <c r="H295" s="37" t="inlineStr">
        <is>
          <t>NOT STARTED</t>
        </is>
      </c>
      <c r="I295" s="37" t="n"/>
      <c r="J295" s="37" t="n">
        <v>6</v>
      </c>
      <c r="K295" s="37" t="n"/>
    </row>
    <row r="296" ht="15" customHeight="1" s="35">
      <c r="A296" s="37" t="inlineStr">
        <is>
          <t>6500</t>
        </is>
      </c>
      <c r="B296" s="37" t="inlineStr">
        <is>
          <t>130</t>
        </is>
      </c>
      <c r="C296" s="37" t="inlineStr">
        <is>
          <t>6500 37° Female Swivel 90° Elbow</t>
        </is>
      </c>
      <c r="D296" s="37" t="inlineStr">
        <is>
          <t>JIC 37 &amp; Beaded Hose</t>
        </is>
      </c>
      <c r="E296" s="37" t="inlineStr">
        <is>
          <t>90°</t>
        </is>
      </c>
      <c r="F296" s="37" t="inlineStr">
        <is>
          <t>https://parts.air-way.com/hydraulic-fittings/jic-and-beaded-hose-fittings/90/6500-37-female-swivel-90-elbow-series-130</t>
        </is>
      </c>
      <c r="G296" s="37" t="inlineStr">
        <is>
          <t>SAE J514 070221 / MS51521</t>
        </is>
      </c>
      <c r="H296" s="37" t="inlineStr">
        <is>
          <t>NOT STARTED</t>
        </is>
      </c>
      <c r="I296" s="37" t="n"/>
      <c r="J296" s="37" t="n">
        <v>42</v>
      </c>
      <c r="K296" s="37" t="n"/>
    </row>
    <row r="297" ht="15" customHeight="1" s="35">
      <c r="A297" s="37" t="inlineStr">
        <is>
          <t>6500</t>
        </is>
      </c>
      <c r="B297" s="37" t="inlineStr">
        <is>
          <t>24</t>
        </is>
      </c>
      <c r="C297" s="37" t="inlineStr">
        <is>
          <t>FF6500 90° ORFS Swivel Elbow</t>
        </is>
      </c>
      <c r="D297" s="37" t="inlineStr">
        <is>
          <t>ORFS</t>
        </is>
      </c>
      <c r="E297" s="37" t="inlineStr">
        <is>
          <t>90°</t>
        </is>
      </c>
      <c r="F297" s="37" t="inlineStr">
        <is>
          <t>https://parts.air-way.com/hydraulic-fittings/o-ring-face-seal-orfs-hydraulic-fittings/90/ff6500-90-orfs-swivel-elbow-series-24</t>
        </is>
      </c>
      <c r="G297" s="37" t="inlineStr">
        <is>
          <t>SAE J1453 520221</t>
        </is>
      </c>
      <c r="H297" s="37" t="inlineStr">
        <is>
          <t>NOT STARTED</t>
        </is>
      </c>
      <c r="I297" s="37" t="n"/>
      <c r="J297" s="37" t="n">
        <v>14</v>
      </c>
      <c r="K297" s="37" t="n"/>
    </row>
    <row r="298" ht="15" customHeight="1" s="35">
      <c r="A298" s="37" t="inlineStr">
        <is>
          <t>6500</t>
        </is>
      </c>
      <c r="B298" s="37" t="inlineStr">
        <is>
          <t>278</t>
        </is>
      </c>
      <c r="C298" s="37" t="inlineStr">
        <is>
          <t>SS6500 37° JIC Swivel 90° Elbow series</t>
        </is>
      </c>
      <c r="D298" s="37" t="inlineStr">
        <is>
          <t>Stainless Steel Fittings</t>
        </is>
      </c>
      <c r="E298" s="37" t="inlineStr">
        <is>
          <t>90°</t>
        </is>
      </c>
      <c r="F298" s="37" t="inlineStr">
        <is>
          <t>https://parts.air-way.com/hydraulic-fittings/stainless-steel-hydraulic-fittings/90/ss6500-37-jic-swivel-90-elbow-series-278</t>
        </is>
      </c>
      <c r="G298" s="37" t="inlineStr">
        <is>
          <t>SAE J514 070221 / MS51521</t>
        </is>
      </c>
      <c r="H298" s="37" t="inlineStr">
        <is>
          <t>NOT STARTED</t>
        </is>
      </c>
      <c r="I298" s="37" t="n"/>
      <c r="J298" s="37" t="n">
        <v>8</v>
      </c>
      <c r="K298" s="37" t="n"/>
    </row>
    <row r="299" ht="15" customHeight="1" s="35">
      <c r="A299" s="37" t="inlineStr">
        <is>
          <t>6500-L</t>
        </is>
      </c>
      <c r="B299" s="37" t="inlineStr">
        <is>
          <t>131</t>
        </is>
      </c>
      <c r="C299" s="37" t="inlineStr">
        <is>
          <t>6500-L 90° Long 37° Female Swivel Elbow</t>
        </is>
      </c>
      <c r="D299" s="37" t="inlineStr">
        <is>
          <t>JIC 37 &amp; Beaded Hose</t>
        </is>
      </c>
      <c r="E299" s="37" t="inlineStr">
        <is>
          <t>90°</t>
        </is>
      </c>
      <c r="F299" s="37" t="inlineStr">
        <is>
          <t>https://parts.air-way.com/hydraulic-fittings/jic-and-beaded-hose-fittings/90/6500-l-90-long-37-female-swivel-elbow-series-131</t>
        </is>
      </c>
      <c r="G299" s="37" t="inlineStr">
        <is>
          <t>none shown</t>
        </is>
      </c>
      <c r="H299" s="37" t="inlineStr">
        <is>
          <t>NOT STARTED</t>
        </is>
      </c>
      <c r="I299" s="37" t="n"/>
      <c r="J299" s="37" t="n">
        <v>6</v>
      </c>
      <c r="K299" s="37" t="n"/>
    </row>
    <row r="300" ht="15" customHeight="1" s="35">
      <c r="A300" s="37" t="inlineStr">
        <is>
          <t>6501</t>
        </is>
      </c>
      <c r="B300" s="37" t="inlineStr">
        <is>
          <t>132</t>
        </is>
      </c>
      <c r="C300" s="37" t="inlineStr">
        <is>
          <t>6501 90° Male Pipe/37° Female Swivel Elbow</t>
        </is>
      </c>
      <c r="D300" s="37" t="inlineStr">
        <is>
          <t>JIC 37 &amp; Beaded Hose</t>
        </is>
      </c>
      <c r="E300" s="37" t="inlineStr">
        <is>
          <t>90°</t>
        </is>
      </c>
      <c r="F300" s="37" t="inlineStr">
        <is>
          <t>https://parts.air-way.com/hydraulic-fittings/jic-and-beaded-hose-fittings/90/6501-90-male-pipe-37-female-swivel-elbow-series-132</t>
        </is>
      </c>
      <c r="G300" s="37" t="inlineStr">
        <is>
          <t>none shown</t>
        </is>
      </c>
      <c r="H300" s="37" t="inlineStr">
        <is>
          <t>TABLED</t>
        </is>
      </c>
      <c r="I300" s="37" t="n"/>
      <c r="J300" s="37" t="n">
        <v>16</v>
      </c>
      <c r="K300" s="37" t="inlineStr">
        <is>
          <t>TABLED 2026-09-23: double-pass extraction 16 rows (sheet said 16); DesignTable_6501.xlsx; scope vs OMi feed: 1 BUILD / 15 DROP / 14 OMi-only (10 differ only by -FG); 1 source anomaly note(s) in 07_RAW_EXTRACTS/airway_anomalies_2026-09-23.txt</t>
        </is>
      </c>
    </row>
    <row r="301" ht="15" customHeight="1" s="35">
      <c r="A301" s="37" t="inlineStr">
        <is>
          <t>6501</t>
        </is>
      </c>
      <c r="B301" s="37" t="inlineStr">
        <is>
          <t>279</t>
        </is>
      </c>
      <c r="C301" s="37" t="inlineStr">
        <is>
          <t>SS6501 90° Male Pipe/37° Female Swivel Elbow series</t>
        </is>
      </c>
      <c r="D301" s="37" t="inlineStr">
        <is>
          <t>Stainless Steel Fittings</t>
        </is>
      </c>
      <c r="E301" s="37" t="inlineStr">
        <is>
          <t>90°</t>
        </is>
      </c>
      <c r="F301" s="37" t="inlineStr">
        <is>
          <t>https://parts.air-way.com/hydraulic-fittings/stainless-steel-hydraulic-fittings/90/ss6501-90-male-pipe-37-female-swivel-elbow-series-279</t>
        </is>
      </c>
      <c r="G301" s="37" t="inlineStr">
        <is>
          <t>none</t>
        </is>
      </c>
      <c r="H301" s="37" t="inlineStr">
        <is>
          <t>NOT STARTED</t>
        </is>
      </c>
      <c r="I301" s="37" t="n"/>
      <c r="J301" s="37" t="n">
        <v>6</v>
      </c>
      <c r="K301" s="37" t="n"/>
    </row>
    <row r="302" ht="15" customHeight="1" s="35">
      <c r="A302" s="37" t="inlineStr">
        <is>
          <t>6502</t>
        </is>
      </c>
      <c r="B302" s="37" t="inlineStr">
        <is>
          <t>358</t>
        </is>
      </c>
      <c r="C302" s="37" t="inlineStr">
        <is>
          <t>F6502 37° JIC Swivel 45° Elbow</t>
        </is>
      </c>
      <c r="D302" s="37" t="inlineStr">
        <is>
          <t>FLARE-O</t>
        </is>
      </c>
      <c r="E302" s="37" t="inlineStr">
        <is>
          <t>45°</t>
        </is>
      </c>
      <c r="F302" s="37" t="inlineStr">
        <is>
          <t>https://parts.air-way.com/hydraulic-fittings/flare-o-hydraulic-fittings/45/f6502-37-jic-swivel-45-elbow-series-358</t>
        </is>
      </c>
      <c r="G302" s="37" t="inlineStr">
        <is>
          <t>SAE J514 070321</t>
        </is>
      </c>
      <c r="H302" s="37" t="inlineStr">
        <is>
          <t>NOT STARTED</t>
        </is>
      </c>
      <c r="I302" s="37" t="n"/>
      <c r="J302" s="37" t="n">
        <v>7</v>
      </c>
      <c r="K302" s="37" t="n"/>
    </row>
    <row r="303" ht="15" customHeight="1" s="35">
      <c r="A303" s="37" t="inlineStr">
        <is>
          <t>6502</t>
        </is>
      </c>
      <c r="B303" s="37" t="inlineStr">
        <is>
          <t>514</t>
        </is>
      </c>
      <c r="C303" s="37" t="inlineStr">
        <is>
          <t>MFF6502 45° ORFS Swivel Elbow</t>
        </is>
      </c>
      <c r="D303" s="37" t="inlineStr">
        <is>
          <t>International &amp; Metric</t>
        </is>
      </c>
      <c r="E303" s="37" t="inlineStr">
        <is>
          <t>ORFS metric</t>
        </is>
      </c>
      <c r="F303" s="37" t="inlineStr">
        <is>
          <t>https://parts.air-way.com/hydraulic-fittings/international-metric/orfs-metric/mff6502-45-orfs-swivel-elbow-series-514</t>
        </is>
      </c>
      <c r="G303" s="37" t="inlineStr">
        <is>
          <t>SAE J1453-2 52M0321</t>
        </is>
      </c>
      <c r="H303" s="37" t="inlineStr">
        <is>
          <t>NOT STARTED</t>
        </is>
      </c>
      <c r="I303" s="37" t="n"/>
      <c r="J303" s="37" t="n">
        <v>3</v>
      </c>
      <c r="K303" s="37" t="n"/>
    </row>
    <row r="304" ht="15" customHeight="1" s="35">
      <c r="A304" s="37" t="inlineStr">
        <is>
          <t>6502</t>
        </is>
      </c>
      <c r="B304" s="37" t="inlineStr">
        <is>
          <t>156</t>
        </is>
      </c>
      <c r="C304" s="37" t="inlineStr">
        <is>
          <t>6502 37° Female Swivel 45° Elbow</t>
        </is>
      </c>
      <c r="D304" s="37" t="inlineStr">
        <is>
          <t>JIC 37 &amp; Beaded Hose</t>
        </is>
      </c>
      <c r="E304" s="37" t="inlineStr">
        <is>
          <t>45°</t>
        </is>
      </c>
      <c r="F304" s="37" t="inlineStr">
        <is>
          <t>https://parts.air-way.com/hydraulic-fittings/jic-and-beaded-hose-fittings/45/6502-37-female-swivel-45-elbow-series-156</t>
        </is>
      </c>
      <c r="G304" s="37" t="inlineStr">
        <is>
          <t>SAE J514 070321 / MS51522</t>
        </is>
      </c>
      <c r="H304" s="37" t="inlineStr">
        <is>
          <t>TABLED</t>
        </is>
      </c>
      <c r="I304" s="37" t="n"/>
      <c r="J304" s="37" t="n">
        <v>22</v>
      </c>
      <c r="K304" s="37" t="inlineStr">
        <is>
          <t>TABLED 2026-09-23: double-pass extraction 22 rows (sheet said 22); DesignTable_6502.xlsx; scope vs OMi feed: 10 BUILD / 12 DROP / 5 OMi-only (0 differ only by -FG); 1 source anomaly note(s) in 07_RAW_EXTRACTS/airway_anomalies_2026-09-23.txt</t>
        </is>
      </c>
    </row>
    <row r="305" ht="15" customHeight="1" s="35">
      <c r="A305" s="37" t="inlineStr">
        <is>
          <t>6502</t>
        </is>
      </c>
      <c r="B305" s="37" t="inlineStr">
        <is>
          <t>30</t>
        </is>
      </c>
      <c r="C305" s="37" t="inlineStr">
        <is>
          <t>FF6502 45° ORFS Swivel Elbow</t>
        </is>
      </c>
      <c r="D305" s="37" t="inlineStr">
        <is>
          <t>ORFS</t>
        </is>
      </c>
      <c r="E305" s="37" t="inlineStr">
        <is>
          <t>45°</t>
        </is>
      </c>
      <c r="F305" s="37" t="inlineStr">
        <is>
          <t>https://parts.air-way.com/hydraulic-fittings/o-ring-face-seal-orfs-hydraulic-fittings/45/ff6502-45-orfs-swivel-elbow-series-30</t>
        </is>
      </c>
      <c r="G305" s="37" t="inlineStr">
        <is>
          <t>—</t>
        </is>
      </c>
      <c r="H305" s="37" t="inlineStr">
        <is>
          <t>NOT STARTED</t>
        </is>
      </c>
      <c r="I305" s="37" t="n"/>
      <c r="J305" s="37" t="n">
        <v>8</v>
      </c>
      <c r="K305" s="37" t="n"/>
    </row>
    <row r="306" ht="15" customHeight="1" s="35">
      <c r="A306" s="37" t="inlineStr">
        <is>
          <t>6502</t>
        </is>
      </c>
      <c r="B306" s="37" t="inlineStr">
        <is>
          <t>293</t>
        </is>
      </c>
      <c r="C306" s="37" t="inlineStr">
        <is>
          <t>SS6502 37° Female Swivel 45° Elbow series</t>
        </is>
      </c>
      <c r="D306" s="37" t="inlineStr">
        <is>
          <t>Stainless Steel Fittings</t>
        </is>
      </c>
      <c r="E306" s="37" t="inlineStr">
        <is>
          <t>45°</t>
        </is>
      </c>
      <c r="F306" s="37" t="inlineStr">
        <is>
          <t>https://parts.air-way.com/hydraulic-fittings/stainless-steel-hydraulic-fittings/45/ss6502-37-female-swivel-45-elbow-series-293</t>
        </is>
      </c>
      <c r="G306" s="37" t="inlineStr">
        <is>
          <t>SAE J514 070321 / MS51522</t>
        </is>
      </c>
      <c r="H306" s="37" t="inlineStr">
        <is>
          <t>NOT STARTED</t>
        </is>
      </c>
      <c r="I306" s="37" t="n"/>
      <c r="J306" s="37" t="n">
        <v>7</v>
      </c>
      <c r="K306" s="37" t="n"/>
    </row>
    <row r="307" ht="15" customHeight="1" s="35">
      <c r="A307" s="37" t="inlineStr">
        <is>
          <t>6503</t>
        </is>
      </c>
      <c r="B307" s="37" t="inlineStr">
        <is>
          <t>133</t>
        </is>
      </c>
      <c r="C307" s="37" t="inlineStr">
        <is>
          <t>6503 90° Female Pipe/37° Female Swivel Elbow</t>
        </is>
      </c>
      <c r="D307" s="37" t="inlineStr">
        <is>
          <t>JIC 37 &amp; Beaded Hose</t>
        </is>
      </c>
      <c r="E307" s="37" t="inlineStr">
        <is>
          <t>90°</t>
        </is>
      </c>
      <c r="F307" s="37" t="inlineStr">
        <is>
          <t>https://parts.air-way.com/hydraulic-fittings/jic-and-beaded-hose-fittings/90/6503-90-female-pipe-37-female-swivel-elbow-series-133</t>
        </is>
      </c>
      <c r="G307" s="37" t="inlineStr">
        <is>
          <t>none shown</t>
        </is>
      </c>
      <c r="H307" s="37" t="inlineStr">
        <is>
          <t>TABLED</t>
        </is>
      </c>
      <c r="I307" s="37" t="n"/>
      <c r="J307" s="37" t="n">
        <v>11</v>
      </c>
      <c r="K307" s="37" t="inlineStr">
        <is>
          <t>TABLED 2026-09-23: double-pass extraction 11 rows (sheet said 11); DesignTable_6503.xlsx; scope vs OMi feed: 1 BUILD / 10 DROP / 4 OMi-only (4 differ only by -FG)</t>
        </is>
      </c>
    </row>
    <row r="308" ht="15" customHeight="1" s="35">
      <c r="A308" s="37" t="inlineStr">
        <is>
          <t>6503</t>
        </is>
      </c>
      <c r="B308" s="37" t="inlineStr">
        <is>
          <t>280</t>
        </is>
      </c>
      <c r="C308" s="37" t="inlineStr">
        <is>
          <t>SS6503 90° Female Pipe/37° Female Swivel Elbow series</t>
        </is>
      </c>
      <c r="D308" s="37" t="inlineStr">
        <is>
          <t>Stainless Steel Fittings</t>
        </is>
      </c>
      <c r="E308" s="37" t="inlineStr">
        <is>
          <t>90°</t>
        </is>
      </c>
      <c r="F308" s="37" t="inlineStr">
        <is>
          <t>https://parts.air-way.com/hydraulic-fittings/stainless-steel-hydraulic-fittings/90/ss6503-90-female-pipe-37-female-swivel-elbow-series-280</t>
        </is>
      </c>
      <c r="G308" s="37" t="inlineStr">
        <is>
          <t>none</t>
        </is>
      </c>
      <c r="H308" s="37" t="inlineStr">
        <is>
          <t>NOT STARTED</t>
        </is>
      </c>
      <c r="I308" s="37" t="n"/>
      <c r="J308" s="37" t="n">
        <v>1</v>
      </c>
      <c r="K308" s="37" t="n"/>
    </row>
    <row r="309" ht="15" customHeight="1" s="35">
      <c r="A309" s="37" t="inlineStr">
        <is>
          <t>6504</t>
        </is>
      </c>
      <c r="B309" s="37" t="inlineStr">
        <is>
          <t>337</t>
        </is>
      </c>
      <c r="C309" s="37" t="inlineStr">
        <is>
          <t>F6504 JIC/37° Female Swivel Union</t>
        </is>
      </c>
      <c r="D309" s="37" t="inlineStr">
        <is>
          <t>FLARE-O</t>
        </is>
      </c>
      <c r="E309" s="37" t="inlineStr">
        <is>
          <t>Straight</t>
        </is>
      </c>
      <c r="F309" s="37" t="inlineStr">
        <is>
          <t>https://parts.air-way.com/hydraulic-fittings/flare-o-hydraulic-fittings/straight/f6504-jic-37-female-swivel-union-series-337</t>
        </is>
      </c>
      <c r="G309" s="37" t="inlineStr">
        <is>
          <t>none shown</t>
        </is>
      </c>
      <c r="H309" s="37" t="inlineStr">
        <is>
          <t>NOT STARTED</t>
        </is>
      </c>
      <c r="I309" s="37" t="n"/>
      <c r="J309" s="37" t="n">
        <v>4</v>
      </c>
      <c r="K309" s="37" t="n"/>
    </row>
    <row r="310" ht="15" customHeight="1" s="35">
      <c r="A310" s="37" t="inlineStr">
        <is>
          <t>6504</t>
        </is>
      </c>
      <c r="B310" s="37" t="inlineStr">
        <is>
          <t>100</t>
        </is>
      </c>
      <c r="C310" s="37" t="inlineStr">
        <is>
          <t>6504 Tube/37° Female Swivel Union</t>
        </is>
      </c>
      <c r="D310" s="37" t="inlineStr">
        <is>
          <t>JIC 37 &amp; Beaded Hose</t>
        </is>
      </c>
      <c r="E310" s="37" t="inlineStr">
        <is>
          <t>Straight</t>
        </is>
      </c>
      <c r="F310" s="37" t="inlineStr">
        <is>
          <t>https://parts.air-way.com/hydraulic-fittings/jic-and-beaded-hose-fittings/straight/6504-tube-37-female-swivel-union-series-100</t>
        </is>
      </c>
      <c r="G310" s="37" t="inlineStr">
        <is>
          <t>none shown</t>
        </is>
      </c>
      <c r="H310" s="37" t="inlineStr">
        <is>
          <t>TABLED</t>
        </is>
      </c>
      <c r="I310" s="37" t="n"/>
      <c r="J310" s="37" t="n">
        <v>14</v>
      </c>
      <c r="K310" s="37" t="inlineStr">
        <is>
          <t>TABLED 2026-09-23: double-pass extraction 14 rows (sheet said 14); DesignTable_6504.xlsx; scope vs OMi feed: 10 BUILD / 4 DROP / 10 OMi-only (0 differ only by -FG); 2 source anomaly note(s) in 07_RAW_EXTRACTS/airway_anomalies_2026-09-23.txt</t>
        </is>
      </c>
    </row>
    <row r="311" ht="15" customHeight="1" s="35">
      <c r="A311" s="37" t="inlineStr">
        <is>
          <t>6504</t>
        </is>
      </c>
      <c r="B311" s="37" t="inlineStr">
        <is>
          <t>17</t>
        </is>
      </c>
      <c r="C311" s="37" t="inlineStr">
        <is>
          <t>FF6504 Male ORFS / Female ORFS Swivel Union</t>
        </is>
      </c>
      <c r="D311" s="37" t="inlineStr">
        <is>
          <t>ORFS</t>
        </is>
      </c>
      <c r="E311" s="37" t="inlineStr">
        <is>
          <t>Straight</t>
        </is>
      </c>
      <c r="F311" s="37" t="inlineStr">
        <is>
          <t>https://parts.air-way.com/hydraulic-fittings/o-ring-face-seal-orfs-hydraulic-fittings/straight/ff6504-male-orfs-female-orfs-swivel-union-series-17</t>
        </is>
      </c>
      <c r="G311" s="37" t="inlineStr">
        <is>
          <t>—</t>
        </is>
      </c>
      <c r="H311" s="37" t="inlineStr">
        <is>
          <t>NOT STARTED</t>
        </is>
      </c>
      <c r="I311" s="37" t="n"/>
      <c r="J311" s="37" t="n">
        <v>15</v>
      </c>
      <c r="K311" s="37" t="n"/>
    </row>
    <row r="312" ht="15" customHeight="1" s="35">
      <c r="A312" s="37" t="inlineStr">
        <is>
          <t>6504</t>
        </is>
      </c>
      <c r="B312" s="37" t="inlineStr">
        <is>
          <t>258</t>
        </is>
      </c>
      <c r="C312" s="37" t="inlineStr">
        <is>
          <t>SS6504 Male JIC /37° Female Swivel Union series</t>
        </is>
      </c>
      <c r="D312" s="37" t="inlineStr">
        <is>
          <t>Stainless Steel Fittings</t>
        </is>
      </c>
      <c r="E312" s="37" t="inlineStr">
        <is>
          <t>Straight</t>
        </is>
      </c>
      <c r="F312" s="37" t="inlineStr">
        <is>
          <t>https://parts.air-way.com/hydraulic-fittings/stainless-steel-hydraulic-fittings/straight/ss6504-male-jic-37-female-swivel-union-series-258</t>
        </is>
      </c>
      <c r="G312" s="37" t="inlineStr">
        <is>
          <t>SAE J514 070121S</t>
        </is>
      </c>
      <c r="H312" s="37" t="inlineStr">
        <is>
          <t>NOT STARTED</t>
        </is>
      </c>
      <c r="I312" s="37" t="n"/>
      <c r="J312" s="37" t="n">
        <v>6</v>
      </c>
      <c r="K312" s="37" t="n"/>
    </row>
    <row r="313" ht="15" customHeight="1" s="35">
      <c r="A313" s="37" t="inlineStr">
        <is>
          <t>6505</t>
        </is>
      </c>
      <c r="B313" s="37" t="inlineStr">
        <is>
          <t>101</t>
        </is>
      </c>
      <c r="C313" s="37" t="inlineStr">
        <is>
          <t>6505 Male Pipe/37° Female Swivel Connector</t>
        </is>
      </c>
      <c r="D313" s="37" t="inlineStr">
        <is>
          <t>JIC 37 &amp; Beaded Hose</t>
        </is>
      </c>
      <c r="E313" s="37" t="inlineStr">
        <is>
          <t>Straight</t>
        </is>
      </c>
      <c r="F313" s="37" t="inlineStr">
        <is>
          <t>https://parts.air-way.com/hydraulic-fittings/jic-and-beaded-hose-fittings/straight/6505-male-pipe-37-female-swivel-connector-series-101</t>
        </is>
      </c>
      <c r="G313" s="37" t="inlineStr">
        <is>
          <t>none shown</t>
        </is>
      </c>
      <c r="H313" s="37" t="inlineStr">
        <is>
          <t>TABLED</t>
        </is>
      </c>
      <c r="I313" s="37" t="n"/>
      <c r="J313" s="37" t="n">
        <v>20</v>
      </c>
      <c r="K313" s="37" t="inlineStr">
        <is>
          <t>TABLED 2026-09-23: double-pass extraction 20 rows (sheet said 20); DesignTable_6505.xlsx; scope vs OMi feed: 16 BUILD / 4 DROP / 4 OMi-only (0 differ only by -FG); 1 source anomaly note(s) in 07_RAW_EXTRACTS/airway_anomalies_2026-09-23.txt</t>
        </is>
      </c>
    </row>
    <row r="314" ht="15" customHeight="1" s="35">
      <c r="A314" s="37" t="inlineStr">
        <is>
          <t>6505</t>
        </is>
      </c>
      <c r="B314" s="37" t="inlineStr">
        <is>
          <t>485</t>
        </is>
      </c>
      <c r="C314" s="37" t="inlineStr">
        <is>
          <t>FF6505 Male Pipe / Female ORFS Swivel Connector</t>
        </is>
      </c>
      <c r="D314" s="37" t="inlineStr">
        <is>
          <t>ORFS</t>
        </is>
      </c>
      <c r="E314" s="37" t="inlineStr">
        <is>
          <t>Straight</t>
        </is>
      </c>
      <c r="F314" s="37" t="inlineStr">
        <is>
          <t>https://parts.air-way.com/hydraulic-fittings/o-ring-face-seal-orfs-hydraulic-fittings/straight/ff6505-male-pipe-female-orfs-swivel-connector-series-485</t>
        </is>
      </c>
      <c r="G314" s="37" t="inlineStr">
        <is>
          <t>—</t>
        </is>
      </c>
      <c r="H314" s="37" t="inlineStr">
        <is>
          <t>NOT STARTED</t>
        </is>
      </c>
      <c r="I314" s="37" t="n"/>
      <c r="J314" s="37" t="n">
        <v>4</v>
      </c>
      <c r="K314" s="37" t="n"/>
    </row>
    <row r="315" ht="15" customHeight="1" s="35">
      <c r="A315" s="37" t="inlineStr">
        <is>
          <t>6505</t>
        </is>
      </c>
      <c r="B315" s="37" t="inlineStr">
        <is>
          <t>259</t>
        </is>
      </c>
      <c r="C315" s="37" t="inlineStr">
        <is>
          <t>SS6505 Male Pipe/37° Female Swivel Connector series</t>
        </is>
      </c>
      <c r="D315" s="37" t="inlineStr">
        <is>
          <t>Stainless Steel Fittings</t>
        </is>
      </c>
      <c r="E315" s="37" t="inlineStr">
        <is>
          <t>Straight</t>
        </is>
      </c>
      <c r="F315" s="37" t="inlineStr">
        <is>
          <t>https://parts.air-way.com/hydraulic-fittings/stainless-steel-hydraulic-fittings/straight/ss6505-male-pipe-37-female-swivel-connector-series-259</t>
        </is>
      </c>
      <c r="G315" s="37" t="inlineStr">
        <is>
          <t>SAE J514 (no numeric code shown)</t>
        </is>
      </c>
      <c r="H315" s="37" t="inlineStr">
        <is>
          <t>NOT STARTED</t>
        </is>
      </c>
      <c r="I315" s="37" t="n"/>
      <c r="J315" s="37" t="n">
        <v>13</v>
      </c>
      <c r="K315" s="37" t="n"/>
    </row>
    <row r="316" ht="15" customHeight="1" s="35">
      <c r="A316" s="37" t="inlineStr">
        <is>
          <t>6506</t>
        </is>
      </c>
      <c r="B316" s="37" t="inlineStr">
        <is>
          <t>102</t>
        </is>
      </c>
      <c r="C316" s="37" t="inlineStr">
        <is>
          <t>6506 Female Pipe/37° Female Swivel Connector</t>
        </is>
      </c>
      <c r="D316" s="37" t="inlineStr">
        <is>
          <t>JIC 37 &amp; Beaded Hose</t>
        </is>
      </c>
      <c r="E316" s="37" t="inlineStr">
        <is>
          <t>Straight</t>
        </is>
      </c>
      <c r="F316" s="37" t="inlineStr">
        <is>
          <t>https://parts.air-way.com/hydraulic-fittings/jic-and-beaded-hose-fittings/straight/6506-female-pipe-37-female-swivel-connector-series-102</t>
        </is>
      </c>
      <c r="G316" s="37" t="inlineStr">
        <is>
          <t>none shown</t>
        </is>
      </c>
      <c r="H316" s="37" t="inlineStr">
        <is>
          <t>TABLED</t>
        </is>
      </c>
      <c r="I316" s="37" t="n"/>
      <c r="J316" s="37" t="n">
        <v>19</v>
      </c>
      <c r="K316" s="37" t="inlineStr">
        <is>
          <t>TABLED 2026-09-23: double-pass extraction 18 rows (sheet said 19); DesignTable_6506.xlsx; scope vs OMi feed: 15 BUILD / 3 DROP / 4 OMi-only (0 differ only by -FG); 1 source anomaly note(s) in 07_RAW_EXTRACTS/airway_anomalies_2026-09-23.txt</t>
        </is>
      </c>
    </row>
    <row r="317" ht="15" customHeight="1" s="35">
      <c r="A317" s="37" t="inlineStr">
        <is>
          <t>6506</t>
        </is>
      </c>
      <c r="B317" s="37" t="inlineStr">
        <is>
          <t>521</t>
        </is>
      </c>
      <c r="C317" s="37" t="inlineStr">
        <is>
          <t>FF6506 Female Pipe / Female ORFS Swivel Connector</t>
        </is>
      </c>
      <c r="D317" s="37" t="inlineStr">
        <is>
          <t>ORFS</t>
        </is>
      </c>
      <c r="E317" s="37" t="inlineStr">
        <is>
          <t>Straight</t>
        </is>
      </c>
      <c r="F317" s="37" t="inlineStr">
        <is>
          <t>https://parts.air-way.com/hydraulic-fittings/o-ring-face-seal-orfs-hydraulic-fittings/straight/ff6506-female-pipe-female-orfs-swivel-connector-series-521</t>
        </is>
      </c>
      <c r="G317" s="37" t="inlineStr">
        <is>
          <t>SAE J1453</t>
        </is>
      </c>
      <c r="H317" s="37" t="inlineStr">
        <is>
          <t>NOT STARTED</t>
        </is>
      </c>
      <c r="I317" s="37" t="n"/>
      <c r="J317" s="37" t="n">
        <v>2</v>
      </c>
      <c r="K317" s="37" t="n"/>
    </row>
    <row r="318" ht="15" customHeight="1" s="35">
      <c r="A318" s="37" t="inlineStr">
        <is>
          <t>6506</t>
        </is>
      </c>
      <c r="B318" s="37" t="inlineStr">
        <is>
          <t>260</t>
        </is>
      </c>
      <c r="C318" s="37" t="inlineStr">
        <is>
          <t>SS6506 Female Pipe/37° Female Swivel Connector series</t>
        </is>
      </c>
      <c r="D318" s="37" t="inlineStr">
        <is>
          <t>Stainless Steel Fittings</t>
        </is>
      </c>
      <c r="E318" s="37" t="inlineStr">
        <is>
          <t>Straight</t>
        </is>
      </c>
      <c r="F318" s="37" t="inlineStr">
        <is>
          <t>https://parts.air-way.com/hydraulic-fittings/stainless-steel-hydraulic-fittings/straight/ss6506-female-pipe-37-female-swivel-connector-series-260</t>
        </is>
      </c>
      <c r="G318" s="37" t="inlineStr">
        <is>
          <t>SAE J514 (no numeric code shown)</t>
        </is>
      </c>
      <c r="H318" s="37" t="inlineStr">
        <is>
          <t>NOT STARTED</t>
        </is>
      </c>
      <c r="I318" s="37" t="n"/>
      <c r="J318" s="37" t="n">
        <v>10</v>
      </c>
      <c r="K318" s="37" t="n"/>
    </row>
    <row r="319" ht="15" customHeight="1" s="35">
      <c r="A319" s="37" t="inlineStr">
        <is>
          <t>6507</t>
        </is>
      </c>
      <c r="B319" s="37" t="inlineStr">
        <is>
          <t>157</t>
        </is>
      </c>
      <c r="C319" s="37" t="inlineStr">
        <is>
          <t>6507 45° Female Pipe/37° Female Swivel Elbow</t>
        </is>
      </c>
      <c r="D319" s="37" t="inlineStr">
        <is>
          <t>JIC 37 &amp; Beaded Hose</t>
        </is>
      </c>
      <c r="E319" s="37" t="inlineStr">
        <is>
          <t>45°</t>
        </is>
      </c>
      <c r="F319" s="37" t="inlineStr">
        <is>
          <t>https://parts.air-way.com/hydraulic-fittings/jic-and-beaded-hose-fittings/45/6507-45-female-pipe-37-female-swivel-elbow-series-157</t>
        </is>
      </c>
      <c r="G319" s="37" t="inlineStr">
        <is>
          <t>none shown</t>
        </is>
      </c>
      <c r="H319" s="37" t="inlineStr">
        <is>
          <t>NOT STARTED</t>
        </is>
      </c>
      <c r="I319" s="37" t="n"/>
      <c r="J319" s="37" t="n">
        <v>1</v>
      </c>
      <c r="K319" s="37" t="n"/>
    </row>
    <row r="320" ht="15" customHeight="1" s="35">
      <c r="A320" s="37" t="inlineStr">
        <is>
          <t>6509</t>
        </is>
      </c>
      <c r="B320" s="37" t="inlineStr">
        <is>
          <t>103</t>
        </is>
      </c>
      <c r="C320" s="37" t="inlineStr">
        <is>
          <t>6509 37° Female Swivel/Female Straight Thread Connector</t>
        </is>
      </c>
      <c r="D320" s="37" t="inlineStr">
        <is>
          <t>JIC 37 &amp; Beaded Hose</t>
        </is>
      </c>
      <c r="E320" s="37" t="inlineStr">
        <is>
          <t>Straight</t>
        </is>
      </c>
      <c r="F320" s="37" t="inlineStr">
        <is>
          <t>https://parts.air-way.com/hydraulic-fittings/jic-and-beaded-hose-fittings/straight/6509-37-female-swivel-female-straight-thread-connector-series-103</t>
        </is>
      </c>
      <c r="G320" s="37" t="inlineStr">
        <is>
          <t>none shown</t>
        </is>
      </c>
      <c r="H320" s="37" t="inlineStr">
        <is>
          <t>NOT STARTED</t>
        </is>
      </c>
      <c r="I320" s="37" t="n"/>
      <c r="J320" s="37" t="n">
        <v>2</v>
      </c>
      <c r="K320" s="37" t="n"/>
    </row>
    <row r="321" ht="15" customHeight="1" s="35">
      <c r="A321" s="37" t="inlineStr">
        <is>
          <t>6509</t>
        </is>
      </c>
      <c r="B321" s="37" t="inlineStr">
        <is>
          <t>522</t>
        </is>
      </c>
      <c r="C321" s="37" t="inlineStr">
        <is>
          <t>FF6509 ORFS Swivel / Female Straight Thread Connector</t>
        </is>
      </c>
      <c r="D321" s="37" t="inlineStr">
        <is>
          <t>ORFS</t>
        </is>
      </c>
      <c r="E321" s="37" t="inlineStr">
        <is>
          <t>Straight</t>
        </is>
      </c>
      <c r="F321" s="37" t="inlineStr">
        <is>
          <t>https://parts.air-way.com/hydraulic-fittings/o-ring-face-seal-orfs-hydraulic-fittings/straight/ff6509-orfs-swivel-female-straight-thread-connector-series-522</t>
        </is>
      </c>
      <c r="G321" s="37" t="inlineStr">
        <is>
          <t>SAE J1453, SAE J1926-1</t>
        </is>
      </c>
      <c r="H321" s="37" t="inlineStr">
        <is>
          <t>NOT STARTED</t>
        </is>
      </c>
      <c r="I321" s="37" t="n"/>
      <c r="J321" s="37" t="n">
        <v>5</v>
      </c>
      <c r="K321" s="37" t="n"/>
    </row>
    <row r="322" ht="15" customHeight="1" s="35">
      <c r="A322" s="37" t="inlineStr">
        <is>
          <t>6565</t>
        </is>
      </c>
      <c r="B322" s="37" t="inlineStr">
        <is>
          <t>104</t>
        </is>
      </c>
      <c r="C322" s="37" t="inlineStr">
        <is>
          <t>6565 Double 37° Female Swivel Union</t>
        </is>
      </c>
      <c r="D322" s="37" t="inlineStr">
        <is>
          <t>JIC 37 &amp; Beaded Hose</t>
        </is>
      </c>
      <c r="E322" s="37" t="inlineStr">
        <is>
          <t>Straight</t>
        </is>
      </c>
      <c r="F322" s="37" t="inlineStr">
        <is>
          <t>https://parts.air-way.com/hydraulic-fittings/jic-and-beaded-hose-fittings/straight/6565-double-37-female-swivel-union-series-104</t>
        </is>
      </c>
      <c r="G322" s="37" t="inlineStr">
        <is>
          <t>none shown</t>
        </is>
      </c>
      <c r="H322" s="37" t="inlineStr">
        <is>
          <t>TABLED</t>
        </is>
      </c>
      <c r="I322" s="37" t="n"/>
      <c r="J322" s="37" t="n">
        <v>9</v>
      </c>
      <c r="K322" s="37" t="inlineStr">
        <is>
          <t>TABLED 2026-09-23: double-pass extraction 9 rows (sheet said 9); DesignTable_6565.xlsx; scope vs OMi feed: 9 BUILD / 0 DROP / 0 OMi-only (0 differ only by -FG); 1 source anomaly note(s) in 07_RAW_EXTRACTS/airway_anomalies_2026-09-23.txt</t>
        </is>
      </c>
    </row>
    <row r="323" ht="15" customHeight="1" s="35">
      <c r="A323" s="37" t="inlineStr">
        <is>
          <t>6565</t>
        </is>
      </c>
      <c r="B323" s="37" t="inlineStr">
        <is>
          <t>523</t>
        </is>
      </c>
      <c r="C323" s="37" t="inlineStr">
        <is>
          <t>FF6565 Male ORFS / Female Double Swivel Union</t>
        </is>
      </c>
      <c r="D323" s="37" t="inlineStr">
        <is>
          <t>ORFS</t>
        </is>
      </c>
      <c r="E323" s="37" t="inlineStr">
        <is>
          <t>Straight</t>
        </is>
      </c>
      <c r="F323" s="37" t="inlineStr">
        <is>
          <t>https://parts.air-way.com/hydraulic-fittings/o-ring-face-seal-orfs-hydraulic-fittings/straight/ff6565-male-orfs-female-double-swivel-union-series-523</t>
        </is>
      </c>
      <c r="G323" s="37" t="inlineStr">
        <is>
          <t>—</t>
        </is>
      </c>
      <c r="H323" s="37" t="inlineStr">
        <is>
          <t>NOT STARTED</t>
        </is>
      </c>
      <c r="I323" s="37" t="n"/>
      <c r="J323" s="37" t="n">
        <v>5</v>
      </c>
      <c r="K323" s="37" t="n"/>
    </row>
    <row r="324" ht="15" customHeight="1" s="35">
      <c r="A324" s="37" t="inlineStr">
        <is>
          <t>6565</t>
        </is>
      </c>
      <c r="B324" s="37" t="inlineStr">
        <is>
          <t>262</t>
        </is>
      </c>
      <c r="C324" s="37" t="inlineStr">
        <is>
          <t>SS6565 Double 37° Female Swivel Union series</t>
        </is>
      </c>
      <c r="D324" s="37" t="inlineStr">
        <is>
          <t>Stainless Steel Fittings</t>
        </is>
      </c>
      <c r="E324" s="37" t="inlineStr">
        <is>
          <t>Straight</t>
        </is>
      </c>
      <c r="F324" s="37" t="inlineStr">
        <is>
          <t>https://parts.air-way.com/hydraulic-fittings/stainless-steel-hydraulic-fittings/straight/ss6565-double-37-female-swivel-union-series-262</t>
        </is>
      </c>
      <c r="G324" s="37" t="inlineStr">
        <is>
          <t>SAE J514 (no numeric code shown)</t>
        </is>
      </c>
      <c r="H324" s="37" t="inlineStr">
        <is>
          <t>NOT STARTED</t>
        </is>
      </c>
      <c r="I324" s="37" t="n"/>
      <c r="J324" s="37" t="n">
        <v>9</v>
      </c>
      <c r="K324" s="37" t="n"/>
    </row>
    <row r="325" ht="15" customHeight="1" s="35">
      <c r="A325" s="37" t="inlineStr">
        <is>
          <t>6600</t>
        </is>
      </c>
      <c r="B325" s="37" t="inlineStr">
        <is>
          <t>377</t>
        </is>
      </c>
      <c r="C325" s="37" t="inlineStr">
        <is>
          <t>F6600 37° JIC Swivel Branch Tee</t>
        </is>
      </c>
      <c r="D325" s="37" t="inlineStr">
        <is>
          <t>FLARE-O</t>
        </is>
      </c>
      <c r="E325" s="37" t="inlineStr">
        <is>
          <t>Tee</t>
        </is>
      </c>
      <c r="F325" s="37" t="inlineStr">
        <is>
          <t>https://parts.air-way.com/hydraulic-fittings/flare-o-hydraulic-fittings/tee/f6600-37-jic-swivel-branch-tee-series-377</t>
        </is>
      </c>
      <c r="G325" s="37" t="inlineStr">
        <is>
          <t>SAE J514 070433</t>
        </is>
      </c>
      <c r="H325" s="37" t="inlineStr">
        <is>
          <t>NOT STARTED</t>
        </is>
      </c>
      <c r="I325" s="37" t="n"/>
      <c r="J325" s="37" t="n">
        <v>7</v>
      </c>
      <c r="K325" s="37" t="n"/>
    </row>
    <row r="326" ht="15" customHeight="1" s="35">
      <c r="A326" s="37" t="inlineStr">
        <is>
          <t>6600</t>
        </is>
      </c>
      <c r="B326" s="37" t="inlineStr">
        <is>
          <t>515</t>
        </is>
      </c>
      <c r="C326" s="37" t="inlineStr">
        <is>
          <t>MFF6600 ORFS Swivel Branch Tee</t>
        </is>
      </c>
      <c r="D326" s="37" t="inlineStr">
        <is>
          <t>International &amp; Metric</t>
        </is>
      </c>
      <c r="E326" s="37" t="inlineStr">
        <is>
          <t>ORFS metric</t>
        </is>
      </c>
      <c r="F326" s="37" t="inlineStr">
        <is>
          <t>https://parts.air-way.com/hydraulic-fittings/international-metric/orfs-metric/mff6600-orfs-swivel-branch-tee-series-515</t>
        </is>
      </c>
      <c r="G326" s="37" t="inlineStr">
        <is>
          <t>SAE J1453-2 52M0433</t>
        </is>
      </c>
      <c r="H326" s="37" t="inlineStr">
        <is>
          <t>NOT STARTED</t>
        </is>
      </c>
      <c r="I326" s="37" t="n"/>
      <c r="J326" s="37" t="n">
        <v>2</v>
      </c>
      <c r="K326" s="37" t="n"/>
    </row>
    <row r="327" ht="15" customHeight="1" s="35">
      <c r="A327" s="37" t="inlineStr">
        <is>
          <t>6600</t>
        </is>
      </c>
      <c r="B327" s="37" t="inlineStr">
        <is>
          <t>193</t>
        </is>
      </c>
      <c r="C327" s="37" t="inlineStr">
        <is>
          <t>6600 37° Female Swivel Branch Tee</t>
        </is>
      </c>
      <c r="D327" s="37" t="inlineStr">
        <is>
          <t>JIC 37 &amp; Beaded Hose</t>
        </is>
      </c>
      <c r="E327" s="37" t="inlineStr">
        <is>
          <t>Tee</t>
        </is>
      </c>
      <c r="F327" s="37" t="inlineStr">
        <is>
          <t>https://parts.air-way.com/hydraulic-fittings/jic-and-beaded-hose-fittings/tee/6600-37-female-swivel-branch-tee-series-193</t>
        </is>
      </c>
      <c r="G327" s="37" t="inlineStr">
        <is>
          <t>SAE J514 070433 / MS51524</t>
        </is>
      </c>
      <c r="H327" s="37" t="inlineStr">
        <is>
          <t>TABLED</t>
        </is>
      </c>
      <c r="I327" s="37" t="n"/>
      <c r="J327" s="37" t="n">
        <v>19</v>
      </c>
      <c r="K327" s="37" t="inlineStr">
        <is>
          <t>TABLED 2026-09-23: double-pass extraction 20 rows (sheet said 19); DesignTable_6600.xlsx; scope vs OMi feed: 10 BUILD / 10 DROP / 0 OMi-only (0 differ only by -FG); 1 source anomaly note(s) in 07_RAW_EXTRACTS/airway_anomalies_2026-09-23.txt</t>
        </is>
      </c>
    </row>
    <row r="328" ht="15" customHeight="1" s="35">
      <c r="A328" s="37" t="inlineStr">
        <is>
          <t>6600</t>
        </is>
      </c>
      <c r="B328" s="37" t="inlineStr">
        <is>
          <t>35</t>
        </is>
      </c>
      <c r="C328" s="37" t="inlineStr">
        <is>
          <t>FF6600 ORFS Swivel Branch Tee</t>
        </is>
      </c>
      <c r="D328" s="37" t="inlineStr">
        <is>
          <t>ORFS</t>
        </is>
      </c>
      <c r="E328" s="37" t="inlineStr">
        <is>
          <t>Tee</t>
        </is>
      </c>
      <c r="F328" s="37" t="inlineStr">
        <is>
          <t>https://parts.air-way.com/hydraulic-fittings/o-ring-face-seal-orfs-hydraulic-fittings/tee/ff6600-orfs-swivel-branch-tee-series-35</t>
        </is>
      </c>
      <c r="G328" s="37" t="inlineStr">
        <is>
          <t>SAE J1453 520433</t>
        </is>
      </c>
      <c r="H328" s="37" t="inlineStr">
        <is>
          <t>NOT STARTED</t>
        </is>
      </c>
      <c r="I328" s="37" t="n"/>
      <c r="J328" s="37" t="n">
        <v>7</v>
      </c>
      <c r="K328" s="37" t="n"/>
    </row>
    <row r="329" ht="15" customHeight="1" s="35">
      <c r="A329" s="37" t="inlineStr">
        <is>
          <t>6600</t>
        </is>
      </c>
      <c r="B329" s="37" t="inlineStr">
        <is>
          <t>312</t>
        </is>
      </c>
      <c r="C329" s="37" t="inlineStr">
        <is>
          <t>SS6600 37° Female Swivel Branch Tee series</t>
        </is>
      </c>
      <c r="D329" s="37" t="inlineStr">
        <is>
          <t>Stainless Steel Fittings</t>
        </is>
      </c>
      <c r="E329" s="37" t="inlineStr">
        <is>
          <t>Tee</t>
        </is>
      </c>
      <c r="F329" s="37" t="inlineStr">
        <is>
          <t>https://parts.air-way.com/hydraulic-fittings/stainless-steel-hydraulic-fittings/tee/ss6600-37-female-swivel-branch-tee-series-312</t>
        </is>
      </c>
      <c r="G329" s="37" t="inlineStr">
        <is>
          <t>SAE J514 070433 / MS51524</t>
        </is>
      </c>
      <c r="H329" s="37" t="inlineStr">
        <is>
          <t>NOT STARTED</t>
        </is>
      </c>
      <c r="I329" s="37" t="n"/>
      <c r="J329" s="37" t="n">
        <v>6</v>
      </c>
      <c r="K329" s="37" t="n"/>
    </row>
    <row r="330" ht="15" customHeight="1" s="35">
      <c r="A330" s="37" t="inlineStr">
        <is>
          <t>6602</t>
        </is>
      </c>
      <c r="B330" s="37" t="inlineStr">
        <is>
          <t>378</t>
        </is>
      </c>
      <c r="C330" s="37" t="inlineStr">
        <is>
          <t>F6602 37° JIC Swivel Run Tee</t>
        </is>
      </c>
      <c r="D330" s="37" t="inlineStr">
        <is>
          <t>FLARE-O</t>
        </is>
      </c>
      <c r="E330" s="37" t="inlineStr">
        <is>
          <t>Tee</t>
        </is>
      </c>
      <c r="F330" s="37" t="inlineStr">
        <is>
          <t>https://parts.air-way.com/hydraulic-fittings/flare-o-hydraulic-fittings/tee/f6602-37-jic-swivel-run-tee-series-378</t>
        </is>
      </c>
      <c r="G330" s="37" t="inlineStr">
        <is>
          <t>SAE J514 070432</t>
        </is>
      </c>
      <c r="H330" s="37" t="inlineStr">
        <is>
          <t>NOT STARTED</t>
        </is>
      </c>
      <c r="I330" s="37" t="n"/>
      <c r="J330" s="37" t="n">
        <v>7</v>
      </c>
      <c r="K330" s="37" t="n"/>
    </row>
    <row r="331" ht="15" customHeight="1" s="35">
      <c r="A331" s="37" t="inlineStr">
        <is>
          <t>6602</t>
        </is>
      </c>
      <c r="B331" s="37" t="inlineStr">
        <is>
          <t>470</t>
        </is>
      </c>
      <c r="C331" s="37" t="inlineStr">
        <is>
          <t>MBS6602 Threaded Fitting, BSPP 60° Cone Swivel Run Tee</t>
        </is>
      </c>
      <c r="D331" s="37" t="inlineStr">
        <is>
          <t>International &amp; Metric</t>
        </is>
      </c>
      <c r="E331" s="37" t="inlineStr">
        <is>
          <t>BSPP ISO 8434-6</t>
        </is>
      </c>
      <c r="F331" s="37" t="inlineStr">
        <is>
          <t>https://parts.air-way.com/hydraulic-fittings/international-metric/bspp-iso-8434-6/mbs6602-threaded-fitting-bspp-60-cone-swivel-run-tee-series-470</t>
        </is>
      </c>
      <c r="G331" s="37" t="inlineStr">
        <is>
          <t>ISO 8434-6</t>
        </is>
      </c>
      <c r="H331" s="37" t="inlineStr">
        <is>
          <t>NOT STARTED</t>
        </is>
      </c>
      <c r="I331" s="37" t="n"/>
      <c r="J331" s="37" t="n">
        <v>1</v>
      </c>
      <c r="K331" s="37" t="n"/>
    </row>
    <row r="332" ht="15" customHeight="1" s="35">
      <c r="A332" s="37" t="inlineStr">
        <is>
          <t>6602</t>
        </is>
      </c>
      <c r="B332" s="37" t="inlineStr">
        <is>
          <t>516</t>
        </is>
      </c>
      <c r="C332" s="37" t="inlineStr">
        <is>
          <t>MFF6602 ORFS Swivel Run Tee</t>
        </is>
      </c>
      <c r="D332" s="37" t="inlineStr">
        <is>
          <t>International &amp; Metric</t>
        </is>
      </c>
      <c r="E332" s="37" t="inlineStr">
        <is>
          <t>ORFS metric</t>
        </is>
      </c>
      <c r="F332" s="37" t="inlineStr">
        <is>
          <t>https://parts.air-way.com/hydraulic-fittings/international-metric/orfs-metric/mff6602-orfs-swivel-run-tee-series-516</t>
        </is>
      </c>
      <c r="G332" s="37" t="inlineStr">
        <is>
          <t>SAE J1453-2 52M0432</t>
        </is>
      </c>
      <c r="H332" s="37" t="inlineStr">
        <is>
          <t>NOT STARTED</t>
        </is>
      </c>
      <c r="I332" s="37" t="n"/>
      <c r="J332" s="37" t="n">
        <v>13</v>
      </c>
      <c r="K332" s="37" t="n"/>
    </row>
    <row r="333" ht="15" customHeight="1" s="35">
      <c r="A333" s="37" t="inlineStr">
        <is>
          <t>6602</t>
        </is>
      </c>
      <c r="B333" s="37" t="inlineStr">
        <is>
          <t>194</t>
        </is>
      </c>
      <c r="C333" s="37" t="inlineStr">
        <is>
          <t>6602 37° Female Swivel Run Tee</t>
        </is>
      </c>
      <c r="D333" s="37" t="inlineStr">
        <is>
          <t>JIC 37 &amp; Beaded Hose</t>
        </is>
      </c>
      <c r="E333" s="37" t="inlineStr">
        <is>
          <t>Tee</t>
        </is>
      </c>
      <c r="F333" s="37" t="inlineStr">
        <is>
          <t>https://parts.air-way.com/hydraulic-fittings/jic-and-beaded-hose-fittings/tee/6602-37-female-swivel-run-tee-series-194</t>
        </is>
      </c>
      <c r="G333" s="37" t="inlineStr">
        <is>
          <t>SAE J514 070432 / MS51523</t>
        </is>
      </c>
      <c r="H333" s="37" t="inlineStr">
        <is>
          <t>TABLED</t>
        </is>
      </c>
      <c r="I333" s="37" t="n"/>
      <c r="J333" s="37" t="n">
        <v>39</v>
      </c>
      <c r="K333" s="37" t="inlineStr">
        <is>
          <t>TABLED 2026-09-23: double-pass extraction 39 rows (sheet said 39); DesignTable_6602.xlsx; scope vs OMi feed: 9 BUILD / 30 DROP / 0 OMi-only (0 differ only by -FG); 1 source anomaly note(s) in 07_RAW_EXTRACTS/airway_anomalies_2026-09-23.txt</t>
        </is>
      </c>
    </row>
    <row r="334" ht="15" customHeight="1" s="35">
      <c r="A334" s="37" t="inlineStr">
        <is>
          <t>6602</t>
        </is>
      </c>
      <c r="B334" s="37" t="inlineStr">
        <is>
          <t>36</t>
        </is>
      </c>
      <c r="C334" s="37" t="inlineStr">
        <is>
          <t>FF6602 ORFS Swivel Run Tee</t>
        </is>
      </c>
      <c r="D334" s="37" t="inlineStr">
        <is>
          <t>ORFS</t>
        </is>
      </c>
      <c r="E334" s="37" t="inlineStr">
        <is>
          <t>Tee</t>
        </is>
      </c>
      <c r="F334" s="37" t="inlineStr">
        <is>
          <t>https://parts.air-way.com/hydraulic-fittings/o-ring-face-seal-orfs-hydraulic-fittings/tee/ff6602-orfs-swivel-run-tee-series-36</t>
        </is>
      </c>
      <c r="G334" s="37" t="inlineStr">
        <is>
          <t>SAE J1453 520432</t>
        </is>
      </c>
      <c r="H334" s="37" t="inlineStr">
        <is>
          <t>NOT STARTED</t>
        </is>
      </c>
      <c r="I334" s="37" t="n"/>
      <c r="J334" s="37" t="n">
        <v>21</v>
      </c>
      <c r="K334" s="37" t="n"/>
    </row>
    <row r="335" ht="15" customHeight="1" s="35">
      <c r="A335" s="37" t="inlineStr">
        <is>
          <t>6602</t>
        </is>
      </c>
      <c r="B335" s="37" t="inlineStr">
        <is>
          <t>313</t>
        </is>
      </c>
      <c r="C335" s="37" t="inlineStr">
        <is>
          <t>SS6602 37° Female Swivel Run Tee series</t>
        </is>
      </c>
      <c r="D335" s="37" t="inlineStr">
        <is>
          <t>Stainless Steel Fittings</t>
        </is>
      </c>
      <c r="E335" s="37" t="inlineStr">
        <is>
          <t>Tee</t>
        </is>
      </c>
      <c r="F335" s="37" t="inlineStr">
        <is>
          <t>https://parts.air-way.com/hydraulic-fittings/stainless-steel-hydraulic-fittings/tee/ss6602-37-female-swivel-run-tee-series-313</t>
        </is>
      </c>
      <c r="G335" s="37" t="inlineStr">
        <is>
          <t>SAE J514 070432 / MS51523</t>
        </is>
      </c>
      <c r="H335" s="37" t="inlineStr">
        <is>
          <t>NOT STARTED</t>
        </is>
      </c>
      <c r="I335" s="37" t="n"/>
      <c r="J335" s="37" t="n">
        <v>6</v>
      </c>
      <c r="K335" s="37" t="n"/>
    </row>
    <row r="336" ht="15" customHeight="1" s="35">
      <c r="A336" s="37" t="inlineStr">
        <is>
          <t>6603</t>
        </is>
      </c>
      <c r="B336" s="37" t="inlineStr">
        <is>
          <t>195</t>
        </is>
      </c>
      <c r="C336" s="37" t="inlineStr">
        <is>
          <t>6603 37° Female Swivel Run/Run Tee</t>
        </is>
      </c>
      <c r="D336" s="37" t="inlineStr">
        <is>
          <t>JIC 37 &amp; Beaded Hose</t>
        </is>
      </c>
      <c r="E336" s="37" t="inlineStr">
        <is>
          <t>Tee</t>
        </is>
      </c>
      <c r="F336" s="37" t="inlineStr">
        <is>
          <t>https://parts.air-way.com/hydraulic-fittings/jic-and-beaded-hose-fittings/tee/6603-37-female-swivel-run-run-tee-series-195</t>
        </is>
      </c>
      <c r="G336" s="37" t="inlineStr">
        <is>
          <t>none shown</t>
        </is>
      </c>
      <c r="H336" s="37" t="inlineStr">
        <is>
          <t>TABLED</t>
        </is>
      </c>
      <c r="I336" s="37" t="n"/>
      <c r="J336" s="37" t="n">
        <v>5</v>
      </c>
      <c r="K336" s="37" t="inlineStr">
        <is>
          <t>TABLED 2026-09-23: double-pass extraction 5 rows (sheet said 5); DesignTable_6603.xlsx; scope vs OMi feed: 0 BUILD / 5 DROP / 2 OMi-only (2 differ only by -FG)</t>
        </is>
      </c>
    </row>
    <row r="337" ht="15" customHeight="1" s="35">
      <c r="A337" s="37" t="inlineStr">
        <is>
          <t>6605</t>
        </is>
      </c>
      <c r="B337" s="37" t="inlineStr">
        <is>
          <t>197</t>
        </is>
      </c>
      <c r="C337" s="37" t="inlineStr">
        <is>
          <t>6605 Female Pipe/37° Female Swivel Run/Run Tee</t>
        </is>
      </c>
      <c r="D337" s="37" t="inlineStr">
        <is>
          <t>JIC 37 &amp; Beaded Hose</t>
        </is>
      </c>
      <c r="E337" s="37" t="inlineStr">
        <is>
          <t>Tee</t>
        </is>
      </c>
      <c r="F337" s="37" t="inlineStr">
        <is>
          <t>https://parts.air-way.com/hydraulic-fittings/jic-and-beaded-hose-fittings/tee/6605-female-pipe-37-female-swivel-run-run-tee-series-197</t>
        </is>
      </c>
      <c r="G337" s="37" t="inlineStr">
        <is>
          <t>none shown</t>
        </is>
      </c>
      <c r="H337" s="37" t="inlineStr">
        <is>
          <t>NOT STARTED</t>
        </is>
      </c>
      <c r="I337" s="37" t="n"/>
      <c r="J337" s="37" t="n">
        <v>1</v>
      </c>
      <c r="K337" s="37" t="n"/>
    </row>
    <row r="338" ht="15" customHeight="1" s="35">
      <c r="A338" s="37" t="inlineStr">
        <is>
          <t>6606</t>
        </is>
      </c>
      <c r="B338" s="37" t="inlineStr">
        <is>
          <t>198</t>
        </is>
      </c>
      <c r="C338" s="37" t="inlineStr">
        <is>
          <t>6606 37° Female Swivel Tee</t>
        </is>
      </c>
      <c r="D338" s="37" t="inlineStr">
        <is>
          <t>JIC 37 &amp; Beaded Hose</t>
        </is>
      </c>
      <c r="E338" s="37" t="inlineStr">
        <is>
          <t>Tee</t>
        </is>
      </c>
      <c r="F338" s="37" t="inlineStr">
        <is>
          <t>https://parts.air-way.com/hydraulic-fittings/jic-and-beaded-hose-fittings/tee/6606-37-female-swivel-tee-series-198</t>
        </is>
      </c>
      <c r="G338" s="37" t="inlineStr">
        <is>
          <t>none shown</t>
        </is>
      </c>
      <c r="H338" s="37" t="inlineStr">
        <is>
          <t>TABLED</t>
        </is>
      </c>
      <c r="I338" s="37" t="n"/>
      <c r="J338" s="37" t="n">
        <v>2</v>
      </c>
      <c r="K338" s="37" t="inlineStr">
        <is>
          <t>TABLED 2026-09-23: double-pass extraction 2 rows (sheet said 2); DesignTable_6606.xlsx; scope vs OMi feed: 0 BUILD / 2 DROP / 6 OMi-only (2 differ only by -FG)</t>
        </is>
      </c>
    </row>
    <row r="339" ht="15" customHeight="1" s="35">
      <c r="A339" s="37" t="inlineStr">
        <is>
          <t>6801</t>
        </is>
      </c>
      <c r="B339" s="37" t="inlineStr">
        <is>
          <t>349</t>
        </is>
      </c>
      <c r="C339" s="37" t="inlineStr">
        <is>
          <t>F6801 90° Straight Thread Elbow</t>
        </is>
      </c>
      <c r="D339" s="37" t="inlineStr">
        <is>
          <t>FLARE-O</t>
        </is>
      </c>
      <c r="E339" s="37" t="inlineStr">
        <is>
          <t>90°</t>
        </is>
      </c>
      <c r="F339" s="37" t="inlineStr">
        <is>
          <t>https://parts.air-way.com/hydraulic-fittings/flare-o-hydraulic-fittings/90/f6801-90-straight-thread-elbow-series-349</t>
        </is>
      </c>
      <c r="G339" s="37" t="inlineStr">
        <is>
          <t>SAE J514 070220</t>
        </is>
      </c>
      <c r="H339" s="37" t="inlineStr">
        <is>
          <t>NOT STARTED</t>
        </is>
      </c>
      <c r="I339" s="37" t="n"/>
      <c r="J339" s="37" t="n">
        <v>29</v>
      </c>
      <c r="K339" s="37" t="n"/>
    </row>
    <row r="340" ht="15" customHeight="1" s="35">
      <c r="A340" s="37" t="inlineStr">
        <is>
          <t>6801</t>
        </is>
      </c>
      <c r="B340" s="37" t="inlineStr">
        <is>
          <t>454</t>
        </is>
      </c>
      <c r="C340" s="37" t="inlineStr">
        <is>
          <t>MBP6801, JIC to BSPP Adjustable 90° Elbow</t>
        </is>
      </c>
      <c r="D340" s="37" t="inlineStr">
        <is>
          <t>International &amp; Metric</t>
        </is>
      </c>
      <c r="E340" s="37" t="inlineStr">
        <is>
          <t>BSPP</t>
        </is>
      </c>
      <c r="F340" s="37" t="inlineStr">
        <is>
          <t>https://parts.air-way.com/hydraulic-fittings/international-metric/bspp/mbp6801-jic-to-bspp-adjustable-90-elbow-series-454</t>
        </is>
      </c>
      <c r="G340" s="37" t="inlineStr">
        <is>
          <t>SAE J514, ISO 1179-3</t>
        </is>
      </c>
      <c r="H340" s="37" t="inlineStr">
        <is>
          <t>NOT STARTED</t>
        </is>
      </c>
      <c r="I340" s="37" t="n"/>
      <c r="J340" s="37" t="n">
        <v>21</v>
      </c>
      <c r="K340" s="37" t="n"/>
    </row>
    <row r="341" ht="15" customHeight="1" s="35">
      <c r="A341" s="37" t="inlineStr">
        <is>
          <t>6801</t>
        </is>
      </c>
      <c r="B341" s="37" t="inlineStr">
        <is>
          <t>468</t>
        </is>
      </c>
      <c r="C341" s="37" t="inlineStr">
        <is>
          <t>MBS6801 Threaded Fitting, BSPP 60° Cone to SAE Adjustable 90° Elbow</t>
        </is>
      </c>
      <c r="D341" s="37" t="inlineStr">
        <is>
          <t>International &amp; Metric</t>
        </is>
      </c>
      <c r="E341" s="37" t="inlineStr">
        <is>
          <t>BSPP ISO 8434-6</t>
        </is>
      </c>
      <c r="F341" s="37" t="inlineStr">
        <is>
          <t>https://parts.air-way.com/hydraulic-fittings/international-metric/bspp-iso-8434-6/mbs6801-threaded-fitting-bspp-60-cone-to-sae-adjustable-90-elbow-series-468</t>
        </is>
      </c>
      <c r="G341" s="37" t="inlineStr">
        <is>
          <t>ISO 8434-6 to SAE J1926-3</t>
        </is>
      </c>
      <c r="H341" s="37" t="inlineStr">
        <is>
          <t>NOT STARTED</t>
        </is>
      </c>
      <c r="I341" s="37" t="n"/>
      <c r="J341" s="37" t="n">
        <v>2</v>
      </c>
      <c r="K341" s="37" t="n"/>
    </row>
    <row r="342" ht="15" customHeight="1" s="35">
      <c r="A342" s="37" t="inlineStr">
        <is>
          <t>6801</t>
        </is>
      </c>
      <c r="B342" s="37" t="inlineStr">
        <is>
          <t>446</t>
        </is>
      </c>
      <c r="C342" s="37" t="inlineStr">
        <is>
          <t>M6801 JIC to Metric Adjustable 90° Elbow</t>
        </is>
      </c>
      <c r="D342" s="37" t="inlineStr">
        <is>
          <t>International &amp; Metric</t>
        </is>
      </c>
      <c r="E342" s="37" t="inlineStr">
        <is>
          <t>Metric</t>
        </is>
      </c>
      <c r="F342" s="37" t="inlineStr">
        <is>
          <t>https://parts.air-way.com/hydraulic-fittings/international-metric/metric/m6801-jic-to-metric-adjustable-90-elbow-series-446</t>
        </is>
      </c>
      <c r="G342" s="37" t="inlineStr">
        <is>
          <t>SAE J514, ISO 9974</t>
        </is>
      </c>
      <c r="H342" s="37" t="inlineStr">
        <is>
          <t>NOT STARTED</t>
        </is>
      </c>
      <c r="I342" s="37" t="n"/>
      <c r="J342" s="37" t="n">
        <v>14</v>
      </c>
      <c r="K342" s="37" t="n"/>
    </row>
    <row r="343" ht="15" customHeight="1" s="35">
      <c r="A343" s="37" t="inlineStr">
        <is>
          <t>6801</t>
        </is>
      </c>
      <c r="B343" s="37" t="inlineStr">
        <is>
          <t>476</t>
        </is>
      </c>
      <c r="C343" s="37" t="inlineStr">
        <is>
          <t>MFF6801, ORFS to Metric Adjustable 90° Elbow</t>
        </is>
      </c>
      <c r="D343" s="37" t="inlineStr">
        <is>
          <t>International &amp; Metric</t>
        </is>
      </c>
      <c r="E343" s="37" t="inlineStr">
        <is>
          <t>ORFS metric</t>
        </is>
      </c>
      <c r="F343" s="37" t="inlineStr">
        <is>
          <t>https://parts.air-way.com/hydraulic-fittings/international-metric/orfs-metric/mff6801-orfs-to-metric-adjustable-90-elbow-series-476</t>
        </is>
      </c>
      <c r="G343" s="37" t="inlineStr">
        <is>
          <t>SAE J1453, ISO 8434-3, ISO 6149</t>
        </is>
      </c>
      <c r="H343" s="37" t="inlineStr">
        <is>
          <t>NOT STARTED</t>
        </is>
      </c>
      <c r="I343" s="37" t="n"/>
      <c r="J343" s="37" t="n">
        <v>41</v>
      </c>
      <c r="K343" s="37" t="n"/>
    </row>
    <row r="344" ht="15" customHeight="1" s="35">
      <c r="A344" s="37" t="inlineStr">
        <is>
          <t>6801</t>
        </is>
      </c>
      <c r="B344" s="37" t="inlineStr">
        <is>
          <t>134</t>
        </is>
      </c>
      <c r="C344" s="37" t="inlineStr">
        <is>
          <t>6801 90° Straight Thread Elbow</t>
        </is>
      </c>
      <c r="D344" s="37" t="inlineStr">
        <is>
          <t>JIC 37 &amp; Beaded Hose</t>
        </is>
      </c>
      <c r="E344" s="37" t="inlineStr">
        <is>
          <t>90°</t>
        </is>
      </c>
      <c r="F344" s="37" t="inlineStr">
        <is>
          <t>https://parts.air-way.com/hydraulic-fittings/jic-and-beaded-hose-fittings/90/6801-90-straight-thread-elbow-series-134</t>
        </is>
      </c>
      <c r="G344" s="37" t="inlineStr">
        <is>
          <t>SAE J514 070220 / MS51527</t>
        </is>
      </c>
      <c r="H344" s="37" t="inlineStr">
        <is>
          <t>NOT STARTED</t>
        </is>
      </c>
      <c r="I344" s="37" t="n"/>
      <c r="J344" s="37" t="n">
        <v>92</v>
      </c>
      <c r="K344" s="37" t="n"/>
    </row>
    <row r="345" ht="15" customHeight="1" s="35">
      <c r="A345" s="37" t="inlineStr">
        <is>
          <t>6801</t>
        </is>
      </c>
      <c r="B345" s="37" t="inlineStr">
        <is>
          <t>25</t>
        </is>
      </c>
      <c r="C345" s="37" t="inlineStr">
        <is>
          <t>FF6801 90° Straight Thread Elbow</t>
        </is>
      </c>
      <c r="D345" s="37" t="inlineStr">
        <is>
          <t>ORFS</t>
        </is>
      </c>
      <c r="E345" s="37" t="inlineStr">
        <is>
          <t>90°</t>
        </is>
      </c>
      <c r="F345" s="37" t="inlineStr">
        <is>
          <t>https://parts.air-way.com/hydraulic-fittings/o-ring-face-seal-orfs-hydraulic-fittings/90/ff6801-90-straight-thread-elbow-series-25</t>
        </is>
      </c>
      <c r="G345" s="37" t="inlineStr">
        <is>
          <t>SAE J1453 520220</t>
        </is>
      </c>
      <c r="H345" s="37" t="inlineStr">
        <is>
          <t>NOT STARTED</t>
        </is>
      </c>
      <c r="I345" s="37" t="n"/>
      <c r="J345" s="37" t="n">
        <v>36</v>
      </c>
      <c r="K345" s="37" t="n"/>
    </row>
    <row r="346" ht="15" customHeight="1" s="35">
      <c r="A346" s="37" t="inlineStr">
        <is>
          <t>6801</t>
        </is>
      </c>
      <c r="B346" s="37" t="inlineStr">
        <is>
          <t>281</t>
        </is>
      </c>
      <c r="C346" s="37" t="inlineStr">
        <is>
          <t>SS6801 90° Straight Thread Elbow series</t>
        </is>
      </c>
      <c r="D346" s="37" t="inlineStr">
        <is>
          <t>Stainless Steel Fittings</t>
        </is>
      </c>
      <c r="E346" s="37" t="inlineStr">
        <is>
          <t>90°</t>
        </is>
      </c>
      <c r="F346" s="37" t="inlineStr">
        <is>
          <t>https://parts.air-way.com/hydraulic-fittings/stainless-steel-hydraulic-fittings/90/ss6801-90-straight-thread-elbow-series-281</t>
        </is>
      </c>
      <c r="G346" s="37" t="inlineStr">
        <is>
          <t>SAE J514 070220 / MS51527</t>
        </is>
      </c>
      <c r="H346" s="37" t="inlineStr">
        <is>
          <t>NOT STARTED</t>
        </is>
      </c>
      <c r="I346" s="37" t="n"/>
      <c r="J346" s="37" t="n">
        <v>25</v>
      </c>
      <c r="K346" s="37" t="n"/>
    </row>
    <row r="347" ht="15" customHeight="1" s="35">
      <c r="A347" s="37" t="inlineStr">
        <is>
          <t>6801-L</t>
        </is>
      </c>
      <c r="B347" s="37" t="inlineStr">
        <is>
          <t>350</t>
        </is>
      </c>
      <c r="C347" s="37" t="inlineStr">
        <is>
          <t>F6801-L 90° Straight Thread Elbow Long</t>
        </is>
      </c>
      <c r="D347" s="37" t="inlineStr">
        <is>
          <t>FLARE-O</t>
        </is>
      </c>
      <c r="E347" s="37" t="inlineStr">
        <is>
          <t>90°</t>
        </is>
      </c>
      <c r="F347" s="37" t="inlineStr">
        <is>
          <t>https://parts.air-way.com/hydraulic-fittings/flare-o-hydraulic-fittings/90/f6801-l-90-straight-thread-elbow-long-series-350</t>
        </is>
      </c>
      <c r="G347" s="37" t="inlineStr">
        <is>
          <t>none shown</t>
        </is>
      </c>
      <c r="H347" s="37" t="inlineStr">
        <is>
          <t>NOT STARTED</t>
        </is>
      </c>
      <c r="I347" s="37" t="n"/>
      <c r="J347" s="37" t="n">
        <v>5</v>
      </c>
      <c r="K347" s="37" t="n"/>
    </row>
    <row r="348" ht="15" customHeight="1" s="35">
      <c r="A348" s="37" t="inlineStr">
        <is>
          <t>6801-L</t>
        </is>
      </c>
      <c r="B348" s="37" t="inlineStr">
        <is>
          <t>135</t>
        </is>
      </c>
      <c r="C348" s="37" t="inlineStr">
        <is>
          <t>6801-L 90° Straight Thread Elbow Long</t>
        </is>
      </c>
      <c r="D348" s="37" t="inlineStr">
        <is>
          <t>JIC 37 &amp; Beaded Hose</t>
        </is>
      </c>
      <c r="E348" s="37" t="inlineStr">
        <is>
          <t>90°</t>
        </is>
      </c>
      <c r="F348" s="37" t="inlineStr">
        <is>
          <t>https://parts.air-way.com/hydraulic-fittings/jic-and-beaded-hose-fittings/90/6801-l-90-straight-thread-elbow-long-series-135</t>
        </is>
      </c>
      <c r="G348" s="37" t="inlineStr">
        <is>
          <t>SAE J514 071520</t>
        </is>
      </c>
      <c r="H348" s="37" t="inlineStr">
        <is>
          <t>NOT STARTED</t>
        </is>
      </c>
      <c r="I348" s="37" t="n"/>
      <c r="J348" s="37" t="n">
        <v>19</v>
      </c>
      <c r="K348" s="37" t="n"/>
    </row>
    <row r="349" ht="15" customHeight="1" s="35">
      <c r="A349" s="37" t="inlineStr">
        <is>
          <t>6801-L</t>
        </is>
      </c>
      <c r="B349" s="37" t="inlineStr">
        <is>
          <t>26</t>
        </is>
      </c>
      <c r="C349" s="37" t="inlineStr">
        <is>
          <t>FF6801-L 90° Straight Thread Elbow Long</t>
        </is>
      </c>
      <c r="D349" s="37" t="inlineStr">
        <is>
          <t>ORFS</t>
        </is>
      </c>
      <c r="E349" s="37" t="inlineStr">
        <is>
          <t>90°</t>
        </is>
      </c>
      <c r="F349" s="37" t="inlineStr">
        <is>
          <t>https://parts.air-way.com/hydraulic-fittings/o-ring-face-seal-orfs-hydraulic-fittings/90/ff6801-l-90-straight-thread-elbow-long-series-26</t>
        </is>
      </c>
      <c r="G349" s="37" t="inlineStr">
        <is>
          <t>SAE J1453 521520</t>
        </is>
      </c>
      <c r="H349" s="37" t="inlineStr">
        <is>
          <t>NOT STARTED</t>
        </is>
      </c>
      <c r="I349" s="37" t="n"/>
      <c r="J349" s="37" t="n">
        <v>11</v>
      </c>
      <c r="K349" s="37" t="n"/>
    </row>
    <row r="350" ht="15" customHeight="1" s="35">
      <c r="A350" s="37" t="inlineStr">
        <is>
          <t>6801-L</t>
        </is>
      </c>
      <c r="B350" s="37" t="inlineStr">
        <is>
          <t>282</t>
        </is>
      </c>
      <c r="C350" s="37" t="inlineStr">
        <is>
          <t>SS6801-L 90° Straight Thread Elbow Long series</t>
        </is>
      </c>
      <c r="D350" s="37" t="inlineStr">
        <is>
          <t>Stainless Steel Fittings</t>
        </is>
      </c>
      <c r="E350" s="37" t="inlineStr">
        <is>
          <t>90°</t>
        </is>
      </c>
      <c r="F350" s="37" t="inlineStr">
        <is>
          <t>https://parts.air-way.com/hydraulic-fittings/stainless-steel-hydraulic-fittings/90/ss6801-l-90-straight-thread-elbow-long-series-282</t>
        </is>
      </c>
      <c r="G350" s="37" t="inlineStr">
        <is>
          <t>none (see GAPS)</t>
        </is>
      </c>
      <c r="H350" s="37" t="inlineStr">
        <is>
          <t>NOT STARTED</t>
        </is>
      </c>
      <c r="I350" s="37" t="n"/>
      <c r="J350" s="37" t="n">
        <v>1</v>
      </c>
      <c r="K350" s="37" t="n"/>
    </row>
    <row r="351" ht="15" customHeight="1" s="35">
      <c r="A351" s="37" t="inlineStr">
        <is>
          <t>6801-LL</t>
        </is>
      </c>
      <c r="B351" s="37" t="inlineStr">
        <is>
          <t>351</t>
        </is>
      </c>
      <c r="C351" s="37" t="inlineStr">
        <is>
          <t>F6801-LL 90° Straight Thread Elbow Extra</t>
        </is>
      </c>
      <c r="D351" s="37" t="inlineStr">
        <is>
          <t>FLARE-O</t>
        </is>
      </c>
      <c r="E351" s="37" t="inlineStr">
        <is>
          <t>90°</t>
        </is>
      </c>
      <c r="F351" s="37" t="inlineStr">
        <is>
          <t>https://parts.air-way.com/hydraulic-fittings/flare-o-hydraulic-fittings/90/f6801-ll-90-straight-thread-elbow-extra-series-351</t>
        </is>
      </c>
      <c r="G351" s="37" t="inlineStr">
        <is>
          <t>none shown</t>
        </is>
      </c>
      <c r="H351" s="37" t="inlineStr">
        <is>
          <t>NOT STARTED</t>
        </is>
      </c>
      <c r="I351" s="37" t="n"/>
      <c r="J351" s="37" t="n">
        <v>5</v>
      </c>
      <c r="K351" s="37" t="n"/>
    </row>
    <row r="352" ht="15" customHeight="1" s="35">
      <c r="A352" s="37" t="inlineStr">
        <is>
          <t>6801-LL</t>
        </is>
      </c>
      <c r="B352" s="37" t="inlineStr">
        <is>
          <t>136</t>
        </is>
      </c>
      <c r="C352" s="37" t="inlineStr">
        <is>
          <t>6801-LL 90° Straight Thread Elbow Extra Long</t>
        </is>
      </c>
      <c r="D352" s="37" t="inlineStr">
        <is>
          <t>JIC 37 &amp; Beaded Hose</t>
        </is>
      </c>
      <c r="E352" s="37" t="inlineStr">
        <is>
          <t>90°</t>
        </is>
      </c>
      <c r="F352" s="37" t="inlineStr">
        <is>
          <t>https://parts.air-way.com/hydraulic-fittings/jic-and-beaded-hose-fittings/90/6801-ll-90-straight-thread-elbow-extra-long-series-136</t>
        </is>
      </c>
      <c r="G352" s="37" t="inlineStr">
        <is>
          <t>SAE J514 071620</t>
        </is>
      </c>
      <c r="H352" s="37" t="inlineStr">
        <is>
          <t>NOT STARTED</t>
        </is>
      </c>
      <c r="I352" s="37" t="n"/>
      <c r="J352" s="37" t="n">
        <v>21</v>
      </c>
      <c r="K352" s="37" t="n"/>
    </row>
    <row r="353" ht="15" customHeight="1" s="35">
      <c r="A353" s="37" t="inlineStr">
        <is>
          <t>6801-LLL</t>
        </is>
      </c>
      <c r="B353" s="37" t="inlineStr">
        <is>
          <t>352</t>
        </is>
      </c>
      <c r="C353" s="37" t="inlineStr">
        <is>
          <t>F6801-LLL 90° Straight Thread Elbow Extra</t>
        </is>
      </c>
      <c r="D353" s="37" t="inlineStr">
        <is>
          <t>FLARE-O</t>
        </is>
      </c>
      <c r="E353" s="37" t="inlineStr">
        <is>
          <t>90°</t>
        </is>
      </c>
      <c r="F353" s="37" t="inlineStr">
        <is>
          <t>https://parts.air-way.com/hydraulic-fittings/flare-o-hydraulic-fittings/90/f6801-lll-90-straight-thread-elbow-extra-series-352</t>
        </is>
      </c>
      <c r="G353" s="37" t="inlineStr">
        <is>
          <t>none shown</t>
        </is>
      </c>
      <c r="H353" s="37" t="inlineStr">
        <is>
          <t>NOT STARTED</t>
        </is>
      </c>
      <c r="I353" s="37" t="n"/>
      <c r="J353" s="37" t="n">
        <v>1</v>
      </c>
      <c r="K353" s="37" t="n"/>
    </row>
    <row r="354" ht="15" customHeight="1" s="35">
      <c r="A354" s="37" t="inlineStr">
        <is>
          <t>6801-LLL</t>
        </is>
      </c>
      <c r="B354" s="37" t="inlineStr">
        <is>
          <t>137</t>
        </is>
      </c>
      <c r="C354" s="37" t="inlineStr">
        <is>
          <t>6801-LLL 90° Straight Thread Elbow Extra Extra Long</t>
        </is>
      </c>
      <c r="D354" s="37" t="inlineStr">
        <is>
          <t>JIC 37 &amp; Beaded Hose</t>
        </is>
      </c>
      <c r="E354" s="37" t="inlineStr">
        <is>
          <t>90°</t>
        </is>
      </c>
      <c r="F354" s="37" t="inlineStr">
        <is>
          <t>https://parts.air-way.com/hydraulic-fittings/jic-and-beaded-hose-fittings/90/6801-lll-90-straight-thread-elbow-extra-extra-long-series-137</t>
        </is>
      </c>
      <c r="G354" s="37" t="inlineStr">
        <is>
          <t>SAE J514 072120</t>
        </is>
      </c>
      <c r="H354" s="37" t="inlineStr">
        <is>
          <t>NOT STARTED</t>
        </is>
      </c>
      <c r="I354" s="37" t="n"/>
      <c r="J354" s="37" t="n">
        <v>6</v>
      </c>
      <c r="K354" s="37" t="n"/>
    </row>
    <row r="355" ht="15" customHeight="1" s="35">
      <c r="A355" s="37" t="inlineStr">
        <is>
          <t>6802</t>
        </is>
      </c>
      <c r="B355" s="37" t="inlineStr">
        <is>
          <t>359</t>
        </is>
      </c>
      <c r="C355" s="37" t="inlineStr">
        <is>
          <t>F6802 45° Straight Thread Elbow</t>
        </is>
      </c>
      <c r="D355" s="37" t="inlineStr">
        <is>
          <t>FLARE-O</t>
        </is>
      </c>
      <c r="E355" s="37" t="inlineStr">
        <is>
          <t>45°</t>
        </is>
      </c>
      <c r="F355" s="37" t="inlineStr">
        <is>
          <t>https://parts.air-way.com/hydraulic-fittings/flare-o-hydraulic-fittings/45/f6802-45-straight-thread-elbow-series-359</t>
        </is>
      </c>
      <c r="G355" s="37" t="inlineStr">
        <is>
          <t>SAE J514 070320</t>
        </is>
      </c>
      <c r="H355" s="37" t="inlineStr">
        <is>
          <t>NOT STARTED</t>
        </is>
      </c>
      <c r="I355" s="37" t="n"/>
      <c r="J355" s="37" t="n">
        <v>17</v>
      </c>
      <c r="K355" s="37" t="n"/>
    </row>
    <row r="356" ht="15" customHeight="1" s="35">
      <c r="A356" s="37" t="inlineStr">
        <is>
          <t>6802</t>
        </is>
      </c>
      <c r="B356" s="37" t="inlineStr">
        <is>
          <t>455</t>
        </is>
      </c>
      <c r="C356" s="37" t="inlineStr">
        <is>
          <t>MBP6802, JIC to BSPP Adjustable 45° Elbow</t>
        </is>
      </c>
      <c r="D356" s="37" t="inlineStr">
        <is>
          <t>International &amp; Metric</t>
        </is>
      </c>
      <c r="E356" s="37" t="inlineStr">
        <is>
          <t>BSPP</t>
        </is>
      </c>
      <c r="F356" s="37" t="inlineStr">
        <is>
          <t>https://parts.air-way.com/hydraulic-fittings/international-metric/bspp/mbp6802-jic-to-bspp-adjustable-45-elbow-series-455</t>
        </is>
      </c>
      <c r="G356" s="37" t="inlineStr">
        <is>
          <t>SAE J514, ISO 1179-3</t>
        </is>
      </c>
      <c r="H356" s="37" t="inlineStr">
        <is>
          <t>NOT STARTED</t>
        </is>
      </c>
      <c r="I356" s="37" t="n"/>
      <c r="J356" s="37" t="n">
        <v>12</v>
      </c>
      <c r="K356" s="37" t="n"/>
    </row>
    <row r="357" ht="15" customHeight="1" s="35">
      <c r="A357" s="37" t="inlineStr">
        <is>
          <t>6802</t>
        </is>
      </c>
      <c r="B357" s="37" t="inlineStr">
        <is>
          <t>447</t>
        </is>
      </c>
      <c r="C357" s="37" t="inlineStr">
        <is>
          <t>M6802 JIC to Metric Adjustable 45° Elbow</t>
        </is>
      </c>
      <c r="D357" s="37" t="inlineStr">
        <is>
          <t>International &amp; Metric</t>
        </is>
      </c>
      <c r="E357" s="37" t="inlineStr">
        <is>
          <t>Metric</t>
        </is>
      </c>
      <c r="F357" s="37" t="inlineStr">
        <is>
          <t>https://parts.air-way.com/hydraulic-fittings/international-metric/metric/m6802-jic-to-metric-adjustable-45-elbow-series-447</t>
        </is>
      </c>
      <c r="G357" s="37" t="inlineStr">
        <is>
          <t>SAE J514, ISO 9974</t>
        </is>
      </c>
      <c r="H357" s="37" t="inlineStr">
        <is>
          <t>NOT STARTED</t>
        </is>
      </c>
      <c r="I357" s="37" t="n"/>
      <c r="J357" s="37" t="n">
        <v>8</v>
      </c>
      <c r="K357" s="37" t="n"/>
    </row>
    <row r="358" ht="15" customHeight="1" s="35">
      <c r="A358" s="37" t="inlineStr">
        <is>
          <t>6802</t>
        </is>
      </c>
      <c r="B358" s="37" t="inlineStr">
        <is>
          <t>477</t>
        </is>
      </c>
      <c r="C358" s="37" t="inlineStr">
        <is>
          <t>MFF6802 Threaded Fitting, ORFS to Metric Adjustable 45° Elbow</t>
        </is>
      </c>
      <c r="D358" s="37" t="inlineStr">
        <is>
          <t>International &amp; Metric</t>
        </is>
      </c>
      <c r="E358" s="37" t="inlineStr">
        <is>
          <t>ORFS metric</t>
        </is>
      </c>
      <c r="F358" s="37" t="inlineStr">
        <is>
          <t>https://parts.air-way.com/hydraulic-fittings/international-metric/orfs-metric/mff6802-threaded-fitting-orfs-to-metric-adjustable-45-elbow-series-477</t>
        </is>
      </c>
      <c r="G358" s="37" t="inlineStr">
        <is>
          <t>SAE J1453, ISO 8434-3, ISO 6149</t>
        </is>
      </c>
      <c r="H358" s="37" t="inlineStr">
        <is>
          <t>NOT STARTED</t>
        </is>
      </c>
      <c r="I358" s="37" t="n"/>
      <c r="J358" s="37" t="n">
        <v>20</v>
      </c>
      <c r="K358" s="37" t="n"/>
    </row>
    <row r="359" ht="15" customHeight="1" s="35">
      <c r="A359" s="37" t="inlineStr">
        <is>
          <t>6802</t>
        </is>
      </c>
      <c r="B359" s="37" t="inlineStr">
        <is>
          <t>158</t>
        </is>
      </c>
      <c r="C359" s="37" t="inlineStr">
        <is>
          <t>6802 45° Straight Thread Elbow</t>
        </is>
      </c>
      <c r="D359" s="37" t="inlineStr">
        <is>
          <t>JIC 37 &amp; Beaded Hose</t>
        </is>
      </c>
      <c r="E359" s="37" t="inlineStr">
        <is>
          <t>45°</t>
        </is>
      </c>
      <c r="F359" s="37" t="inlineStr">
        <is>
          <t>https://parts.air-way.com/hydraulic-fittings/jic-and-beaded-hose-fittings/45/6802-45-straight-thread-elbow-series-158</t>
        </is>
      </c>
      <c r="G359" s="37" t="inlineStr">
        <is>
          <t>SAE J514 070320 / MS51528</t>
        </is>
      </c>
      <c r="H359" s="37" t="inlineStr">
        <is>
          <t>NOT STARTED</t>
        </is>
      </c>
      <c r="I359" s="37" t="n"/>
      <c r="J359" s="37" t="n">
        <v>56</v>
      </c>
      <c r="K359" s="37" t="n"/>
    </row>
    <row r="360" ht="15" customHeight="1" s="35">
      <c r="A360" s="37" t="inlineStr">
        <is>
          <t>6802</t>
        </is>
      </c>
      <c r="B360" s="37" t="inlineStr">
        <is>
          <t>31</t>
        </is>
      </c>
      <c r="C360" s="37" t="inlineStr">
        <is>
          <t>FF6802 45° Straight Thread Elbow</t>
        </is>
      </c>
      <c r="D360" s="37" t="inlineStr">
        <is>
          <t>ORFS</t>
        </is>
      </c>
      <c r="E360" s="37" t="inlineStr">
        <is>
          <t>45°</t>
        </is>
      </c>
      <c r="F360" s="37" t="inlineStr">
        <is>
          <t>https://parts.air-way.com/hydraulic-fittings/o-ring-face-seal-orfs-hydraulic-fittings/45/ff6802-45-straight-thread-elbow-series-31</t>
        </is>
      </c>
      <c r="G360" s="37" t="inlineStr">
        <is>
          <t>SAE J1453 520320</t>
        </is>
      </c>
      <c r="H360" s="37" t="inlineStr">
        <is>
          <t>NOT STARTED</t>
        </is>
      </c>
      <c r="I360" s="37" t="n"/>
      <c r="J360" s="37" t="n">
        <v>23</v>
      </c>
      <c r="K360" s="37" t="n"/>
    </row>
    <row r="361" ht="15" customHeight="1" s="35">
      <c r="A361" s="37" t="inlineStr">
        <is>
          <t>6802</t>
        </is>
      </c>
      <c r="B361" s="37" t="inlineStr">
        <is>
          <t>295</t>
        </is>
      </c>
      <c r="C361" s="37" t="inlineStr">
        <is>
          <t>SS6802 45° Straight Thread Elbow series</t>
        </is>
      </c>
      <c r="D361" s="37" t="inlineStr">
        <is>
          <t>Stainless Steel Fittings</t>
        </is>
      </c>
      <c r="E361" s="37" t="inlineStr">
        <is>
          <t>45°</t>
        </is>
      </c>
      <c r="F361" s="37" t="inlineStr">
        <is>
          <t>https://parts.air-way.com/hydraulic-fittings/stainless-steel-hydraulic-fittings/45/ss6802-45-straight-thread-elbow-series-295</t>
        </is>
      </c>
      <c r="G361" s="37" t="inlineStr">
        <is>
          <t>SAE J514 070320 / MS51528</t>
        </is>
      </c>
      <c r="H361" s="37" t="inlineStr">
        <is>
          <t>NOT STARTED</t>
        </is>
      </c>
      <c r="I361" s="37" t="n"/>
      <c r="J361" s="37" t="n">
        <v>10</v>
      </c>
      <c r="K361" s="37" t="n"/>
    </row>
    <row r="362" ht="15" customHeight="1" s="35">
      <c r="A362" s="37" t="inlineStr">
        <is>
          <t>6803</t>
        </is>
      </c>
      <c r="B362" s="37" t="inlineStr">
        <is>
          <t>380</t>
        </is>
      </c>
      <c r="C362" s="37" t="inlineStr">
        <is>
          <t>F6803 Straight Thread Branch Tee</t>
        </is>
      </c>
      <c r="D362" s="37" t="inlineStr">
        <is>
          <t>FLARE-O</t>
        </is>
      </c>
      <c r="E362" s="37" t="inlineStr">
        <is>
          <t>Tee</t>
        </is>
      </c>
      <c r="F362" s="37" t="inlineStr">
        <is>
          <t>https://parts.air-way.com/hydraulic-fittings/flare-o-hydraulic-fittings/tee/f6803-straight-thread-branch-tee-series-380</t>
        </is>
      </c>
      <c r="G362" s="37" t="inlineStr">
        <is>
          <t>SAE J514 070429</t>
        </is>
      </c>
      <c r="H362" s="37" t="inlineStr">
        <is>
          <t>NOT STARTED</t>
        </is>
      </c>
      <c r="I362" s="37" t="n"/>
      <c r="J362" s="37" t="n">
        <v>7</v>
      </c>
      <c r="K362" s="37" t="n"/>
    </row>
    <row r="363" ht="15" customHeight="1" s="35">
      <c r="A363" s="37" t="inlineStr">
        <is>
          <t>6803</t>
        </is>
      </c>
      <c r="B363" s="37" t="inlineStr">
        <is>
          <t>456</t>
        </is>
      </c>
      <c r="C363" s="37" t="inlineStr">
        <is>
          <t>MBP6803, JIC to BSPP Adjustable Branch Tee</t>
        </is>
      </c>
      <c r="D363" s="37" t="inlineStr">
        <is>
          <t>International &amp; Metric</t>
        </is>
      </c>
      <c r="E363" s="37" t="inlineStr">
        <is>
          <t>BSPP</t>
        </is>
      </c>
      <c r="F363" s="37" t="inlineStr">
        <is>
          <t>https://parts.air-way.com/hydraulic-fittings/international-metric/bspp/mbp6803-jic-to-bspp-adjustable-branch-tee-series-456</t>
        </is>
      </c>
      <c r="G363" s="37" t="inlineStr">
        <is>
          <t>SAE J514, ISO 1179-3</t>
        </is>
      </c>
      <c r="H363" s="37" t="inlineStr">
        <is>
          <t>NOT STARTED</t>
        </is>
      </c>
      <c r="I363" s="37" t="n"/>
      <c r="J363" s="37" t="n">
        <v>2</v>
      </c>
      <c r="K363" s="37" t="n"/>
    </row>
    <row r="364" ht="15" customHeight="1" s="35">
      <c r="A364" s="37" t="inlineStr">
        <is>
          <t>6803</t>
        </is>
      </c>
      <c r="B364" s="37" t="inlineStr">
        <is>
          <t>448</t>
        </is>
      </c>
      <c r="C364" s="37" t="inlineStr">
        <is>
          <t>M6803 JIC to Metric Adjustable Branch Tee</t>
        </is>
      </c>
      <c r="D364" s="37" t="inlineStr">
        <is>
          <t>International &amp; Metric</t>
        </is>
      </c>
      <c r="E364" s="37" t="inlineStr">
        <is>
          <t>Metric</t>
        </is>
      </c>
      <c r="F364" s="37" t="inlineStr">
        <is>
          <t>https://parts.air-way.com/hydraulic-fittings/international-metric/metric/m6803-jic-to-metric-adjustable-branch-tee-series-448</t>
        </is>
      </c>
      <c r="G364" s="37" t="inlineStr">
        <is>
          <t>SAE J514, ISO 9974</t>
        </is>
      </c>
      <c r="H364" s="37" t="inlineStr">
        <is>
          <t>NOT STARTED</t>
        </is>
      </c>
      <c r="I364" s="37" t="n"/>
      <c r="J364" s="37" t="n">
        <v>2</v>
      </c>
      <c r="K364" s="37" t="n"/>
    </row>
    <row r="365" ht="15" customHeight="1" s="35">
      <c r="A365" s="37" t="inlineStr">
        <is>
          <t>6803</t>
        </is>
      </c>
      <c r="B365" s="37" t="inlineStr">
        <is>
          <t>478</t>
        </is>
      </c>
      <c r="C365" s="37" t="inlineStr">
        <is>
          <t>MFF6803 Threaded Fitting, ORFS to Metric Adjustable Branch Tee</t>
        </is>
      </c>
      <c r="D365" s="37" t="inlineStr">
        <is>
          <t>International &amp; Metric</t>
        </is>
      </c>
      <c r="E365" s="37" t="inlineStr">
        <is>
          <t>ORFS metric</t>
        </is>
      </c>
      <c r="F365" s="37" t="inlineStr">
        <is>
          <t>https://parts.air-way.com/hydraulic-fittings/international-metric/orfs-metric/mff6803-threaded-fitting-orfs-to-metric-adjustable-branch-tee-series-478</t>
        </is>
      </c>
      <c r="G365" s="37" t="inlineStr">
        <is>
          <t>SAE J1453, ISO 8434-3, ISO 6149</t>
        </is>
      </c>
      <c r="H365" s="37" t="inlineStr">
        <is>
          <t>NOT STARTED</t>
        </is>
      </c>
      <c r="I365" s="37" t="n"/>
      <c r="J365" s="37" t="n">
        <v>24</v>
      </c>
      <c r="K365" s="37" t="n"/>
    </row>
    <row r="366" ht="15" customHeight="1" s="35">
      <c r="A366" s="37" t="inlineStr">
        <is>
          <t>6803</t>
        </is>
      </c>
      <c r="B366" s="37" t="inlineStr">
        <is>
          <t>199</t>
        </is>
      </c>
      <c r="C366" s="37" t="inlineStr">
        <is>
          <t>6803 Straight Thread Branch Tee</t>
        </is>
      </c>
      <c r="D366" s="37" t="inlineStr">
        <is>
          <t>JIC 37 &amp; Beaded Hose</t>
        </is>
      </c>
      <c r="E366" s="37" t="inlineStr">
        <is>
          <t>Tee</t>
        </is>
      </c>
      <c r="F366" s="37" t="inlineStr">
        <is>
          <t>https://parts.air-way.com/hydraulic-fittings/jic-and-beaded-hose-fittings/tee/6803-straight-thread-branch-tee-series-199</t>
        </is>
      </c>
      <c r="G366" s="37" t="inlineStr">
        <is>
          <t>SAE J514 070429 / MS51529</t>
        </is>
      </c>
      <c r="H366" s="37" t="inlineStr">
        <is>
          <t>NOT STARTED</t>
        </is>
      </c>
      <c r="I366" s="37" t="n"/>
      <c r="J366" s="37" t="n">
        <v>34</v>
      </c>
      <c r="K366" s="37" t="n"/>
    </row>
    <row r="367" ht="15" customHeight="1" s="35">
      <c r="A367" s="37" t="inlineStr">
        <is>
          <t>6803</t>
        </is>
      </c>
      <c r="B367" s="37" t="inlineStr">
        <is>
          <t>37</t>
        </is>
      </c>
      <c r="C367" s="37" t="inlineStr">
        <is>
          <t>FF6803 Straight Thread Branch Tee</t>
        </is>
      </c>
      <c r="D367" s="37" t="inlineStr">
        <is>
          <t>ORFS</t>
        </is>
      </c>
      <c r="E367" s="37" t="inlineStr">
        <is>
          <t>Tee</t>
        </is>
      </c>
      <c r="F367" s="37" t="inlineStr">
        <is>
          <t>https://parts.air-way.com/hydraulic-fittings/o-ring-face-seal-orfs-hydraulic-fittings/tee/ff6803-straight-thread-branch-tee-series-37</t>
        </is>
      </c>
      <c r="G367" s="37" t="inlineStr">
        <is>
          <t>SAE J1453 520429</t>
        </is>
      </c>
      <c r="H367" s="37" t="inlineStr">
        <is>
          <t>NOT STARTED</t>
        </is>
      </c>
      <c r="I367" s="37" t="n"/>
      <c r="J367" s="37" t="n">
        <v>20</v>
      </c>
      <c r="K367" s="37" t="n"/>
    </row>
    <row r="368" ht="15" customHeight="1" s="35">
      <c r="A368" s="37" t="inlineStr">
        <is>
          <t>6803</t>
        </is>
      </c>
      <c r="B368" s="37" t="inlineStr">
        <is>
          <t>314</t>
        </is>
      </c>
      <c r="C368" s="37" t="inlineStr">
        <is>
          <t>SS6803 Straight Thread Branch Tee series</t>
        </is>
      </c>
      <c r="D368" s="37" t="inlineStr">
        <is>
          <t>Stainless Steel Fittings</t>
        </is>
      </c>
      <c r="E368" s="37" t="inlineStr">
        <is>
          <t>Tee</t>
        </is>
      </c>
      <c r="F368" s="37" t="inlineStr">
        <is>
          <t>https://parts.air-way.com/hydraulic-fittings/stainless-steel-hydraulic-fittings/tee/ss6803-straight-thread-branch-tee-series-314</t>
        </is>
      </c>
      <c r="G368" s="37" t="inlineStr">
        <is>
          <t>SAE J514 070429 / MS51529</t>
        </is>
      </c>
      <c r="H368" s="37" t="inlineStr">
        <is>
          <t>NOT STARTED</t>
        </is>
      </c>
      <c r="I368" s="37" t="n"/>
      <c r="J368" s="37" t="n">
        <v>6</v>
      </c>
      <c r="K368" s="37" t="n"/>
    </row>
    <row r="369" ht="15" customHeight="1" s="35">
      <c r="A369" s="37" t="inlineStr">
        <is>
          <t>6804</t>
        </is>
      </c>
      <c r="B369" s="37" t="inlineStr">
        <is>
          <t>381</t>
        </is>
      </c>
      <c r="C369" s="37" t="inlineStr">
        <is>
          <t>F6804 Straight Thread Run Tee</t>
        </is>
      </c>
      <c r="D369" s="37" t="inlineStr">
        <is>
          <t>FLARE-O</t>
        </is>
      </c>
      <c r="E369" s="37" t="inlineStr">
        <is>
          <t>Tee</t>
        </is>
      </c>
      <c r="F369" s="37" t="inlineStr">
        <is>
          <t>https://parts.air-way.com/hydraulic-fittings/flare-o-hydraulic-fittings/tee/f6804-straight-thread-run-tee-series-381</t>
        </is>
      </c>
      <c r="G369" s="37" t="inlineStr">
        <is>
          <t>SAE J514 070428</t>
        </is>
      </c>
      <c r="H369" s="37" t="inlineStr">
        <is>
          <t>NOT STARTED</t>
        </is>
      </c>
      <c r="I369" s="37" t="n"/>
      <c r="J369" s="37" t="n">
        <v>10</v>
      </c>
      <c r="K369" s="37" t="n"/>
    </row>
    <row r="370" ht="15" customHeight="1" s="35">
      <c r="A370" s="37" t="inlineStr">
        <is>
          <t>6804</t>
        </is>
      </c>
      <c r="B370" s="37" t="inlineStr">
        <is>
          <t>457</t>
        </is>
      </c>
      <c r="C370" s="37" t="inlineStr">
        <is>
          <t>MBP6804, JIC to BSPP Adjustable Run Tee</t>
        </is>
      </c>
      <c r="D370" s="37" t="inlineStr">
        <is>
          <t>International &amp; Metric</t>
        </is>
      </c>
      <c r="E370" s="37" t="inlineStr">
        <is>
          <t>BSPP</t>
        </is>
      </c>
      <c r="F370" s="37" t="inlineStr">
        <is>
          <t>https://parts.air-way.com/hydraulic-fittings/international-metric/bspp/mbp6804-jic-to-bspp-adjustable-run-tee-series-457</t>
        </is>
      </c>
      <c r="G370" s="37" t="inlineStr">
        <is>
          <t>SAE J514, ISO 1179-3</t>
        </is>
      </c>
      <c r="H370" s="37" t="inlineStr">
        <is>
          <t>NOT STARTED</t>
        </is>
      </c>
      <c r="I370" s="37" t="n"/>
      <c r="J370" s="37" t="n">
        <v>2</v>
      </c>
      <c r="K370" s="37" t="n"/>
    </row>
    <row r="371" ht="15" customHeight="1" s="35">
      <c r="A371" s="37" t="inlineStr">
        <is>
          <t>6804</t>
        </is>
      </c>
      <c r="B371" s="37" t="inlineStr">
        <is>
          <t>449</t>
        </is>
      </c>
      <c r="C371" s="37" t="inlineStr">
        <is>
          <t>M6804 JIC to Metric Adjustable Run Tee</t>
        </is>
      </c>
      <c r="D371" s="37" t="inlineStr">
        <is>
          <t>International &amp; Metric</t>
        </is>
      </c>
      <c r="E371" s="37" t="inlineStr">
        <is>
          <t>Metric</t>
        </is>
      </c>
      <c r="F371" s="37" t="inlineStr">
        <is>
          <t>https://parts.air-way.com/hydraulic-fittings/international-metric/metric/m6804-jic-to-metric-adjustable-run-tee-series-449</t>
        </is>
      </c>
      <c r="G371" s="37" t="inlineStr">
        <is>
          <t>SAE J514, ISO 9974</t>
        </is>
      </c>
      <c r="H371" s="37" t="inlineStr">
        <is>
          <t>NOT STARTED</t>
        </is>
      </c>
      <c r="I371" s="37" t="n"/>
      <c r="J371" s="37" t="n">
        <v>1</v>
      </c>
      <c r="K371" s="37" t="n"/>
    </row>
    <row r="372" ht="15" customHeight="1" s="35">
      <c r="A372" s="37" t="inlineStr">
        <is>
          <t>6804</t>
        </is>
      </c>
      <c r="B372" s="37" t="inlineStr">
        <is>
          <t>479</t>
        </is>
      </c>
      <c r="C372" s="37" t="inlineStr">
        <is>
          <t>MFF6804 Threaded Fitting, ORFS to Metric Adjustable Run Tee</t>
        </is>
      </c>
      <c r="D372" s="37" t="inlineStr">
        <is>
          <t>International &amp; Metric</t>
        </is>
      </c>
      <c r="E372" s="37" t="inlineStr">
        <is>
          <t>ORFS metric</t>
        </is>
      </c>
      <c r="F372" s="37" t="inlineStr">
        <is>
          <t>https://parts.air-way.com/hydraulic-fittings/international-metric/orfs-metric/mff6804-threaded-fitting-orfs-to-metric-adjustable-run-tee-series-479</t>
        </is>
      </c>
      <c r="G372" s="37" t="inlineStr">
        <is>
          <t>SAE J1453, ISO 8434-3, ISO 6149</t>
        </is>
      </c>
      <c r="H372" s="37" t="inlineStr">
        <is>
          <t>NOT STARTED</t>
        </is>
      </c>
      <c r="I372" s="37" t="n"/>
      <c r="J372" s="37" t="n">
        <v>25</v>
      </c>
      <c r="K372" s="37" t="n"/>
    </row>
    <row r="373" ht="15" customHeight="1" s="35">
      <c r="A373" s="37" t="inlineStr">
        <is>
          <t>6804</t>
        </is>
      </c>
      <c r="B373" s="37" t="inlineStr">
        <is>
          <t>200</t>
        </is>
      </c>
      <c r="C373" s="37" t="inlineStr">
        <is>
          <t>6804 Straight Thread Run Tee</t>
        </is>
      </c>
      <c r="D373" s="37" t="inlineStr">
        <is>
          <t>JIC 37 &amp; Beaded Hose</t>
        </is>
      </c>
      <c r="E373" s="37" t="inlineStr">
        <is>
          <t>Tee</t>
        </is>
      </c>
      <c r="F373" s="37" t="inlineStr">
        <is>
          <t>https://parts.air-way.com/hydraulic-fittings/jic-and-beaded-hose-fittings/tee/6804-straight-thread-run-tee-series-200</t>
        </is>
      </c>
      <c r="G373" s="37" t="inlineStr">
        <is>
          <t>SAE J514 070428 / MS51530</t>
        </is>
      </c>
      <c r="H373" s="37" t="inlineStr">
        <is>
          <t>NOT STARTED</t>
        </is>
      </c>
      <c r="I373" s="37" t="n"/>
      <c r="J373" s="37" t="n">
        <v>52</v>
      </c>
      <c r="K373" s="37" t="n"/>
    </row>
    <row r="374" ht="15" customHeight="1" s="35">
      <c r="A374" s="37" t="inlineStr">
        <is>
          <t>6804</t>
        </is>
      </c>
      <c r="B374" s="37" t="inlineStr">
        <is>
          <t>38</t>
        </is>
      </c>
      <c r="C374" s="37" t="inlineStr">
        <is>
          <t>FF6804 Straight Thread Run Tee</t>
        </is>
      </c>
      <c r="D374" s="37" t="inlineStr">
        <is>
          <t>ORFS</t>
        </is>
      </c>
      <c r="E374" s="37" t="inlineStr">
        <is>
          <t>Tee</t>
        </is>
      </c>
      <c r="F374" s="37" t="inlineStr">
        <is>
          <t>https://parts.air-way.com/hydraulic-fittings/o-ring-face-seal-orfs-hydraulic-fittings/tee/ff6804-straight-thread-run-tee-series-38</t>
        </is>
      </c>
      <c r="G374" s="37" t="inlineStr">
        <is>
          <t>SAE J1453 520428</t>
        </is>
      </c>
      <c r="H374" s="37" t="inlineStr">
        <is>
          <t>NOT STARTED</t>
        </is>
      </c>
      <c r="I374" s="37" t="n"/>
      <c r="J374" s="37" t="n">
        <v>27</v>
      </c>
      <c r="K374" s="37" t="n"/>
    </row>
    <row r="375" ht="15" customHeight="1" s="35">
      <c r="A375" s="37" t="inlineStr">
        <is>
          <t>6804</t>
        </is>
      </c>
      <c r="B375" s="37" t="inlineStr">
        <is>
          <t>315</t>
        </is>
      </c>
      <c r="C375" s="37" t="inlineStr">
        <is>
          <t>SS6804 Straight Thread Run Tee series</t>
        </is>
      </c>
      <c r="D375" s="37" t="inlineStr">
        <is>
          <t>Stainless Steel Fittings</t>
        </is>
      </c>
      <c r="E375" s="37" t="inlineStr">
        <is>
          <t>Tee</t>
        </is>
      </c>
      <c r="F375" s="37" t="inlineStr">
        <is>
          <t>https://parts.air-way.com/hydraulic-fittings/stainless-steel-hydraulic-fittings/tee/ss6804-straight-thread-run-tee-series-315</t>
        </is>
      </c>
      <c r="G375" s="37" t="inlineStr">
        <is>
          <t>SAE J514 070428 / MS51530</t>
        </is>
      </c>
      <c r="H375" s="37" t="inlineStr">
        <is>
          <t>NOT STARTED</t>
        </is>
      </c>
      <c r="I375" s="37" t="n"/>
      <c r="J375" s="37" t="n">
        <v>4</v>
      </c>
      <c r="K375" s="37" t="n"/>
    </row>
    <row r="376" ht="15" customHeight="1" s="35">
      <c r="A376" s="37" t="inlineStr">
        <is>
          <t>6805</t>
        </is>
      </c>
      <c r="B376" s="37" t="inlineStr">
        <is>
          <t>138</t>
        </is>
      </c>
      <c r="C376" s="37" t="inlineStr">
        <is>
          <t>6805 90° Straight Thread/Female Pipe Elbow</t>
        </is>
      </c>
      <c r="D376" s="37" t="inlineStr">
        <is>
          <t>JIC 37 &amp; Beaded Hose</t>
        </is>
      </c>
      <c r="E376" s="37" t="inlineStr">
        <is>
          <t>90°</t>
        </is>
      </c>
      <c r="F376" s="37" t="inlineStr">
        <is>
          <t>https://parts.air-way.com/hydraulic-fittings/jic-and-beaded-hose-fittings/90/6805-90-straight-thread-female-pipe-elbow-series-138</t>
        </is>
      </c>
      <c r="G376" s="37" t="inlineStr">
        <is>
          <t>none shown</t>
        </is>
      </c>
      <c r="H376" s="37" t="inlineStr">
        <is>
          <t>NOT STARTED</t>
        </is>
      </c>
      <c r="I376" s="37" t="n"/>
      <c r="J376" s="37" t="n">
        <v>18</v>
      </c>
      <c r="K376" s="37" t="n"/>
    </row>
    <row r="377" ht="15" customHeight="1" s="35">
      <c r="A377" s="37" t="inlineStr">
        <is>
          <t>6805</t>
        </is>
      </c>
      <c r="B377" s="37" t="inlineStr">
        <is>
          <t>283</t>
        </is>
      </c>
      <c r="C377" s="37" t="inlineStr">
        <is>
          <t>SS6805 90° Straight Thread/Female Pipe series</t>
        </is>
      </c>
      <c r="D377" s="37" t="inlineStr">
        <is>
          <t>Stainless Steel Fittings</t>
        </is>
      </c>
      <c r="E377" s="37" t="inlineStr">
        <is>
          <t>90°</t>
        </is>
      </c>
      <c r="F377" s="37" t="inlineStr">
        <is>
          <t>https://parts.air-way.com/hydraulic-fittings/stainless-steel-hydraulic-fittings/90/ss6805-90-straight-thread-female-pipe-series-283</t>
        </is>
      </c>
      <c r="G377" s="37" t="inlineStr">
        <is>
          <t>none</t>
        </is>
      </c>
      <c r="H377" s="37" t="inlineStr">
        <is>
          <t>NOT STARTED</t>
        </is>
      </c>
      <c r="I377" s="37" t="n"/>
      <c r="J377" s="37" t="n">
        <v>3</v>
      </c>
      <c r="K377" s="37" t="n"/>
    </row>
    <row r="378" ht="15" customHeight="1" s="35">
      <c r="A378" s="37" t="inlineStr">
        <is>
          <t>6806</t>
        </is>
      </c>
      <c r="B378" s="37" t="inlineStr">
        <is>
          <t>139</t>
        </is>
      </c>
      <c r="C378" s="37" t="inlineStr">
        <is>
          <t>6806 90° Straight Thread/Male Pipe Elbow</t>
        </is>
      </c>
      <c r="D378" s="37" t="inlineStr">
        <is>
          <t>JIC 37 &amp; Beaded Hose</t>
        </is>
      </c>
      <c r="E378" s="37" t="inlineStr">
        <is>
          <t>90°</t>
        </is>
      </c>
      <c r="F378" s="37" t="inlineStr">
        <is>
          <t>https://parts.air-way.com/hydraulic-fittings/jic-and-beaded-hose-fittings/90/6806-90-straight-thread-male-pipe-elbow-series-139</t>
        </is>
      </c>
      <c r="G378" s="37" t="inlineStr">
        <is>
          <t>none shown</t>
        </is>
      </c>
      <c r="H378" s="37" t="inlineStr">
        <is>
          <t>NOT STARTED</t>
        </is>
      </c>
      <c r="I378" s="37" t="n"/>
      <c r="J378" s="37" t="n">
        <v>17</v>
      </c>
      <c r="K378" s="37" t="n"/>
    </row>
    <row r="379" ht="15" customHeight="1" s="35">
      <c r="A379" s="37" t="inlineStr">
        <is>
          <t>6807</t>
        </is>
      </c>
      <c r="B379" s="37" t="inlineStr">
        <is>
          <t>140</t>
        </is>
      </c>
      <c r="C379" s="37" t="inlineStr">
        <is>
          <t>6807 90° Straight Thread Union Elbow</t>
        </is>
      </c>
      <c r="D379" s="37" t="inlineStr">
        <is>
          <t>JIC 37 &amp; Beaded Hose</t>
        </is>
      </c>
      <c r="E379" s="37" t="inlineStr">
        <is>
          <t>90°</t>
        </is>
      </c>
      <c r="F379" s="37" t="inlineStr">
        <is>
          <t>https://parts.air-way.com/hydraulic-fittings/jic-and-beaded-hose-fittings/90/6807-90-straight-thread-union-elbow-series-140</t>
        </is>
      </c>
      <c r="G379" s="37" t="inlineStr">
        <is>
          <t>none shown</t>
        </is>
      </c>
      <c r="H379" s="37" t="inlineStr">
        <is>
          <t>TABLED</t>
        </is>
      </c>
      <c r="I379" s="37" t="n"/>
      <c r="J379" s="37" t="n">
        <v>12</v>
      </c>
      <c r="K379" s="37" t="inlineStr">
        <is>
          <t>TABLED 2026-09-23: double-pass extraction 12 rows (sheet said 12); DesignTable_6807.xlsx; scope vs OMi feed: 1 BUILD / 11 DROP / 4 OMi-only (4 differ only by -FG)</t>
        </is>
      </c>
    </row>
    <row r="380" ht="15" customHeight="1" s="35">
      <c r="A380" s="37" t="inlineStr">
        <is>
          <t>6807</t>
        </is>
      </c>
      <c r="B380" s="37" t="inlineStr">
        <is>
          <t>524</t>
        </is>
      </c>
      <c r="C380" s="37" t="inlineStr">
        <is>
          <t>SS6807 90 Degree Straight Thread Union Elbow series</t>
        </is>
      </c>
      <c r="D380" s="37" t="inlineStr">
        <is>
          <t>Stainless Steel Fittings</t>
        </is>
      </c>
      <c r="E380" s="37" t="inlineStr">
        <is>
          <t>90°</t>
        </is>
      </c>
      <c r="F380" s="37" t="inlineStr">
        <is>
          <t>https://parts.air-way.com/hydraulic-fittings/stainless-steel-hydraulic-fittings/90/ss6807-90-degree-straight-thread-union-elbow-series-524</t>
        </is>
      </c>
      <c r="G380" s="37" t="inlineStr">
        <is>
          <t>SAE J1926-3</t>
        </is>
      </c>
      <c r="H380" s="37" t="inlineStr">
        <is>
          <t>NOT STARTED</t>
        </is>
      </c>
      <c r="I380" s="37" t="n"/>
      <c r="J380" s="37" t="n">
        <v>3</v>
      </c>
      <c r="K380" s="37" t="n"/>
    </row>
    <row r="381" ht="15" customHeight="1" s="35">
      <c r="A381" s="37" t="inlineStr">
        <is>
          <t>6808</t>
        </is>
      </c>
      <c r="B381" s="37" t="inlineStr">
        <is>
          <t>159</t>
        </is>
      </c>
      <c r="C381" s="37" t="inlineStr">
        <is>
          <t>6808 45° Straight Thread Union Elbow</t>
        </is>
      </c>
      <c r="D381" s="37" t="inlineStr">
        <is>
          <t>JIC 37 &amp; Beaded Hose</t>
        </is>
      </c>
      <c r="E381" s="37" t="inlineStr">
        <is>
          <t>45°</t>
        </is>
      </c>
      <c r="F381" s="37" t="inlineStr">
        <is>
          <t>https://parts.air-way.com/hydraulic-fittings/jic-and-beaded-hose-fittings/45/6808-45-straight-thread-union-elbow-series-159</t>
        </is>
      </c>
      <c r="G381" s="37" t="inlineStr">
        <is>
          <t>none shown</t>
        </is>
      </c>
      <c r="H381" s="37" t="inlineStr">
        <is>
          <t>NOT STARTED</t>
        </is>
      </c>
      <c r="I381" s="37" t="n"/>
      <c r="J381" s="37" t="n">
        <v>5</v>
      </c>
      <c r="K381" s="37" t="n"/>
    </row>
    <row r="382" ht="15" customHeight="1" s="35">
      <c r="A382" s="37" t="inlineStr">
        <is>
          <t>6809</t>
        </is>
      </c>
      <c r="B382" s="37" t="inlineStr">
        <is>
          <t>530</t>
        </is>
      </c>
      <c r="C382" s="37" t="inlineStr">
        <is>
          <t>MFF6809 90° Straight Thread / Female ORFS Swivel Elbow</t>
        </is>
      </c>
      <c r="D382" s="37" t="inlineStr">
        <is>
          <t>International &amp; Metric</t>
        </is>
      </c>
      <c r="E382" s="37" t="inlineStr">
        <is>
          <t>ORFS metric</t>
        </is>
      </c>
      <c r="F382" s="37" t="inlineStr">
        <is>
          <t>https://parts.air-way.com/hydraulic-fittings/international-metric/orfs-metric/mff6809-90-straight-thread-female-orfs-swivel-elbow-series-530</t>
        </is>
      </c>
      <c r="G382" s="37" t="inlineStr">
        <is>
          <t>—</t>
        </is>
      </c>
      <c r="H382" s="37" t="inlineStr">
        <is>
          <t>NOT STARTED</t>
        </is>
      </c>
      <c r="I382" s="37" t="n"/>
      <c r="J382" s="37" t="n">
        <v>4</v>
      </c>
      <c r="K382" s="37" t="n"/>
    </row>
    <row r="383" ht="15" customHeight="1" s="35">
      <c r="A383" s="37" t="inlineStr">
        <is>
          <t>6809</t>
        </is>
      </c>
      <c r="B383" s="37" t="inlineStr">
        <is>
          <t>141</t>
        </is>
      </c>
      <c r="C383" s="37" t="inlineStr">
        <is>
          <t>6809 90° Straight Thread/37° Female Swivel Elbow</t>
        </is>
      </c>
      <c r="D383" s="37" t="inlineStr">
        <is>
          <t>JIC 37 &amp; Beaded Hose</t>
        </is>
      </c>
      <c r="E383" s="37" t="inlineStr">
        <is>
          <t>90°</t>
        </is>
      </c>
      <c r="F383" s="37" t="inlineStr">
        <is>
          <t>https://parts.air-way.com/hydraulic-fittings/jic-and-beaded-hose-fittings/90/6809-90-straight-thread-37-female-swivel-elbow-series-141</t>
        </is>
      </c>
      <c r="G383" s="37" t="inlineStr">
        <is>
          <t>none shown</t>
        </is>
      </c>
      <c r="H383" s="37" t="inlineStr">
        <is>
          <t>TABLED</t>
        </is>
      </c>
      <c r="I383" s="37" t="n"/>
      <c r="J383" s="37" t="n">
        <v>12</v>
      </c>
      <c r="K383" s="37" t="inlineStr">
        <is>
          <t>TABLED 2026-09-23: double-pass extraction 12 rows (sheet said 12); DesignTable_6809.xlsx; scope vs OMi feed: 0 BUILD / 12 DROP / 4 OMi-only (4 differ only by -FG)</t>
        </is>
      </c>
    </row>
    <row r="384" ht="15" customHeight="1" s="35">
      <c r="A384" s="37" t="inlineStr">
        <is>
          <t>6809</t>
        </is>
      </c>
      <c r="B384" s="37" t="inlineStr">
        <is>
          <t>27</t>
        </is>
      </c>
      <c r="C384" s="37" t="inlineStr">
        <is>
          <t>FF6809 90° Straight Thread / Female ORFS Swivel Elbow</t>
        </is>
      </c>
      <c r="D384" s="37" t="inlineStr">
        <is>
          <t>ORFS</t>
        </is>
      </c>
      <c r="E384" s="37" t="inlineStr">
        <is>
          <t>90°</t>
        </is>
      </c>
      <c r="F384" s="37" t="inlineStr">
        <is>
          <t>https://parts.air-way.com/hydraulic-fittings/o-ring-face-seal-orfs-hydraulic-fittings/90/ff6809-90-straight-thread-female-orfs-swivel-elbow-series-27</t>
        </is>
      </c>
      <c r="G384" s="37" t="inlineStr">
        <is>
          <t>—</t>
        </is>
      </c>
      <c r="H384" s="37" t="inlineStr">
        <is>
          <t>NOT STARTED</t>
        </is>
      </c>
      <c r="I384" s="37" t="n"/>
      <c r="J384" s="37" t="n">
        <v>6</v>
      </c>
      <c r="K384" s="37" t="n"/>
    </row>
    <row r="385" ht="15" customHeight="1" s="35">
      <c r="A385" s="37" t="inlineStr">
        <is>
          <t>6810</t>
        </is>
      </c>
      <c r="B385" s="37" t="inlineStr">
        <is>
          <t>160</t>
        </is>
      </c>
      <c r="C385" s="37" t="inlineStr">
        <is>
          <t>6810 45° Straight Thread/37° Female Swivel Elbow</t>
        </is>
      </c>
      <c r="D385" s="37" t="inlineStr">
        <is>
          <t>JIC 37 &amp; Beaded Hose</t>
        </is>
      </c>
      <c r="E385" s="37" t="inlineStr">
        <is>
          <t>45°</t>
        </is>
      </c>
      <c r="F385" s="37" t="inlineStr">
        <is>
          <t>https://parts.air-way.com/hydraulic-fittings/jic-and-beaded-hose-fittings/45/6810-45-straight-thread-37-female-swivel-elbow-series-160</t>
        </is>
      </c>
      <c r="G385" s="37" t="inlineStr">
        <is>
          <t>none shown</t>
        </is>
      </c>
      <c r="H385" s="37" t="inlineStr">
        <is>
          <t>TABLED</t>
        </is>
      </c>
      <c r="I385" s="37" t="n"/>
      <c r="J385" s="37" t="n">
        <v>4</v>
      </c>
      <c r="K385" s="37" t="inlineStr">
        <is>
          <t>TABLED 2026-09-23: double-pass extraction 4 rows (sheet said 4); DesignTable_6810.xlsx; scope vs OMi feed: 0 BUILD / 4 DROP / 1 OMi-only (1 differ only by -FG)</t>
        </is>
      </c>
    </row>
    <row r="386" ht="15" customHeight="1" s="35">
      <c r="A386" s="37" t="inlineStr">
        <is>
          <t>6900</t>
        </is>
      </c>
      <c r="B386" s="37" t="inlineStr">
        <is>
          <t>105</t>
        </is>
      </c>
      <c r="C386" s="37" t="inlineStr">
        <is>
          <t>6900 Female Adapter Union to Male Straight</t>
        </is>
      </c>
      <c r="D386" s="37" t="inlineStr">
        <is>
          <t>JIC 37 &amp; Beaded Hose</t>
        </is>
      </c>
      <c r="E386" s="37" t="inlineStr">
        <is>
          <t>Straight</t>
        </is>
      </c>
      <c r="F386" s="37" t="inlineStr">
        <is>
          <t>https://parts.air-way.com/hydraulic-fittings/jic-and-beaded-hose-fittings/straight/6900-female-adapter-union-to-male-straight-series-105</t>
        </is>
      </c>
      <c r="G386" s="37" t="inlineStr">
        <is>
          <t>SAE J514 140157</t>
        </is>
      </c>
      <c r="H386" s="37" t="inlineStr">
        <is>
          <t>NOT STARTED</t>
        </is>
      </c>
      <c r="I386" s="37" t="n"/>
      <c r="J386" s="37" t="n">
        <v>24</v>
      </c>
      <c r="K386" s="37" t="n"/>
    </row>
    <row r="387" ht="15" customHeight="1" s="35">
      <c r="A387" s="37" t="inlineStr">
        <is>
          <t>6900</t>
        </is>
      </c>
      <c r="B387" s="37" t="inlineStr">
        <is>
          <t>264</t>
        </is>
      </c>
      <c r="C387" s="37" t="inlineStr">
        <is>
          <t>SS6900 Female Adapter Union to Male Straight series</t>
        </is>
      </c>
      <c r="D387" s="37" t="inlineStr">
        <is>
          <t>Stainless Steel Fittings</t>
        </is>
      </c>
      <c r="E387" s="37" t="inlineStr">
        <is>
          <t>Straight</t>
        </is>
      </c>
      <c r="F387" s="37" t="inlineStr">
        <is>
          <t>https://parts.air-way.com/hydraulic-fittings/stainless-steel-hydraulic-fittings/straight/ss6900-female-adapter-union-to-male-straight-series-264</t>
        </is>
      </c>
      <c r="G387" s="37" t="inlineStr">
        <is>
          <t>SAE J514 140157</t>
        </is>
      </c>
      <c r="H387" s="37" t="inlineStr">
        <is>
          <t>NOT STARTED</t>
        </is>
      </c>
      <c r="I387" s="37" t="n"/>
      <c r="J387" s="37" t="n">
        <v>2</v>
      </c>
      <c r="K387" s="37" t="n"/>
    </row>
    <row r="388" ht="15" customHeight="1" s="35">
      <c r="A388" s="37" t="inlineStr">
        <is>
          <t>6901</t>
        </is>
      </c>
      <c r="B388" s="37" t="inlineStr">
        <is>
          <t>142</t>
        </is>
      </c>
      <c r="C388" s="37" t="inlineStr">
        <is>
          <t>6901 90° Female Adapter Union to Adj. Male</t>
        </is>
      </c>
      <c r="D388" s="37" t="inlineStr">
        <is>
          <t>JIC 37 &amp; Beaded Hose</t>
        </is>
      </c>
      <c r="E388" s="37" t="inlineStr">
        <is>
          <t>90°</t>
        </is>
      </c>
      <c r="F388" s="37" t="inlineStr">
        <is>
          <t>https://parts.air-way.com/hydraulic-fittings/jic-and-beaded-hose-fittings/90/6901-90-female-adapter-union-to-adj-male-series-142</t>
        </is>
      </c>
      <c r="G388" s="37" t="inlineStr">
        <is>
          <t>SAE J514 140257</t>
        </is>
      </c>
      <c r="H388" s="37" t="inlineStr">
        <is>
          <t>TABLED</t>
        </is>
      </c>
      <c r="I388" s="37" t="n"/>
      <c r="J388" s="37" t="n">
        <v>29</v>
      </c>
      <c r="K388" s="37" t="inlineStr">
        <is>
          <t>TABLED 2026-09-23: double-pass extraction 29 rows (sheet said 29); DesignTable_6901.xlsx; scope vs OMi feed: 3 BUILD / 26 DROP / 14 OMi-only (13 differ only by -FG); 1 source anomaly note(s) in 07_RAW_EXTRACTS/airway_anomalies_2026-09-23.txt</t>
        </is>
      </c>
    </row>
    <row r="389" ht="15" customHeight="1" s="35">
      <c r="A389" s="37" t="inlineStr">
        <is>
          <t>6902</t>
        </is>
      </c>
      <c r="B389" s="37" t="inlineStr">
        <is>
          <t>161</t>
        </is>
      </c>
      <c r="C389" s="37" t="inlineStr">
        <is>
          <t>6902 45° Female Adapter Union to Adj. Male</t>
        </is>
      </c>
      <c r="D389" s="37" t="inlineStr">
        <is>
          <t>JIC 37 &amp; Beaded Hose</t>
        </is>
      </c>
      <c r="E389" s="37" t="inlineStr">
        <is>
          <t>45°</t>
        </is>
      </c>
      <c r="F389" s="37" t="inlineStr">
        <is>
          <t>https://parts.air-way.com/hydraulic-fittings/jic-and-beaded-hose-fittings/45/6902-45-female-adapter-union-to-adj-male-series-161</t>
        </is>
      </c>
      <c r="G389" s="37" t="inlineStr">
        <is>
          <t>SAE J514 140357</t>
        </is>
      </c>
      <c r="H389" s="37" t="inlineStr">
        <is>
          <t>TABLED</t>
        </is>
      </c>
      <c r="I389" s="37" t="n"/>
      <c r="J389" s="37" t="n">
        <v>19</v>
      </c>
      <c r="K389" s="37" t="inlineStr">
        <is>
          <t>TABLED 2026-09-23: double-pass extraction 18 rows (sheet said 19); DesignTable_6902.xlsx; scope vs OMi feed: 1 BUILD / 17 DROP / 9 OMi-only (8 differ only by -FG); 1 source anomaly note(s) in 07_RAW_EXTRACTS/airway_anomalies_2026-09-23.txt</t>
        </is>
      </c>
    </row>
    <row r="390" ht="15" customHeight="1" s="35">
      <c r="A390" s="37" t="inlineStr">
        <is>
          <t>701</t>
        </is>
      </c>
      <c r="B390" s="37" t="inlineStr">
        <is>
          <t>166</t>
        </is>
      </c>
      <c r="C390" s="37" t="inlineStr">
        <is>
          <t>701 Braze Tube Run Tee</t>
        </is>
      </c>
      <c r="D390" s="37" t="inlineStr">
        <is>
          <t>JIC 37 &amp; Beaded Hose</t>
        </is>
      </c>
      <c r="E390" s="37" t="inlineStr">
        <is>
          <t>Tee</t>
        </is>
      </c>
      <c r="F390" s="37" t="inlineStr">
        <is>
          <t>https://parts.air-way.com/hydraulic-fittings/jic-and-beaded-hose-fittings/tee/701-braze-tube-run-tee-series-166</t>
        </is>
      </c>
      <c r="G390" s="37" t="inlineStr">
        <is>
          <t>none shown</t>
        </is>
      </c>
      <c r="H390" s="37" t="inlineStr">
        <is>
          <t>NOT STARTED</t>
        </is>
      </c>
      <c r="I390" s="37" t="n"/>
      <c r="J390" s="37" t="n">
        <v>2</v>
      </c>
      <c r="K390" s="37" t="n"/>
    </row>
    <row r="391" ht="15" customHeight="1" s="35">
      <c r="A391" s="37" t="inlineStr">
        <is>
          <t>702</t>
        </is>
      </c>
      <c r="B391" s="37" t="inlineStr">
        <is>
          <t>167</t>
        </is>
      </c>
      <c r="C391" s="37" t="inlineStr">
        <is>
          <t>702 Braze Tube Branch Tee</t>
        </is>
      </c>
      <c r="D391" s="37" t="inlineStr">
        <is>
          <t>JIC 37 &amp; Beaded Hose</t>
        </is>
      </c>
      <c r="E391" s="37" t="inlineStr">
        <is>
          <t>Tee</t>
        </is>
      </c>
      <c r="F391" s="37" t="inlineStr">
        <is>
          <t>https://parts.air-way.com/hydraulic-fittings/jic-and-beaded-hose-fittings/tee/702-braze-tube-branch-tee-series-167</t>
        </is>
      </c>
      <c r="G391" s="37" t="inlineStr">
        <is>
          <t>none shown</t>
        </is>
      </c>
      <c r="H391" s="37" t="inlineStr">
        <is>
          <t>NOT STARTED</t>
        </is>
      </c>
      <c r="I391" s="37" t="n"/>
      <c r="J391" s="37" t="n">
        <v>3</v>
      </c>
      <c r="K391" s="37" t="n"/>
    </row>
    <row r="392" ht="15" customHeight="1" s="35">
      <c r="A392" s="37" t="inlineStr">
        <is>
          <t>7403</t>
        </is>
      </c>
      <c r="B392" s="37" t="inlineStr">
        <is>
          <t>18</t>
        </is>
      </c>
      <c r="C392" s="37" t="inlineStr">
        <is>
          <t>FF7403 Male ORFS Adapter / 37° Male JIC</t>
        </is>
      </c>
      <c r="D392" s="37" t="inlineStr">
        <is>
          <t>ORFS</t>
        </is>
      </c>
      <c r="E392" s="37" t="inlineStr">
        <is>
          <t>Straight</t>
        </is>
      </c>
      <c r="F392" s="37" t="inlineStr">
        <is>
          <t>https://parts.air-way.com/hydraulic-fittings/o-ring-face-seal-orfs-hydraulic-fittings/straight/ff7403-male-orfs-adapter-37-male-jic-series-18</t>
        </is>
      </c>
      <c r="G392" s="37" t="inlineStr">
        <is>
          <t>—</t>
        </is>
      </c>
      <c r="H392" s="37" t="inlineStr">
        <is>
          <t>NOT STARTED</t>
        </is>
      </c>
      <c r="I392" s="37" t="n"/>
      <c r="J392" s="37" t="n">
        <v>9</v>
      </c>
      <c r="K392" s="37" t="n"/>
    </row>
    <row r="393" ht="15" customHeight="1" s="35">
      <c r="A393" s="37" t="inlineStr">
        <is>
          <t>7504</t>
        </is>
      </c>
      <c r="B393" s="37" t="inlineStr">
        <is>
          <t>19</t>
        </is>
      </c>
      <c r="C393" s="37" t="inlineStr">
        <is>
          <t>FF7504 37° Male JIC / Female ORFS Swivel Adapter</t>
        </is>
      </c>
      <c r="D393" s="37" t="inlineStr">
        <is>
          <t>ORFS</t>
        </is>
      </c>
      <c r="E393" s="37" t="inlineStr">
        <is>
          <t>Straight</t>
        </is>
      </c>
      <c r="F393" s="37" t="inlineStr">
        <is>
          <t>https://parts.air-way.com/hydraulic-fittings/o-ring-face-seal-orfs-hydraulic-fittings/straight/ff7504-37-male-jic-female-orfs-swivel-adapter-series-19</t>
        </is>
      </c>
      <c r="G393" s="37" t="inlineStr">
        <is>
          <t>—</t>
        </is>
      </c>
      <c r="H393" s="37" t="inlineStr">
        <is>
          <t>NOT STARTED</t>
        </is>
      </c>
      <c r="I393" s="37" t="n"/>
      <c r="J393" s="37" t="n">
        <v>9</v>
      </c>
      <c r="K393" s="37" t="n"/>
    </row>
    <row r="394" ht="15" customHeight="1" s="35">
      <c r="A394" s="37" t="inlineStr">
        <is>
          <t>800</t>
        </is>
      </c>
      <c r="B394" s="37" t="inlineStr">
        <is>
          <t>54</t>
        </is>
      </c>
      <c r="C394" s="37" t="inlineStr">
        <is>
          <t>800 Braze Female Pipe Swivel Union</t>
        </is>
      </c>
      <c r="D394" s="37" t="inlineStr">
        <is>
          <t>JIC 37 &amp; Beaded Hose</t>
        </is>
      </c>
      <c r="E394" s="37" t="inlineStr">
        <is>
          <t>Straight</t>
        </is>
      </c>
      <c r="F394" s="37" t="inlineStr">
        <is>
          <t>https://parts.air-way.com/hydraulic-fittings/jic-and-beaded-hose-fittings/straight/800-braze-female-pipe-swivel-union-series-54</t>
        </is>
      </c>
      <c r="G394" s="37" t="inlineStr">
        <is>
          <t>none shown</t>
        </is>
      </c>
      <c r="H394" s="37" t="inlineStr">
        <is>
          <t>NOT STARTED</t>
        </is>
      </c>
      <c r="I394" s="37" t="n"/>
      <c r="J394" s="37" t="n">
        <v>3</v>
      </c>
      <c r="K394" s="37" t="n"/>
    </row>
    <row r="395" ht="15" customHeight="1" s="35">
      <c r="A395" s="37" t="inlineStr">
        <is>
          <t>900</t>
        </is>
      </c>
      <c r="B395" s="37" t="inlineStr">
        <is>
          <t>53</t>
        </is>
      </c>
      <c r="C395" s="37" t="inlineStr">
        <is>
          <t>900 Braze 37° Female Swivel Union</t>
        </is>
      </c>
      <c r="D395" s="37" t="inlineStr">
        <is>
          <t>JIC 37 &amp; Beaded Hose</t>
        </is>
      </c>
      <c r="E395" s="37" t="inlineStr">
        <is>
          <t>Straight</t>
        </is>
      </c>
      <c r="F395" s="37" t="inlineStr">
        <is>
          <t>https://parts.air-way.com/hydraulic-fittings/jic-and-beaded-hose-fittings/straight/900-braze-37-female-swivel-union-series-53</t>
        </is>
      </c>
      <c r="G395" s="37" t="inlineStr">
        <is>
          <t>none shown</t>
        </is>
      </c>
      <c r="H395" s="37" t="inlineStr">
        <is>
          <t>NOT STARTED</t>
        </is>
      </c>
      <c r="I395" s="37" t="n"/>
      <c r="J395" s="37" t="n">
        <v>5</v>
      </c>
      <c r="K395" s="37" t="n"/>
    </row>
    <row r="396" ht="15" customHeight="1" s="35">
      <c r="A396" s="37" t="inlineStr">
        <is>
          <t>901</t>
        </is>
      </c>
      <c r="B396" s="37" t="inlineStr">
        <is>
          <t>481</t>
        </is>
      </c>
      <c r="C396" s="37" t="inlineStr">
        <is>
          <t>901 Braze 90° - 37° Female Swivel</t>
        </is>
      </c>
      <c r="D396" s="37" t="inlineStr">
        <is>
          <t>JIC 37 &amp; Beaded Hose</t>
        </is>
      </c>
      <c r="E396" s="37" t="inlineStr">
        <is>
          <t>90°</t>
        </is>
      </c>
      <c r="F396" s="37" t="inlineStr">
        <is>
          <t>https://parts.air-way.com/hydraulic-fittings/jic-and-beaded-hose-fittings/90/901-braze-90-37-female-swivel-series-481</t>
        </is>
      </c>
      <c r="G396" s="37" t="inlineStr">
        <is>
          <t>none shown</t>
        </is>
      </c>
      <c r="H396" s="37" t="inlineStr">
        <is>
          <t>NOT STARTED</t>
        </is>
      </c>
      <c r="I396" s="37" t="n"/>
      <c r="J396" s="37" t="n">
        <v>4</v>
      </c>
      <c r="K396" s="37" t="n"/>
    </row>
    <row r="397" ht="15" customHeight="1" s="35">
      <c r="A397" s="37" t="inlineStr">
        <is>
          <t>UNPARSED</t>
        </is>
      </c>
      <c r="B397" s="37" t="inlineStr">
        <is>
          <t>438</t>
        </is>
      </c>
      <c r="C397" s="37" t="inlineStr">
        <is>
          <t>Brass - PLS 37° JIC Swivel Barb series</t>
        </is>
      </c>
      <c r="D397" s="37" t="inlineStr">
        <is>
          <t>Brass Fittings</t>
        </is>
      </c>
      <c r="E397" s="37" t="inlineStr">
        <is>
          <t>Straight</t>
        </is>
      </c>
      <c r="F397" s="37" t="inlineStr">
        <is>
          <t>https://parts.air-way.com/hydraulic-fittings/brass-hydraulic-fittings/straight/brass-pls-37-jic-swivel-barb-series-438</t>
        </is>
      </c>
      <c r="G397" s="37" t="inlineStr">
        <is>
          <t>none</t>
        </is>
      </c>
      <c r="H397" s="37" t="inlineStr">
        <is>
          <t>NOT STARTED</t>
        </is>
      </c>
      <c r="I397" s="37" t="n"/>
      <c r="J397" s="37" t="n">
        <v>4</v>
      </c>
      <c r="K397" s="37" t="n"/>
    </row>
    <row r="398" ht="15" customHeight="1" s="35">
      <c r="A398" s="37" t="inlineStr">
        <is>
          <t>UNPARSED</t>
        </is>
      </c>
      <c r="B398" s="37" t="inlineStr">
        <is>
          <t>391</t>
        </is>
      </c>
      <c r="C398" s="37" t="inlineStr">
        <is>
          <t>O-Rings for Flare-O Ends</t>
        </is>
      </c>
      <c r="D398" s="37" t="inlineStr">
        <is>
          <t>FLARE-O</t>
        </is>
      </c>
      <c r="E398" s="37" t="inlineStr">
        <is>
          <t>Accessories</t>
        </is>
      </c>
      <c r="F398" s="37" t="inlineStr">
        <is>
          <t>https://parts.air-way.com/hydraulic-fittings/flare-o-hydraulic-fittings/accessories/o-rings-for-flare-o-ends-series-391</t>
        </is>
      </c>
      <c r="G398" s="37" t="inlineStr">
        <is>
          <t>none shown</t>
        </is>
      </c>
      <c r="H398" s="37" t="inlineStr">
        <is>
          <t>NOT STARTED</t>
        </is>
      </c>
      <c r="I398" s="37" t="n"/>
      <c r="J398" s="37" t="n">
        <v>22</v>
      </c>
      <c r="K398" s="37" t="n"/>
    </row>
    <row r="399" ht="15" customHeight="1" s="35">
      <c r="A399" s="37" t="inlineStr">
        <is>
          <t>UNPARSED</t>
        </is>
      </c>
      <c r="B399" s="37" t="inlineStr">
        <is>
          <t>545</t>
        </is>
      </c>
      <c r="C399" s="37" t="inlineStr">
        <is>
          <t>O-rings For SAE J-1926/2/3 Inch Stud Ends</t>
        </is>
      </c>
      <c r="D399" s="37" t="inlineStr">
        <is>
          <t>FLARE-O</t>
        </is>
      </c>
      <c r="E399" s="37" t="inlineStr">
        <is>
          <t>Accessories</t>
        </is>
      </c>
      <c r="F399" s="37" t="inlineStr">
        <is>
          <t>https://parts.air-way.com/hydraulic-fittings/flare-o-hydraulic-fittings/accessories/o-rings-for-sae-j-1926-2-3-inch-stud-ends-series-545</t>
        </is>
      </c>
      <c r="G399" s="37" t="inlineStr">
        <is>
          <t>SAE J-1926</t>
        </is>
      </c>
      <c r="H399" s="37" t="inlineStr">
        <is>
          <t>NOT STARTED</t>
        </is>
      </c>
      <c r="I399" s="37" t="n"/>
      <c r="J399" s="47" t="inlineStr">
        <is>
          <t>TABLE DID NOT LOAD</t>
        </is>
      </c>
      <c r="K399" s="37" t="inlineStr">
        <is>
          <t>Accessory page; spec table renders client-side. Needs browser fetch.</t>
        </is>
      </c>
    </row>
    <row r="400" ht="15" customHeight="1" s="35">
      <c r="A400" s="37" t="inlineStr">
        <is>
          <t>UNPARSED</t>
        </is>
      </c>
      <c r="B400" s="37" t="inlineStr">
        <is>
          <t>535</t>
        </is>
      </c>
      <c r="C400" s="37" t="inlineStr">
        <is>
          <t>O-Rings For ISO 6149/2/3 Metric Stud Ends</t>
        </is>
      </c>
      <c r="D400" s="37" t="inlineStr">
        <is>
          <t>International &amp; Metric</t>
        </is>
      </c>
      <c r="E400" s="37" t="inlineStr">
        <is>
          <t>Accessories</t>
        </is>
      </c>
      <c r="F400" s="37" t="inlineStr">
        <is>
          <t>https://parts.air-way.com/hydraulic-fittings/international-metric/accessories/o-rings-for-iso-6149-2-3-metric-stud-ends-series-535</t>
        </is>
      </c>
      <c r="G400" s="37" t="inlineStr">
        <is>
          <t>ISO 6149/2/3</t>
        </is>
      </c>
      <c r="H400" s="37" t="inlineStr">
        <is>
          <t>NOT STARTED</t>
        </is>
      </c>
      <c r="I400" s="37" t="n"/>
      <c r="J400" s="47" t="inlineStr">
        <is>
          <t>TABLE DID NOT LOAD</t>
        </is>
      </c>
      <c r="K400" s="37" t="inlineStr">
        <is>
          <t>Accessory page; spec table renders client-side. Needs browser fetch.</t>
        </is>
      </c>
    </row>
    <row r="401" ht="15" customHeight="1" s="35">
      <c r="A401" s="37" t="inlineStr">
        <is>
          <t>UNPARSED</t>
        </is>
      </c>
      <c r="B401" s="37" t="inlineStr">
        <is>
          <t>536</t>
        </is>
      </c>
      <c r="C401" s="37" t="inlineStr">
        <is>
          <t>O-Rings for JIS B2351 BSPP Stud Ends</t>
        </is>
      </c>
      <c r="D401" s="37" t="inlineStr">
        <is>
          <t>International &amp; Metric</t>
        </is>
      </c>
      <c r="E401" s="37" t="inlineStr">
        <is>
          <t>Accessories</t>
        </is>
      </c>
      <c r="F401" s="37" t="inlineStr">
        <is>
          <t>https://parts.air-way.com/hydraulic-fittings/international-metric/accessories/o-rings-for-jis-b2351-bspp-stud-ends-series-536</t>
        </is>
      </c>
      <c r="G401" s="37" t="inlineStr">
        <is>
          <t>JIS B2351</t>
        </is>
      </c>
      <c r="H401" s="37" t="inlineStr">
        <is>
          <t>NOT STARTED</t>
        </is>
      </c>
      <c r="I401" s="37" t="n"/>
      <c r="J401" s="47" t="inlineStr">
        <is>
          <t>TABLE DID NOT LOAD</t>
        </is>
      </c>
      <c r="K401" s="37" t="inlineStr">
        <is>
          <t>Accessory page; spec table renders client-side. Needs browser fetch.</t>
        </is>
      </c>
    </row>
    <row r="402" ht="15" customHeight="1" s="35">
      <c r="A402" s="37" t="inlineStr">
        <is>
          <t>UNPARSED</t>
        </is>
      </c>
      <c r="B402" s="37" t="inlineStr">
        <is>
          <t>541</t>
        </is>
      </c>
      <c r="C402" s="37" t="inlineStr">
        <is>
          <t>O-Rings for ISO 1179/3 G&amp;H Light Duty Stud Ends</t>
        </is>
      </c>
      <c r="D402" s="37" t="inlineStr">
        <is>
          <t>International &amp; Metric</t>
        </is>
      </c>
      <c r="E402" s="37" t="inlineStr">
        <is>
          <t>Accessories</t>
        </is>
      </c>
      <c r="F402" s="37" t="inlineStr">
        <is>
          <t>https://parts.air-way.com/hydraulic-fittings/international-metric/accessories/o-rings-for-iso-1179-3-g-h-light-duty-stud-ends-series-541</t>
        </is>
      </c>
      <c r="G402" s="37" t="inlineStr">
        <is>
          <t>ISO 1179/3</t>
        </is>
      </c>
      <c r="H402" s="37" t="inlineStr">
        <is>
          <t>NOT STARTED</t>
        </is>
      </c>
      <c r="I402" s="37" t="n"/>
      <c r="J402" s="47" t="inlineStr">
        <is>
          <t>TABLE DID NOT LOAD</t>
        </is>
      </c>
      <c r="K402" s="37" t="inlineStr">
        <is>
          <t>Accessory page; spec table renders client-side. Needs browser fetch.</t>
        </is>
      </c>
    </row>
    <row r="403" ht="15" customHeight="1" s="35">
      <c r="A403" s="37" t="inlineStr">
        <is>
          <t>UNPARSED</t>
        </is>
      </c>
      <c r="B403" s="37" t="inlineStr">
        <is>
          <t>542</t>
        </is>
      </c>
      <c r="C403" s="37" t="inlineStr">
        <is>
          <t>O-Rings for ISO 9974/1 G&amp;H Metric Stud Ends</t>
        </is>
      </c>
      <c r="D403" s="37" t="inlineStr">
        <is>
          <t>International &amp; Metric</t>
        </is>
      </c>
      <c r="E403" s="37" t="inlineStr">
        <is>
          <t>Accessories</t>
        </is>
      </c>
      <c r="F403" s="37" t="inlineStr">
        <is>
          <t>https://parts.air-way.com/hydraulic-fittings/international-metric/accessories/o-rings-for-iso-9974-1-g-h-metric-stud-ends-series-542</t>
        </is>
      </c>
      <c r="G403" s="37" t="inlineStr">
        <is>
          <t>ISO 9974/1</t>
        </is>
      </c>
      <c r="H403" s="37" t="inlineStr">
        <is>
          <t>NOT STARTED</t>
        </is>
      </c>
      <c r="I403" s="37" t="n"/>
      <c r="J403" s="47" t="inlineStr">
        <is>
          <t>TABLE DID NOT LOAD</t>
        </is>
      </c>
      <c r="K403" s="37" t="inlineStr">
        <is>
          <t>Accessory page; spec table renders client-side. Needs browser fetch.</t>
        </is>
      </c>
    </row>
    <row r="404" ht="15" customHeight="1" s="35">
      <c r="A404" s="37" t="inlineStr">
        <is>
          <t>UNPARSED</t>
        </is>
      </c>
      <c r="B404" s="37" t="inlineStr">
        <is>
          <t>546</t>
        </is>
      </c>
      <c r="C404" s="37" t="inlineStr">
        <is>
          <t>ORFS Braze Rings</t>
        </is>
      </c>
      <c r="D404" s="37" t="inlineStr">
        <is>
          <t>International &amp; Metric</t>
        </is>
      </c>
      <c r="E404" s="37" t="inlineStr">
        <is>
          <t>Accessories</t>
        </is>
      </c>
      <c r="F404" s="37" t="inlineStr">
        <is>
          <t>https://parts.air-way.com/hydraulic-fittings/international-metric/accessories/orfs-braze-rings-series-part-list-series-546</t>
        </is>
      </c>
      <c r="G404" s="37" t="inlineStr">
        <is>
          <t>—</t>
        </is>
      </c>
      <c r="H404" s="37" t="inlineStr">
        <is>
          <t>NOT STARTED</t>
        </is>
      </c>
      <c r="I404" s="37" t="n"/>
      <c r="J404" s="47" t="inlineStr">
        <is>
          <t>TABLE DID NOT LOAD</t>
        </is>
      </c>
      <c r="K404" s="37" t="inlineStr">
        <is>
          <t>Accessory page; spec table renders client-side. Needs browser fetch.</t>
        </is>
      </c>
    </row>
    <row r="405" ht="15" customHeight="1" s="35">
      <c r="A405" s="37" t="inlineStr">
        <is>
          <t>UNPARSED</t>
        </is>
      </c>
      <c r="B405" s="37" t="inlineStr">
        <is>
          <t>453</t>
        </is>
      </c>
      <c r="C405" s="37" t="inlineStr">
        <is>
          <t>VPFVSTI Threaded Straight Fitting, BSPP Hexagon Socket Elastomeric Seal Plug</t>
        </is>
      </c>
      <c r="D405" s="37" t="inlineStr">
        <is>
          <t>International &amp; Metric</t>
        </is>
      </c>
      <c r="E405" s="37" t="inlineStr">
        <is>
          <t>BSPP</t>
        </is>
      </c>
      <c r="F405" s="37" t="inlineStr">
        <is>
          <t>https://parts.air-way.com/hydraulic-fittings/international-metric/bspp/vpfvsti-threaded-straight-fitting-bspp-hexagon-socket-elastomeric-seal-plug-series-453</t>
        </is>
      </c>
      <c r="G405" s="37" t="inlineStr">
        <is>
          <t>ISO 1179-2, ISO 1179-1</t>
        </is>
      </c>
      <c r="H405" s="37" t="inlineStr">
        <is>
          <t>NOT STARTED</t>
        </is>
      </c>
      <c r="I405" s="37" t="n"/>
      <c r="J405" s="37" t="n">
        <v>5</v>
      </c>
      <c r="K405" s="37" t="n"/>
    </row>
    <row r="406" ht="15" customHeight="1" s="35">
      <c r="A406" s="37" t="inlineStr">
        <is>
          <t>UNPARSED</t>
        </is>
      </c>
      <c r="B406" s="37" t="inlineStr">
        <is>
          <t>534</t>
        </is>
      </c>
      <c r="C406" s="37" t="inlineStr">
        <is>
          <t>O-rings For SAE J-1926/2/3 Inch Stud Ends</t>
        </is>
      </c>
      <c r="D406" s="37" t="inlineStr">
        <is>
          <t>JIC 37 &amp; Beaded Hose</t>
        </is>
      </c>
      <c r="E406" s="37" t="inlineStr">
        <is>
          <t>Accessories</t>
        </is>
      </c>
      <c r="F406" s="37" t="inlineStr">
        <is>
          <t>https://parts.air-way.com/hydraulic-fittings/jic-and-beaded-hose-fittings/accessories/o-rings-for-sae-j-1926-2-3-inch-stud-ends-series-534</t>
        </is>
      </c>
      <c r="G406" s="37" t="inlineStr">
        <is>
          <t>SAE J-1926</t>
        </is>
      </c>
      <c r="H406" s="37" t="inlineStr">
        <is>
          <t>NOT STARTED</t>
        </is>
      </c>
      <c r="I406" s="37" t="n"/>
      <c r="J406" s="47" t="inlineStr">
        <is>
          <t>TABLE DID NOT LOAD</t>
        </is>
      </c>
      <c r="K406" s="37" t="inlineStr">
        <is>
          <t>Accessory page; spec table renders client-side. Needs browser fetch.</t>
        </is>
      </c>
    </row>
    <row r="407" ht="15" customHeight="1" s="35">
      <c r="A407" s="37" t="inlineStr">
        <is>
          <t>UNPARSED</t>
        </is>
      </c>
      <c r="B407" s="37" t="inlineStr">
        <is>
          <t>108</t>
        </is>
      </c>
      <c r="C407" s="37" t="inlineStr">
        <is>
          <t>Long Allen Plugs</t>
        </is>
      </c>
      <c r="D407" s="37" t="inlineStr">
        <is>
          <t>JIC 37 &amp; Beaded Hose</t>
        </is>
      </c>
      <c r="E407" s="37" t="inlineStr">
        <is>
          <t>Straight</t>
        </is>
      </c>
      <c r="F407" s="37" t="inlineStr">
        <is>
          <t>https://parts.air-way.com/hydraulic-fittings/jic-and-beaded-hose-fittings/straight/sae-j531-130109n-series-108</t>
        </is>
      </c>
      <c r="G407" s="37" t="inlineStr">
        <is>
          <t>SAE J531 130109N</t>
        </is>
      </c>
      <c r="H407" s="37" t="inlineStr">
        <is>
          <t>NOT STARTED</t>
        </is>
      </c>
      <c r="I407" s="37" t="n"/>
      <c r="J407" s="37" t="n">
        <v>9</v>
      </c>
      <c r="K407" s="37" t="n"/>
    </row>
    <row r="408" ht="15" customHeight="1" s="35">
      <c r="A408" s="37" t="inlineStr">
        <is>
          <t>UNPARSED</t>
        </is>
      </c>
      <c r="B408" s="37" t="inlineStr">
        <is>
          <t>40</t>
        </is>
      </c>
      <c r="C408" s="37" t="inlineStr">
        <is>
          <t>O-Ring For SAE J1453/2/3 Face Seal Ends</t>
        </is>
      </c>
      <c r="D408" s="37" t="inlineStr">
        <is>
          <t>ORFS</t>
        </is>
      </c>
      <c r="E408" s="37" t="inlineStr">
        <is>
          <t>Accessories</t>
        </is>
      </c>
      <c r="F408" s="37" t="inlineStr">
        <is>
          <t>https://parts.air-way.com/hydraulic-fittings/o-ring-face-seal-orfs-hydraulic-fittings/accessories/o-ring-for-sae-j1453-2-3-face-seal-ends-series-40</t>
        </is>
      </c>
      <c r="G408" s="37" t="inlineStr">
        <is>
          <t>SAE J1453/2/3</t>
        </is>
      </c>
      <c r="H408" s="37" t="inlineStr">
        <is>
          <t>NOT STARTED</t>
        </is>
      </c>
      <c r="I408" s="37" t="n"/>
      <c r="J408" s="37" t="n">
        <v>23</v>
      </c>
      <c r="K408" s="37" t="n"/>
    </row>
    <row r="409" ht="15" customHeight="1" s="35">
      <c r="A409" s="37" t="inlineStr">
        <is>
          <t>UNPARSED</t>
        </is>
      </c>
      <c r="B409" s="37" t="inlineStr">
        <is>
          <t>41</t>
        </is>
      </c>
      <c r="C409" s="37" t="inlineStr">
        <is>
          <t>ORFS Braze Rings</t>
        </is>
      </c>
      <c r="D409" s="37" t="inlineStr">
        <is>
          <t>ORFS</t>
        </is>
      </c>
      <c r="E409" s="37" t="inlineStr">
        <is>
          <t>Accessories</t>
        </is>
      </c>
      <c r="F409" s="37" t="inlineStr">
        <is>
          <t>https://parts.air-way.com/hydraulic-fittings/o-ring-face-seal-orfs-hydraulic-fittings/accessories/orfs-braze-rings-series-41</t>
        </is>
      </c>
      <c r="G409" s="37" t="inlineStr">
        <is>
          <t>—</t>
        </is>
      </c>
      <c r="H409" s="37" t="inlineStr">
        <is>
          <t>NOT STARTED</t>
        </is>
      </c>
      <c r="I409" s="37" t="n"/>
      <c r="J409" s="37" t="n">
        <v>10</v>
      </c>
      <c r="K409" s="37" t="n"/>
    </row>
    <row r="410" ht="15" customHeight="1" s="35">
      <c r="A410" s="37" t="inlineStr">
        <is>
          <t>UNPARSED</t>
        </is>
      </c>
      <c r="B410" s="37" t="inlineStr">
        <is>
          <t>218</t>
        </is>
      </c>
      <c r="C410" s="37" t="inlineStr">
        <is>
          <t>O-Rings For SAE J-1926/2/3 Inch Stud Ends</t>
        </is>
      </c>
      <c r="D410" s="37" t="inlineStr">
        <is>
          <t>ORFS</t>
        </is>
      </c>
      <c r="E410" s="37" t="inlineStr">
        <is>
          <t>Accessories</t>
        </is>
      </c>
      <c r="F410" s="37" t="inlineStr">
        <is>
          <t>https://parts.air-way.com/hydraulic-fittings/o-ring-face-seal-orfs-hydraulic-fittings/accessories/o-rings-for-sae-j-1926-2-3-inch-stud-ends-series-218</t>
        </is>
      </c>
      <c r="G410" s="37" t="inlineStr">
        <is>
          <t>SAE J-1926/2/3</t>
        </is>
      </c>
      <c r="H410" s="37" t="inlineStr">
        <is>
          <t>NOT STARTED</t>
        </is>
      </c>
      <c r="I410" s="37" t="n"/>
      <c r="J410" s="37" t="n">
        <v>33</v>
      </c>
      <c r="K410" s="37" t="n"/>
    </row>
    <row r="411" ht="15" customHeight="1" s="35">
      <c r="A411" s="37" t="inlineStr">
        <is>
          <t>UNPARSED</t>
        </is>
      </c>
      <c r="B411" s="37" t="inlineStr">
        <is>
          <t>544</t>
        </is>
      </c>
      <c r="C411" s="37" t="inlineStr">
        <is>
          <t>O-rings For SAE J-1926/2/3 Inch Stud Ends</t>
        </is>
      </c>
      <c r="D411" s="37" t="inlineStr">
        <is>
          <t>Stainless Steel Fittings</t>
        </is>
      </c>
      <c r="E411" s="37" t="inlineStr">
        <is>
          <t>Accessories</t>
        </is>
      </c>
      <c r="F411" s="37" t="inlineStr">
        <is>
          <t>https://parts.air-way.com/hydraulic-fittings/stainless-steel-hydraulic-fittings/accessories/o-rings-for-sae-j-1926-2-3-inch-stud-ends-series-544</t>
        </is>
      </c>
      <c r="G411" s="37" t="inlineStr">
        <is>
          <t>SAE J-1926/2/3 (in title)</t>
        </is>
      </c>
      <c r="H411" s="37" t="inlineStr">
        <is>
          <t>NOT STARTED</t>
        </is>
      </c>
      <c r="I411" s="37" t="n"/>
      <c r="J411" s="47" t="inlineStr">
        <is>
          <t>TABLE DID NOT LOAD</t>
        </is>
      </c>
      <c r="K411" s="37" t="inlineStr">
        <is>
          <t>Accessory page; spec table renders client-side. Needs browser fetch.</t>
        </is>
      </c>
    </row>
  </sheetData>
  <autoFilter ref="A1:K4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2026-08-05T01:04:56Z</dcterms:created>
  <dcterms:modified xmlns:dcterms="http://purl.org/dc/terms/" xmlns:xsi="http://www.w3.org/2001/XMLSchema-instance" xsi:type="dcterms:W3CDTF">2026-09-23T07:21:16Z</dcterms:modified>
  <cp:revision>0</cp:revision>
</cp:coreProperties>
</file>