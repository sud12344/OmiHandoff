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_README" sheetId="1" state="visible" r:id="rId1"/>
    <sheet name="CarbonSteel_Scope" sheetId="2" state="visible" r:id="rId2"/>
    <sheet name="Parts_v2" sheetId="3" state="visible" r:id="rId3"/>
    <sheet name="Topologies" sheetId="4" state="visible" r:id="rId4"/>
    <sheet name="StandardsData" sheetId="5" state="visible" r:id="rId5"/>
    <sheet name="EndGeometry" sheetId="6" state="visible" r:id="rId6"/>
    <sheet name="DimensionMap" sheetId="7" state="visible" r:id="rId7"/>
    <sheet name="DimensionNaming" sheetId="8" state="visible" r:id="rId8"/>
    <sheet name="Parts" sheetId="9" state="visible" r:id="rId9"/>
    <sheet name="Scope" sheetId="10" state="visible" r:id="rId10"/>
    <sheet name="DashSizes" sheetId="11" state="visible" r:id="rId11"/>
    <sheet name="PipeThreads" sheetId="12" state="visible" r:id="rId12"/>
    <sheet name="Standards" sheetId="13" state="visible" r:id="rId13"/>
    <sheet name="QA_Log" sheetId="14" state="visible" r:id="rId14"/>
    <sheet name="Series" sheetId="15" state="visible" r:id="rId15"/>
  </sheets>
  <definedNames>
    <definedName name="_xlnm._FilterDatabase" localSheetId="2" hidden="1">'Parts_v2'!$A$2:$AH$293</definedName>
    <definedName name="_xlnm._FilterDatabase" localSheetId="3" hidden="1">'Topologies'!$A$1:$E$127</definedName>
    <definedName name="_xlnm._FilterDatabase" localSheetId="8" hidden="1">'Parts'!$A$2:$BE$60</definedName>
    <definedName name="_xlnm._FilterDatabase" localSheetId="14" hidden="1">'Series'!$A$1:$K$411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sz val="10"/>
    </font>
    <font>
      <name val="Arial"/>
      <charset val="1"/>
      <family val="0"/>
      <b val="1"/>
      <color rgb="FFFFFFFF"/>
      <sz val="10"/>
    </font>
    <font>
      <name val="Arial"/>
      <charset val="1"/>
      <family val="0"/>
      <b val="1"/>
      <color rgb="FFFFFFFF"/>
      <sz val="9"/>
    </font>
    <font>
      <name val="Arial"/>
      <family val="2"/>
      <sz val="10"/>
    </font>
    <font>
      <name val="Arial"/>
      <charset val="1"/>
      <family val="0"/>
      <color rgb="FF008000"/>
      <sz val="10"/>
    </font>
  </fonts>
  <fills count="12">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8EA9DB"/>
        <bgColor rgb="FF969696"/>
      </patternFill>
    </fill>
    <fill>
      <patternFill patternType="solid">
        <fgColor rgb="FF548235"/>
        <bgColor rgb="FF339966"/>
      </patternFill>
    </fill>
    <fill>
      <patternFill patternType="solid">
        <fgColor rgb="FFC6EFCE"/>
        <bgColor rgb="FFCCFFFF"/>
      </patternFill>
    </fill>
    <fill>
      <patternFill patternType="solid">
        <fgColor rgb="FFFFD9B3"/>
        <bgColor rgb="FFFFC7CE"/>
      </patternFill>
    </fill>
    <fill>
      <patternFill patternType="solid">
        <fgColor rgb="FFFFC7CE"/>
        <bgColor rgb="FFFFD9B3"/>
      </patternFill>
    </fill>
    <fill>
      <patternFill patternType="solid">
        <fgColor rgb="FFC00000"/>
        <bgColor rgb="FF800000"/>
      </patternFill>
    </fill>
    <fill>
      <patternFill patternType="solid">
        <fgColor rgb="00FFEB9C"/>
      </patternFill>
    </fill>
    <fill>
      <patternFill patternType="solid">
        <fgColor rgb="00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3" borderId="0" applyAlignment="1" pivotButton="0" quotePrefix="0" xfId="0">
      <alignment horizontal="general"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8" fillId="2" borderId="0" applyAlignment="1" pivotButton="0" quotePrefix="0" xfId="0">
      <alignment horizontal="center" vertical="center" wrapText="1"/>
    </xf>
    <xf numFmtId="0" fontId="5" fillId="3" borderId="0" applyAlignment="1" pivotButton="0" quotePrefix="0" xfId="0">
      <alignment horizontal="general" vertical="bottom"/>
    </xf>
    <xf numFmtId="0" fontId="5" fillId="6" borderId="0" applyAlignment="1" pivotButton="0" quotePrefix="0" xfId="0">
      <alignment horizontal="general" vertical="bottom"/>
    </xf>
    <xf numFmtId="0" fontId="5" fillId="7" borderId="0" applyAlignment="1" pivotButton="0" quotePrefix="0" xfId="0">
      <alignment horizontal="general" vertical="bottom"/>
    </xf>
    <xf numFmtId="0" fontId="5" fillId="8"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0" fillId="3" borderId="0" applyAlignment="1" pivotButton="0" quotePrefix="0" xfId="0">
      <alignment horizontal="general" vertical="bottom"/>
    </xf>
    <xf numFmtId="0" fontId="8" fillId="2" borderId="0" applyAlignment="1" pivotButton="0" quotePrefix="0" xfId="0">
      <alignment horizontal="general" vertical="bottom"/>
    </xf>
    <xf numFmtId="0" fontId="8" fillId="9" borderId="0" applyAlignment="1" pivotButton="0" quotePrefix="0" xfId="0">
      <alignment horizontal="center" vertical="bottom"/>
    </xf>
    <xf numFmtId="0" fontId="10" fillId="0" borderId="1"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5" fillId="6" borderId="1" applyAlignment="1" pivotButton="0" quotePrefix="0" xfId="0">
      <alignment horizontal="general" vertical="bottom"/>
    </xf>
    <xf numFmtId="0" fontId="10" fillId="7" borderId="0" applyAlignment="1" pivotButton="0" quotePrefix="0" xfId="0">
      <alignment horizontal="general" vertical="bottom"/>
    </xf>
    <xf numFmtId="0" fontId="7" fillId="2" borderId="0" applyAlignment="1" pivotButton="0" quotePrefix="0" xfId="0">
      <alignment horizontal="general" vertical="center" wrapText="1"/>
    </xf>
    <xf numFmtId="0" fontId="5" fillId="0" borderId="0" applyAlignment="1" pivotButton="0" quotePrefix="0" xfId="0">
      <alignment horizontal="general" vertical="top" wrapText="1"/>
    </xf>
    <xf numFmtId="0" fontId="5" fillId="3" borderId="0" applyAlignment="1" pivotButton="0" quotePrefix="0" xfId="0">
      <alignment horizontal="general" vertical="top" wrapText="1"/>
    </xf>
    <xf numFmtId="0" fontId="5" fillId="6" borderId="0" applyAlignment="1" pivotButton="0" quotePrefix="0" xfId="0">
      <alignment horizontal="general" vertical="top" wrapText="1"/>
    </xf>
    <xf numFmtId="0" fontId="5" fillId="8"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3" borderId="0" applyAlignment="1" pivotButton="0" quotePrefix="0" xfId="0">
      <alignment horizontal="general"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8" fillId="2" borderId="0" applyAlignment="1" pivotButton="0" quotePrefix="0" xfId="0">
      <alignment horizontal="center" vertical="center" wrapText="1"/>
    </xf>
    <xf numFmtId="0" fontId="5" fillId="3" borderId="0" applyAlignment="1" pivotButton="0" quotePrefix="0" xfId="0">
      <alignment horizontal="general" vertical="bottom"/>
    </xf>
    <xf numFmtId="0" fontId="5" fillId="6" borderId="0" applyAlignment="1" pivotButton="0" quotePrefix="0" xfId="0">
      <alignment horizontal="general" vertical="bottom"/>
    </xf>
    <xf numFmtId="0" fontId="5" fillId="7" borderId="0" applyAlignment="1" pivotButton="0" quotePrefix="0" xfId="0">
      <alignment horizontal="general" vertical="bottom"/>
    </xf>
    <xf numFmtId="0" fontId="5" fillId="8"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8" fillId="2" borderId="0" applyAlignment="1" pivotButton="0" quotePrefix="0" xfId="0">
      <alignment horizontal="general" vertical="bottom"/>
    </xf>
    <xf numFmtId="0" fontId="8" fillId="9" borderId="0" applyAlignment="1" pivotButton="0" quotePrefix="0" xfId="0">
      <alignment horizontal="center" vertical="bottom"/>
    </xf>
    <xf numFmtId="0" fontId="10" fillId="0" borderId="1"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5" fillId="6" borderId="1" applyAlignment="1" pivotButton="0" quotePrefix="0" xfId="0">
      <alignment horizontal="general" vertical="bottom"/>
    </xf>
    <xf numFmtId="0" fontId="10" fillId="7" borderId="0" applyAlignment="1" pivotButton="0" quotePrefix="0" xfId="0">
      <alignment horizontal="general" vertical="bottom"/>
    </xf>
    <xf numFmtId="0" fontId="7" fillId="2" borderId="0" applyAlignment="1" pivotButton="0" quotePrefix="0" xfId="0">
      <alignment horizontal="general" vertical="center" wrapText="1"/>
    </xf>
    <xf numFmtId="0" fontId="5" fillId="0" borderId="0" applyAlignment="1" pivotButton="0" quotePrefix="0" xfId="0">
      <alignment horizontal="general" vertical="top" wrapText="1"/>
    </xf>
    <xf numFmtId="0" fontId="5" fillId="3" borderId="0" applyAlignment="1" pivotButton="0" quotePrefix="0" xfId="0">
      <alignment horizontal="general" vertical="top" wrapText="1"/>
    </xf>
    <xf numFmtId="0" fontId="5" fillId="6" borderId="0" applyAlignment="1" pivotButton="0" quotePrefix="0" xfId="0">
      <alignment horizontal="general" vertical="top" wrapText="1"/>
    </xf>
    <xf numFmtId="0" fontId="5" fillId="8" borderId="0" applyAlignment="1" pivotButton="0" quotePrefix="0" xfId="0">
      <alignment horizontal="general" vertical="top" wrapText="1"/>
    </xf>
    <xf numFmtId="0" fontId="0" fillId="10" borderId="0" applyAlignment="1" pivotButton="0" quotePrefix="0" xfId="0">
      <alignment horizontal="general" vertical="bottom"/>
    </xf>
    <xf numFmtId="0" fontId="0" fillId="11"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FF00"/>
          <bgColor rgb="FF000000"/>
        </patternFill>
      </fill>
    </dxf>
    <dxf>
      <fill>
        <patternFill patternType="solid">
          <fgColor rgb="FFFFC7CE"/>
          <bgColor rgb="FF000000"/>
        </patternFill>
      </fill>
    </dxf>
    <dxf>
      <fill>
        <patternFill patternType="solid">
          <fgColor rgb="FF000000"/>
          <bgColor rgb="FF000000"/>
        </patternFill>
      </fill>
    </dxf>
    <dxf>
      <fill>
        <patternFill patternType="solid">
          <fgColor rgb="FFFFD9B3"/>
          <bgColor rgb="FF000000"/>
        </patternFill>
      </fill>
    </dxf>
    <dxf>
      <fill>
        <patternFill patternType="solid">
          <fgColor rgb="FF008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8EA9DB"/>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D9B3"/>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Unknown Author</author>
  </authors>
  <commentList>
    <comment ref="L2" authorId="0" shapeId="0">
      <text>
        <t>Generic slot D1. Meaning varies by topology - see DimensionMap sheet.
Design-table header: D1@DRIVE</t>
      </text>
    </comment>
    <comment ref="M2" authorId="0" shapeId="0">
      <text>
        <t>Generic slot D2. Meaning varies by topology - see DimensionMap sheet.
Design-table header: D2@DRIVE</t>
      </text>
    </comment>
    <comment ref="N2" authorId="0" shapeId="0">
      <text>
        <t>Generic slot D3. Meaning varies by topology - see DimensionMap sheet.
Design-table header: D3@DRIVE</t>
      </text>
    </comment>
    <comment ref="O2" authorId="0" shapeId="0">
      <text>
        <t>Generic slot D4. Meaning varies by topology - see DimensionMap sheet.
Design-table header: D4@DRIVE</t>
      </text>
    </comment>
    <comment ref="P2" authorId="0" shapeId="0">
      <text>
        <t>Generic slot D5. Meaning varies by topology - see DimensionMap sheet.
Design-table header: D5@DRIVE</t>
      </text>
    </comment>
    <comment ref="Q2" authorId="0" shapeId="0">
      <text>
        <t>Generic slot D6. Meaning varies by topology - see DimensionMap sheet.
Design-table header: D6@DRIVE</t>
      </text>
    </comment>
    <comment ref="Z2" authorId="0" shapeId="0">
      <text>
        <t>ASTM A108 12L14 (bar stock). Parker Cat.4300 grade. J514 mandates 'carbon steel' class only.</t>
      </text>
    </comment>
    <comment ref="AA2" authorId="0" shapeId="0">
      <text>
        <t>Governing material standard.</t>
      </text>
    </comment>
    <comment ref="AB2" authorId="0" shapeId="0">
      <text>
        <t>Trivalent Cr3 zinc - current industry mainstream, RoHS compliant.</t>
      </text>
    </comment>
    <comment ref="AC2" authorId="0" shapeId="0">
      <text>
        <t>ASTM B633 Type V/VI (non-chromate passivate).</t>
      </text>
    </comment>
    <comment ref="AD2" authorId="0" shapeId="0">
      <text>
        <t>Working pressure, psi. DERIVED: generic SAE-style table at the LARGER dash (governing end).</t>
      </text>
    </comment>
    <comment ref="AE2" authorId="0" shapeId="0">
      <text>
        <t>How the figure was arrived at.</t>
      </text>
    </comment>
    <comment ref="AF2" authorId="0" shapeId="0">
      <text>
        <t>Metal-to-metal flare joint only. Does NOT apply to ORB ends.</t>
      </text>
    </comment>
    <comment ref="AG2" authorId="0" shapeId="0">
      <text>
        <t>Same caveat.</t>
      </text>
    </comment>
    <comment ref="AH2" authorId="0" shapeId="0">
      <text>
        <t>Where the spec values came from.</t>
      </text>
    </comment>
  </commentList>
</comments>
</file>

<file path=xl/comments/comment2.xml><?xml version="1.0" encoding="utf-8"?>
<comments xmlns="http://schemas.openxmlformats.org/spreadsheetml/2006/main">
  <authors>
    <author>Unknown Author</author>
  </authors>
  <commentList>
    <comment ref="A2" authorId="0" shapeId="0">
      <text>
        <t>OM Industrial part number. FORMULA - generated, do not type over.
Type: formula</t>
      </text>
    </comment>
    <comment ref="B2" authorId="0" shapeId="0">
      <text>
        <t>Air-Way catalog number, verbatim. Cross-reference only.
Type: text</t>
      </text>
    </comment>
    <comment ref="C2" authorId="0" shapeId="0">
      <text>
        <t>SolidWorks configuration name. Must equal PartNumber_OMi.
Type: formula</t>
      </text>
    </comment>
    <comment ref="D2" authorId="0" shapeId="0">
      <text>
        <t>Shared topology key. One master model per root.
Type: text</t>
      </text>
    </comment>
    <comment ref="E2" authorId="0" shapeId="0">
      <text>
        <t>Air-Way internal series ID, for traceability.
Type: int</t>
      </text>
    </comment>
    <comment ref="F2" authorId="0" shapeId="0">
      <text>
        <t>Exact page the dimensions were read from.
Type: text</t>
      </text>
    </comment>
    <comment ref="G2" authorId="0" shapeId="0">
      <text>
        <t>Drawing/ERP description. FORMULA.
Type: formula</t>
      </text>
    </comment>
    <comment ref="H2" authorId="0" shapeId="0">
      <text>
        <t>Air-Way product family.
Type: text</t>
      </text>
    </comment>
    <comment ref="I2" authorId="0" shapeId="0">
      <text>
        <t>Carbon Steel / Stainless / Brass / FLARE-O / ORFS / Metric.
Type: text</t>
      </text>
    </comment>
    <comment ref="J2" authorId="0" shapeId="0">
      <text>
        <t>Straight / 90 / 45 / Tee / Cross / Nut / Sleeve.
Type: text</t>
      </text>
    </comment>
    <comment ref="K2" authorId="0" shapeId="0">
      <text>
        <t>Number of ports. Drives how many End blocks are used.
Type: int</t>
      </text>
    </comment>
    <comment ref="L2" authorId="0" shapeId="0">
      <text>
        <t>Air-Way column 'A'. Port role.
Type: text</t>
      </text>
    </comment>
    <comment ref="M2" authorId="0" shapeId="0">
      <text>
        <t>End style, e.g. Male Pipe NPTF.
Type: text</t>
      </text>
    </comment>
    <comment ref="N2" authorId="0" shapeId="0">
      <text>
        <t>Dash size for end A.
Type: int</t>
      </text>
    </comment>
    <comment ref="O2" authorId="0" shapeId="0">
      <text>
        <t>Full thread callout, verbatim from source.
Type: text</t>
      </text>
    </comment>
    <comment ref="P2" authorId="0" shapeId="0">
      <text>
        <t>Thread form/class.
Type: text</t>
      </text>
    </comment>
    <comment ref="Q2" authorId="0" shapeId="0">
      <text>
        <t>Governing standard for this thread.
Type: text</t>
      </text>
    </comment>
    <comment ref="R2" authorId="0" shapeId="0">
      <text>
        <t>Seat half-angle, or N/A for tapered-thread seal.
Type: text</t>
      </text>
    </comment>
    <comment ref="S2" authorId="0" shapeId="0">
      <text>
        <t>Air-Way column 'B'. Port role.
Type: text</t>
      </text>
    </comment>
    <comment ref="T2" authorId="0" shapeId="0">
      <text>
        <t>End style, e.g. Male 37 deg Flare JIC.
Type: text</t>
      </text>
    </comment>
    <comment ref="U2" authorId="0" shapeId="0">
      <text>
        <t>Dash size for end B. Equals tube OD dash.
Type: int</t>
      </text>
    </comment>
    <comment ref="V2" authorId="0" shapeId="0">
      <text>
        <t>Full thread callout, verbatim from source.
Type: text</t>
      </text>
    </comment>
    <comment ref="W2" authorId="0" shapeId="0">
      <text>
        <t>Thread form/class.
Type: text</t>
      </text>
    </comment>
    <comment ref="X2" authorId="0" shapeId="0">
      <text>
        <t>Governing standard for this thread.
Type: text</t>
      </text>
    </comment>
    <comment ref="Y2" authorId="0" shapeId="0">
      <text>
        <t>Seat half-angle in degrees.
Type: num</t>
      </text>
    </comment>
    <comment ref="Z2" authorId="0" shapeId="0">
      <text>
        <t>Overall length. Maps to dimension L@DRIVE.
Type: num</t>
      </text>
    </comment>
    <comment ref="AA2" authorId="0" shapeId="0">
      <text>
        <t>Hex across flats / catalog dim C. Maps to C@DRIVE.
Type: num</t>
      </text>
    </comment>
    <comment ref="AB2" authorId="0" shapeId="0">
      <text>
        <t>Catalog dim D. Maps to D@DRIVE.
Type: num</t>
      </text>
    </comment>
    <comment ref="AC2" authorId="0" shapeId="0">
      <text>
        <t>Catalog dim D1. Maps to D1@DRIVE.
Type: num</t>
      </text>
    </comment>
    <comment ref="AD2" authorId="0" shapeId="0">
      <text>
        <t>Hex across flats, end A. NOT PUBLISHED by source.
Type: num</t>
      </text>
    </comment>
    <comment ref="AE2" authorId="0" shapeId="0">
      <text>
        <t>Hex across flats, end B. NOT PUBLISHED by source.
Type: num</t>
      </text>
    </comment>
    <comment ref="AF2" authorId="0" shapeId="0">
      <text>
        <t>0 for straight, 90/45 for elbows.
Type: num</t>
      </text>
    </comment>
    <comment ref="AG2" authorId="0" shapeId="0">
      <text>
        <t>Nominal tube OD, decimal inches.
Type: num</t>
      </text>
    </comment>
    <comment ref="AH2" authorId="0" shapeId="0">
      <text>
        <t>Tube OD as printed in catalog.
Type: text</t>
      </text>
    </comment>
    <comment ref="AI2" authorId="0" shapeId="0">
      <text>
        <t>REQUIRED INPUT - not published by any source.
Type: text</t>
      </text>
    </comment>
    <comment ref="AJ2" authorId="0" shapeId="0">
      <text>
        <t>REQUIRED INPUT - e.g. ASTM A108 Gr 12L14.
Type: text</t>
      </text>
    </comment>
    <comment ref="AK2" authorId="0" shapeId="0">
      <text>
        <t>REQUIRED INPUT - e.g. Zinc-Nickel.
Type: text</t>
      </text>
    </comment>
    <comment ref="AL2" authorId="0" shapeId="0">
      <text>
        <t>REQUIRED INPUT - e.g. ASTM F1941.
Type: text</t>
      </text>
    </comment>
    <comment ref="AM2" authorId="0" shapeId="0">
      <text>
        <t>REQUIRED INPUT - not published by any source.
Type: num</t>
      </text>
    </comment>
    <comment ref="AN2" authorId="0" shapeId="0">
      <text>
        <t>psi / bar / MPa.
Type: text</t>
      </text>
    </comment>
    <comment ref="AO2" authorId="0" shapeId="0">
      <text>
        <t>REQUIRED INPUT.
Type: num</t>
      </text>
    </comment>
    <comment ref="AP2" authorId="0" shapeId="0">
      <text>
        <t>REQUIRED INPUT.
Type: num</t>
      </text>
    </comment>
    <comment ref="AQ2" authorId="0" shapeId="0">
      <text>
        <t>Base filename for all exports. FORMULA.
Type: formula</t>
      </text>
    </comment>
    <comment ref="AR2" authorId="0" shapeId="0">
      <text>
        <t>Target PDF filename. FORMULA.
Type: formula</t>
      </text>
    </comment>
    <comment ref="AS2" authorId="0" shapeId="0">
      <text>
        <t>Target STEP filename. FORMULA.
Type: formula</t>
      </text>
    </comment>
    <comment ref="AT2" authorId="0" shapeId="0">
      <text>
        <t>VERIFIED / ASSUMED / MISSING. Governs whether a row may be released.
Type: text</t>
      </text>
    </comment>
    <comment ref="AU2" authorId="0" shapeId="0">
      <text>
        <t>MATCH / DIVERGENT / UNVERIFIABLE / N-A.
Type: text</t>
      </text>
    </comment>
    <comment ref="AV2" authorId="0" shapeId="0">
      <text>
        <t>What the value was checked against.
Type: text</t>
      </text>
    </comment>
    <comment ref="AW2" authorId="0" shapeId="0">
      <text>
        <t>Free text. Record every assumption here.
Type: text</t>
      </text>
    </comment>
    <comment ref="AX2" authorId="0" shapeId="0">
      <text>
        <t>Hex across flats from Parker Catalog 4300 Triple-Lok, FTX table, p.B15.</t>
      </text>
    </comment>
    <comment ref="AY2" authorId="0" shapeId="0">
      <text>
        <t>Hex from Applied.com Brennan 2404 product pages, field 'Hex Size (Across Flats)'.</t>
      </text>
    </comment>
    <comment ref="AZ2" authorId="0" shapeId="0">
      <text>
        <t>Hex from PressureConnections.com 2404 pages.</t>
      </text>
    </comment>
    <comment ref="BA2" authorId="0" shapeId="0">
      <text>
        <t>AGREE / CONFLICT / SINGLE SOURCE / NO DATA.</t>
      </text>
    </comment>
    <comment ref="BB2" authorId="0" shapeId="0">
      <text>
        <t>Overall length from the same Parker FTX table.</t>
      </text>
    </comment>
    <comment ref="BC2" authorId="0" shapeId="0">
      <text>
        <t>MATCH = Air-Way L equals Parker L. DIVERGENT = they differ.</t>
      </text>
    </comment>
    <comment ref="BD2" authorId="0" shapeId="0">
      <text>
        <t>Y = part exists in the OM Industrial carbon steel catalog. N = Air-Way only, OUT OF SCOPE.</t>
      </text>
    </comment>
    <comment ref="BE2" authorId="0" shapeId="0">
      <text>
        <t>BUILD / DROP. Governs whether the part enters the design table at all.</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0"/>
  </sheetPr>
  <dimension ref="A1:A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34" min="1" max="1"/>
  </cols>
  <sheetData>
    <row r="1" ht="17.25" customHeight="1" s="35">
      <c r="A1" s="36" t="inlineStr">
        <is>
          <t>OMi HYDRAULIC FITTING LIBRARY — MASTER DATA MODEL (Phase 0, v1)</t>
        </is>
      </c>
    </row>
    <row r="2" ht="15" customHeight="1" s="35">
      <c r="A2" s="37" t="inlineStr">
        <is>
          <t>Built 2026-08-04. Single source of truth for SolidWorks design tables, drawing notes, and template auto-fill.</t>
        </is>
      </c>
    </row>
    <row r="3" ht="15" customHeight="1" s="35">
      <c r="A3" s="37" t="n"/>
    </row>
    <row r="4" ht="15" customHeight="1" s="35">
      <c r="A4" s="38" t="inlineStr">
        <is>
          <t>HOW TO READ THIS WORKBOOK</t>
        </is>
      </c>
    </row>
    <row r="5" ht="15" customHeight="1" s="35">
      <c r="A5" s="37" t="inlineStr">
        <is>
          <t>Green text = formula. Do not overwrite; it regenerates from other columns.</t>
        </is>
      </c>
    </row>
    <row r="6" ht="15" customHeight="1" s="35">
      <c r="A6" s="37" t="inlineStr">
        <is>
          <t>Yellow fill = YOU must supply this value. Nothing downstream can ship until these are filled.</t>
        </is>
      </c>
    </row>
    <row r="7" ht="15" customHeight="1" s="35">
      <c r="A7" s="37" t="inlineStr">
        <is>
          <t>Black text = data captured from a cited source. SourceURL on every Parts row says where.</t>
        </is>
      </c>
    </row>
    <row r="8" ht="15" customHeight="1" s="35">
      <c r="A8" s="37" t="inlineStr">
        <is>
          <t>Hover any Parts header cell for its definition and data type.</t>
        </is>
      </c>
    </row>
    <row r="9" ht="15" customHeight="1" s="35">
      <c r="A9" s="37" t="n"/>
    </row>
    <row r="10" ht="15" customHeight="1" s="35">
      <c r="A10" s="38" t="inlineStr">
        <is>
          <t>DataStatus — governs release</t>
        </is>
      </c>
    </row>
    <row r="11" ht="15" customHeight="1" s="35">
      <c r="A11" s="37" t="inlineStr">
        <is>
          <t>VERIFIED  = value read from a cited source AND cross-checked against the governing standard.</t>
        </is>
      </c>
    </row>
    <row r="12" ht="15" customHeight="1" s="35">
      <c r="A12" s="37" t="inlineStr">
        <is>
          <t>ASSUMED   = value inferred. Notes column must say from what. Never ship a drawing from an ASSUMED row.</t>
        </is>
      </c>
    </row>
    <row r="13" ht="15" customHeight="1" s="35">
      <c r="A13" s="37" t="inlineStr">
        <is>
          <t>MISSING   = no source. Blocked.</t>
        </is>
      </c>
    </row>
    <row r="14" ht="15" customHeight="1" s="35">
      <c r="A14" s="37" t="n"/>
    </row>
    <row r="15" ht="15" customHeight="1" s="35">
      <c r="A15" s="38" t="inlineStr">
        <is>
          <t>StdCheck_Result</t>
        </is>
      </c>
    </row>
    <row r="16" ht="15" customHeight="1" s="35">
      <c r="A16" s="37" t="inlineStr">
        <is>
          <t>MATCH        = source value equals the standard.</t>
        </is>
      </c>
    </row>
    <row r="17" ht="15" customHeight="1" s="35">
      <c r="A17" s="37" t="inlineStr">
        <is>
          <t>DIVERGENT    = source disagrees with the standard. STOP and decide which governs before modeling.</t>
        </is>
      </c>
    </row>
    <row r="18" ht="15" customHeight="1" s="35">
      <c r="A18" s="37" t="inlineStr">
        <is>
          <t>UNVERIFIABLE = the governing standard is paywalled or silent on this dimension.</t>
        </is>
      </c>
    </row>
    <row r="19" ht="15" customHeight="1" s="35">
      <c r="A19" s="37" t="inlineStr">
        <is>
          <t>N-A          = no standard governs this value.</t>
        </is>
      </c>
    </row>
    <row r="20" ht="15" customHeight="1" s="35">
      <c r="A20" s="37" t="n"/>
    </row>
    <row r="21" ht="15" customHeight="1" s="35">
      <c r="A21" s="38" t="inlineStr">
        <is>
          <t>THE GEOMETRYROOT CONCEPT — the core architectural decision</t>
        </is>
      </c>
    </row>
    <row r="22" ht="15" customHeight="1" s="35">
      <c r="A22" s="37" t="inlineStr">
        <is>
          <t>The 410 Air-Way series collapse to 172 distinct geometry roots. 99 roots appear in 2+ material lines,</t>
        </is>
      </c>
    </row>
    <row r="23" ht="15" customHeight="1" s="35">
      <c r="A23" s="37" t="inlineStr">
        <is>
          <t>covering 322 of the 410 series. Example: root 2404 appears 8 times (JIC 2404, SS2404, F2404, FF2404,</t>
        </is>
      </c>
    </row>
    <row r="24" ht="15" customHeight="1" s="35">
      <c r="A24" s="37" t="inlineStr">
        <is>
          <t>Brass 2404-SBC, M6405 …) — all one topology, differing only in material, seal and thread callouts.</t>
        </is>
      </c>
    </row>
    <row r="25" ht="15" customHeight="1" s="35">
      <c r="A25" s="37" t="inlineStr">
        <is>
          <t>Therefore: ONE master model per GeometryRoot, not per series. ~172 masters, not 410.</t>
        </is>
      </c>
    </row>
    <row r="26" ht="15" customHeight="1" s="35">
      <c r="A26" s="37" t="inlineStr">
        <is>
          <t>Material line and end thread standard become CONFIGURATION dimensions in the Parts sheet.</t>
        </is>
      </c>
    </row>
    <row r="27" ht="15" customHeight="1" s="35">
      <c r="A27" s="37" t="n"/>
    </row>
    <row r="28" ht="15" customHeight="1" s="35">
      <c r="A28" s="38" t="inlineStr">
        <is>
          <t>SHEETS</t>
        </is>
      </c>
    </row>
    <row r="29" ht="15" customHeight="1" s="35">
      <c r="A29" s="37" t="inlineStr">
        <is>
          <t>Parts          One row per orderable part. Drives everything downstream. 2404 fully populated (51 rows).</t>
        </is>
      </c>
    </row>
    <row r="30" ht="15" customHeight="1" s="35">
      <c r="A30" s="37" t="inlineStr">
        <is>
          <t>Series         All 410 Air-Way series with the GeometryRoot key. The build backlog.</t>
        </is>
      </c>
    </row>
    <row r="31" ht="15" customHeight="1" s="35">
      <c r="A31" s="37" t="inlineStr">
        <is>
          <t>DashSizes      JIC 37 deg dash/tube-OD/thread lookup, cross-verified against two sources.</t>
        </is>
      </c>
    </row>
    <row r="32" ht="15" customHeight="1" s="35">
      <c r="A32" s="37" t="inlineStr">
        <is>
          <t>PipeThreads    NPTF sizes appearing in the 2404 series.</t>
        </is>
      </c>
    </row>
    <row r="33" ht="15" customHeight="1" s="35">
      <c r="A33" s="37" t="inlineStr">
        <is>
          <t>Standards      Register of every standard cited, and what it does and does not govern.</t>
        </is>
      </c>
    </row>
    <row r="34" ht="15" customHeight="1" s="35">
      <c r="A34" s="37" t="inlineStr">
        <is>
          <t>DimensionNaming  The SolidWorks naming convention every master model must follow.</t>
        </is>
      </c>
    </row>
    <row r="35" ht="15" customHeight="1" s="35">
      <c r="A35" s="37" t="inlineStr">
        <is>
          <t>QA_Log         Cross-check results and open questions for this phase.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4" customWidth="1" style="34" min="1" max="1"/>
    <col width="14" customWidth="1" style="34" min="2" max="2"/>
    <col width="12" customWidth="1" style="34" min="3" max="3"/>
  </cols>
  <sheetData>
    <row r="1" ht="17.25" customHeight="1" s="35">
      <c r="A1" s="36" t="inlineStr">
        <is>
          <t>CARBON STEEL — THE ACTUAL PROJECT SCOPE</t>
        </is>
      </c>
    </row>
    <row r="2" ht="15" customHeight="1" s="35">
      <c r="A2" s="34" t="inlineStr">
        <is>
          <t>Source: omindustrial.com collection product counts (authoritative — this is OMi's own catalog).</t>
        </is>
      </c>
    </row>
    <row r="3" ht="15" customHeight="1" s="35">
      <c r="A3" s="34" t="inlineStr">
        <is>
          <t>Supersedes the Air-Way-derived scope. Brass, Stainless, International/Metric, Hose, Crimp,</t>
        </is>
      </c>
    </row>
    <row r="4" ht="15" customHeight="1" s="35">
      <c r="A4" s="34" t="inlineStr">
        <is>
          <t>Live Swivels and Kits are OUT OF SCOPE.</t>
        </is>
      </c>
    </row>
    <row r="5" ht="15" customHeight="1" s="35">
      <c r="A5" s="39" t="n"/>
      <c r="B5" s="39" t="n"/>
      <c r="C5" s="39" t="n"/>
    </row>
    <row r="6" ht="15" customHeight="1" s="35">
      <c r="A6" s="34" t="inlineStr">
        <is>
          <t>Subcategory</t>
        </is>
      </c>
      <c r="B6" s="34" t="inlineStr">
        <is>
          <t>Parts</t>
        </is>
      </c>
      <c r="C6" s="34" t="inlineStr">
        <is>
          <t>SKU roots</t>
        </is>
      </c>
    </row>
    <row r="7" ht="15" customHeight="1" s="35">
      <c r="A7" s="34" t="inlineStr">
        <is>
          <t>Carbon Steel &gt; Tube Fittings &amp; Adapters</t>
        </is>
      </c>
      <c r="B7" s="34" t="n">
        <v>1672</v>
      </c>
      <c r="C7" s="34" t="n">
        <v>126</v>
      </c>
    </row>
    <row r="8" ht="15" customHeight="1" s="35">
      <c r="A8" s="34" t="inlineStr">
        <is>
          <t>Carbon Steel &gt; O-Ring Face Seal (ORFS)</t>
        </is>
      </c>
      <c r="B8" s="34" t="n">
        <v>385</v>
      </c>
      <c r="C8" s="34" t="n">
        <v>47</v>
      </c>
    </row>
    <row r="9" ht="15" customHeight="1" s="35">
      <c r="A9" s="34" t="inlineStr">
        <is>
          <t>Carbon Steel &gt; Compression</t>
        </is>
      </c>
      <c r="B9" s="34" t="n">
        <v>230</v>
      </c>
      <c r="C9" s="34" t="n">
        <v>11</v>
      </c>
    </row>
    <row r="10" ht="15" customHeight="1" s="35">
      <c r="A10" s="34" t="inlineStr">
        <is>
          <t>Carbon Steel &gt; Flange Adapters &amp; Accessories</t>
        </is>
      </c>
      <c r="B10" s="34" t="n">
        <v>163</v>
      </c>
      <c r="C10" s="34" t="n">
        <v>13</v>
      </c>
    </row>
    <row r="11" ht="15" customHeight="1" s="35">
      <c r="A11" s="34" t="inlineStr">
        <is>
          <t>Carbon Steel &gt; Braze &amp; Beaded Hose</t>
        </is>
      </c>
      <c r="B11" s="34" t="n">
        <v>73</v>
      </c>
      <c r="C11" s="34" t="n">
        <v>7</v>
      </c>
    </row>
    <row r="12" ht="15" customHeight="1" s="35">
      <c r="A12" s="34" t="inlineStr">
        <is>
          <t>Carbon Steel &gt; Test Gauge</t>
        </is>
      </c>
      <c r="B12" s="34" t="n">
        <v>12</v>
      </c>
      <c r="C12" s="34" t="n">
        <v>2</v>
      </c>
    </row>
    <row r="13" ht="15" customHeight="1" s="35">
      <c r="A13" s="38" t="inlineStr">
        <is>
          <t>TOTAL</t>
        </is>
      </c>
      <c r="B13" s="38" t="n">
        <v>2535</v>
      </c>
      <c r="C13" s="38" t="n">
        <v>206</v>
      </c>
    </row>
    <row r="15" ht="15" customHeight="1" s="35">
      <c r="A15" s="38" t="inlineStr">
        <is>
          <t>Distinct geometry topologies (master models to build)</t>
        </is>
      </c>
      <c r="B15" s="34" t="n">
        <v>126</v>
      </c>
    </row>
    <row r="16" ht="15" customHeight="1" s="35">
      <c r="A16" s="34" t="inlineStr">
        <is>
          <t>Average parts per master</t>
        </is>
      </c>
      <c r="B16" s="34" t="n">
        <v>20.1</v>
      </c>
    </row>
    <row r="17" ht="15" customHeight="1" s="35">
      <c r="A17" s="34" t="inlineStr">
        <is>
          <t>Previous Air-Way-wide scope (now superseded)</t>
        </is>
      </c>
      <c r="B17" s="34" t="inlineStr">
        <is>
          <t>410 series / 5,272 parts / 173 masters</t>
        </is>
      </c>
    </row>
    <row r="19" ht="15" customHeight="1" s="35">
      <c r="A19" s="38" t="inlineStr">
        <is>
          <t>SKU ENUMERATION STATUS</t>
        </is>
      </c>
    </row>
    <row r="20" ht="15" customHeight="1" s="35">
      <c r="A20" s="34" t="inlineStr">
        <is>
          <t>863 of 863 SKUs captured exactly for the five smaller subcategories (each matched its published count).</t>
        </is>
      </c>
    </row>
    <row r="21" ht="15" customHeight="1" s="35">
      <c r="A21" s="34" t="inlineStr">
        <is>
          <t>~1,596 of 1,672 captured for Tube Fittings &amp; Adapters (95%). The JSON feed drops 1-5 records per page</t>
        </is>
      </c>
    </row>
    <row r="22" ht="15" customHeight="1" s="35">
      <c r="A22" s="34" t="inlineStr">
        <is>
          <t>deterministically through the fetch layer. Roots and counts are unaffected; the residual ~76 SKUs are</t>
        </is>
      </c>
    </row>
    <row r="23" ht="15" customHeight="1" s="35">
      <c r="A23" s="40" t="inlineStr">
        <is>
          <t>individual size variants within roots already identified. Flagged rather than silently completed.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H293"/>
  <sheetViews>
    <sheetView showFormulas="0" showGridLines="1"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22" customWidth="1" style="34" min="1" max="2"/>
    <col width="11" customWidth="1" style="34" min="3" max="3"/>
    <col width="10" customWidth="1" style="34" min="4" max="5"/>
    <col width="42" customWidth="1" style="34" min="6" max="6"/>
    <col width="15" customWidth="1" style="34" min="7" max="8"/>
    <col width="10" customWidth="1" style="34" min="9" max="9"/>
    <col width="15" customWidth="1" style="34" min="10" max="11"/>
    <col width="8" customWidth="1" style="34" min="12" max="19"/>
    <col width="7" customWidth="1" style="34" min="20" max="20"/>
    <col width="12" customWidth="1" style="34" min="21" max="21"/>
    <col width="34" customWidth="1" style="34" min="22" max="22"/>
    <col width="12" customWidth="1" style="34" min="23" max="23"/>
    <col width="60" customWidth="1" style="34" min="24" max="24"/>
    <col width="18" customWidth="1" style="34" min="26" max="34"/>
  </cols>
  <sheetData>
    <row r="1" ht="15" customHeight="1" s="35">
      <c r="A1" s="41" t="inlineStr">
        <is>
          <t>IDENTITY</t>
        </is>
      </c>
      <c r="G1" s="41" t="inlineStr">
        <is>
          <t>ENDS</t>
        </is>
      </c>
      <c r="L1" s="41" t="inlineStr">
        <is>
          <t>GENERIC DIMENSION SLOTS</t>
        </is>
      </c>
      <c r="V1" s="41" t="inlineStr">
        <is>
          <t>QA</t>
        </is>
      </c>
      <c r="Z1" s="42" t="inlineStr">
        <is>
          <t>SPEC VALUES FROM INDUSTRY STANDARDS</t>
        </is>
      </c>
    </row>
    <row r="2" ht="39.75" customHeight="1" s="35">
      <c r="A2" s="43" t="inlineStr">
        <is>
          <t>PartNumber_OMi</t>
        </is>
      </c>
      <c r="B2" s="43" t="inlineStr">
        <is>
          <t>PartNumber_AirWay</t>
        </is>
      </c>
      <c r="C2" s="43" t="inlineStr">
        <is>
          <t>Topology</t>
        </is>
      </c>
      <c r="D2" s="43" t="inlineStr">
        <is>
          <t>SeriesID_AirWay</t>
        </is>
      </c>
      <c r="E2" s="43" t="inlineStr">
        <is>
          <t>Shape</t>
        </is>
      </c>
      <c r="F2" s="43" t="inlineStr">
        <is>
          <t>Description</t>
        </is>
      </c>
      <c r="G2" s="43" t="inlineStr">
        <is>
          <t>EndA_Thread</t>
        </is>
      </c>
      <c r="H2" s="43" t="inlineStr">
        <is>
          <t>EndB_Thread</t>
        </is>
      </c>
      <c r="I2" s="43" t="inlineStr">
        <is>
          <t>TubeOD_Frac</t>
        </is>
      </c>
      <c r="J2" s="43" t="inlineStr">
        <is>
          <t>EndA_Std</t>
        </is>
      </c>
      <c r="K2" s="43" t="inlineStr">
        <is>
          <t>EndB_Std</t>
        </is>
      </c>
      <c r="L2" s="43" t="inlineStr">
        <is>
          <t>D1</t>
        </is>
      </c>
      <c r="M2" s="43" t="inlineStr">
        <is>
          <t>D2</t>
        </is>
      </c>
      <c r="N2" s="43" t="inlineStr">
        <is>
          <t>D3</t>
        </is>
      </c>
      <c r="O2" s="43" t="inlineStr">
        <is>
          <t>D4</t>
        </is>
      </c>
      <c r="P2" s="43" t="inlineStr">
        <is>
          <t>D5</t>
        </is>
      </c>
      <c r="Q2" s="43" t="inlineStr">
        <is>
          <t>D6</t>
        </is>
      </c>
      <c r="R2" s="43" t="inlineStr">
        <is>
          <t>HEXA</t>
        </is>
      </c>
      <c r="S2" s="43" t="inlineStr">
        <is>
          <t>HEXB</t>
        </is>
      </c>
      <c r="T2" s="43" t="inlineStr">
        <is>
          <t>BEND</t>
        </is>
      </c>
      <c r="U2" s="43" t="inlineStr">
        <is>
          <t>DataStatus</t>
        </is>
      </c>
      <c r="V2" s="43" t="inlineStr">
        <is>
          <t>StdCheck_Result</t>
        </is>
      </c>
      <c r="W2" s="43" t="inlineStr">
        <is>
          <t>ScopeAction</t>
        </is>
      </c>
      <c r="X2" s="43" t="inlineStr">
        <is>
          <t>Notes</t>
        </is>
      </c>
      <c r="Z2" s="43" t="inlineStr">
        <is>
          <t>Material</t>
        </is>
      </c>
      <c r="AA2" s="43" t="inlineStr">
        <is>
          <t>MaterialSpec</t>
        </is>
      </c>
      <c r="AB2" s="43" t="inlineStr">
        <is>
          <t>Finish</t>
        </is>
      </c>
      <c r="AC2" s="43" t="inlineStr">
        <is>
          <t>FinishSpec</t>
        </is>
      </c>
      <c r="AD2" s="43" t="inlineStr">
        <is>
          <t>PressureRating</t>
        </is>
      </c>
      <c r="AE2" s="43" t="inlineStr">
        <is>
          <t>PressureBasis</t>
        </is>
      </c>
      <c r="AF2" s="43" t="inlineStr">
        <is>
          <t>TempMin_F</t>
        </is>
      </c>
      <c r="AG2" s="43" t="inlineStr">
        <is>
          <t>TempMax_F</t>
        </is>
      </c>
      <c r="AH2" s="43" t="inlineStr">
        <is>
          <t>SpecSource</t>
        </is>
      </c>
    </row>
    <row r="3" ht="15" customHeight="1" s="35">
      <c r="A3" s="37" t="inlineStr">
        <is>
          <t>6400-02-02-O</t>
        </is>
      </c>
      <c r="B3" s="37" t="inlineStr">
        <is>
          <t>6400-2-2-O</t>
        </is>
      </c>
      <c r="C3" s="37" t="inlineStr">
        <is>
          <t>6400</t>
        </is>
      </c>
      <c r="D3" s="37" t="n">
        <v>89</v>
      </c>
      <c r="E3" s="37" t="inlineStr">
        <is>
          <t>Straight</t>
        </is>
      </c>
      <c r="F3" s="37" t="inlineStr">
        <is>
          <t>Straight Thread Connector, 5/16-24 x 5/16-24</t>
        </is>
      </c>
      <c r="G3" s="37" t="inlineStr">
        <is>
          <t>5/16-24</t>
        </is>
      </c>
      <c r="H3" s="37" t="inlineStr">
        <is>
          <t>5/16-24</t>
        </is>
      </c>
      <c r="I3" s="37" t="n"/>
      <c r="J3" s="37" t="inlineStr">
        <is>
          <t>SAE J1926-3</t>
        </is>
      </c>
      <c r="K3" s="37" t="inlineStr">
        <is>
          <t>SAE J514-1</t>
        </is>
      </c>
      <c r="L3" s="37" t="n">
        <v>1.06</v>
      </c>
      <c r="M3" s="37" t="n">
        <v>0.44</v>
      </c>
      <c r="N3" s="37" t="n">
        <v>0.06</v>
      </c>
      <c r="O3" s="37" t="n">
        <v>0.06</v>
      </c>
      <c r="P3" s="37" t="n"/>
      <c r="Q3" s="37" t="n"/>
      <c r="R3" s="44" t="n"/>
      <c r="S3" s="45" t="n">
        <v>0.44</v>
      </c>
      <c r="T3" s="37" t="n">
        <v>0</v>
      </c>
      <c r="U3" s="37" t="inlineStr">
        <is>
          <t>VERIFIED</t>
        </is>
      </c>
      <c r="V3" s="37" t="inlineStr">
        <is>
          <t>MATCH (source cited: SAE J514-1 070120 / MS51525 / MS39324)</t>
        </is>
      </c>
      <c r="W3" s="37" t="inlineStr">
        <is>
          <t>BUILD</t>
        </is>
      </c>
      <c r="X3" s="37" t="inlineStr">
        <is>
          <t>Hex = Air-Way C4 column, CONFIRMED vs PressureConnections/Purvis.</t>
        </is>
      </c>
      <c r="Z3" s="45" t="inlineStr">
        <is>
          <t>Carbon Steel</t>
        </is>
      </c>
      <c r="AA3" s="45" t="inlineStr">
        <is>
          <t>ASTM A108 12L14</t>
        </is>
      </c>
      <c r="AB3" s="45" t="inlineStr">
        <is>
          <t>Trivalent Cr3 Zinc</t>
        </is>
      </c>
      <c r="AC3" s="45" t="inlineStr">
        <is>
          <t>ASTM B633 Type V/VI</t>
        </is>
      </c>
      <c r="AD3" s="46" t="n">
        <v>5000</v>
      </c>
      <c r="AE3" s="46" t="inlineStr">
        <is>
          <t>generic SAE table @ dash -2 (governing end)</t>
        </is>
      </c>
      <c r="AF3" s="46" t="n">
        <v>-65</v>
      </c>
      <c r="AG3" s="46" t="n">
        <v>400</v>
      </c>
      <c r="AH3" s="37" t="inlineStr">
        <is>
          <t>Ham-Let + hoseandfittings (pressure); Parker Cat.4300 (material); ASTM B633 (finish); see StandardsData</t>
        </is>
      </c>
    </row>
    <row r="4" ht="15" customHeight="1" s="35">
      <c r="A4" s="37" t="inlineStr">
        <is>
          <t>6400-03-03-O</t>
        </is>
      </c>
      <c r="B4" s="37" t="inlineStr">
        <is>
          <t>6400-3-3-O</t>
        </is>
      </c>
      <c r="C4" s="37" t="inlineStr">
        <is>
          <t>6400</t>
        </is>
      </c>
      <c r="D4" s="37" t="n">
        <v>89</v>
      </c>
      <c r="E4" s="37" t="inlineStr">
        <is>
          <t>Straight</t>
        </is>
      </c>
      <c r="F4" s="37" t="inlineStr">
        <is>
          <t>Straight Thread Connector, 3/8-24 x 3/8-24</t>
        </is>
      </c>
      <c r="G4" s="37" t="inlineStr">
        <is>
          <t>3/8-24</t>
        </is>
      </c>
      <c r="H4" s="37" t="inlineStr">
        <is>
          <t>3/8-24</t>
        </is>
      </c>
      <c r="I4" s="37" t="n"/>
      <c r="J4" s="37" t="inlineStr">
        <is>
          <t>SAE J1926-3</t>
        </is>
      </c>
      <c r="K4" s="37" t="inlineStr">
        <is>
          <t>SAE J514-1</t>
        </is>
      </c>
      <c r="L4" s="37" t="n">
        <v>1.1</v>
      </c>
      <c r="M4" s="37" t="n">
        <v>0.5</v>
      </c>
      <c r="N4" s="37" t="n">
        <v>0.13</v>
      </c>
      <c r="O4" s="37" t="n">
        <v>0.13</v>
      </c>
      <c r="P4" s="37" t="n"/>
      <c r="Q4" s="37" t="n"/>
      <c r="R4" s="44" t="n"/>
      <c r="S4" s="44" t="n">
        <v>0.5</v>
      </c>
      <c r="T4" s="37" t="n">
        <v>0</v>
      </c>
      <c r="U4" s="37" t="inlineStr">
        <is>
          <t>ASSUMED</t>
        </is>
      </c>
      <c r="V4" s="37" t="inlineStr">
        <is>
          <t>MATCH (source cited: SAE J514-1 070120 / MS51525 / MS39324)</t>
        </is>
      </c>
      <c r="W4" s="37" t="inlineStr">
        <is>
          <t>BUILD</t>
        </is>
      </c>
      <c r="X4" s="37" t="inlineStr">
        <is>
          <t>Hex = Air-Way C4 column (per-part). Matched sizes in this topology corroborate the column.</t>
        </is>
      </c>
      <c r="Z4" s="45" t="inlineStr">
        <is>
          <t>Carbon Steel</t>
        </is>
      </c>
      <c r="AA4" s="45" t="inlineStr">
        <is>
          <t>ASTM A108 12L14</t>
        </is>
      </c>
      <c r="AB4" s="45" t="inlineStr">
        <is>
          <t>Trivalent Cr3 Zinc</t>
        </is>
      </c>
      <c r="AC4" s="45" t="inlineStr">
        <is>
          <t>ASTM B633 Type V/VI</t>
        </is>
      </c>
      <c r="AD4" s="46" t="n">
        <v>5000</v>
      </c>
      <c r="AE4" s="46" t="inlineStr">
        <is>
          <t>generic SAE table @ dash -3 (governing end)</t>
        </is>
      </c>
      <c r="AF4" s="46" t="n">
        <v>-65</v>
      </c>
      <c r="AG4" s="46" t="n">
        <v>400</v>
      </c>
      <c r="AH4" s="37" t="inlineStr">
        <is>
          <t>Ham-Let + hoseandfittings (pressure); Parker Cat.4300 (material); ASTM B633 (finish); see StandardsData</t>
        </is>
      </c>
    </row>
    <row r="5" ht="15" customHeight="1" s="35">
      <c r="A5" s="37" t="inlineStr">
        <is>
          <t>6400-04-02-O</t>
        </is>
      </c>
      <c r="B5" s="37" t="inlineStr">
        <is>
          <t>6400-4-2-O</t>
        </is>
      </c>
      <c r="C5" s="37" t="inlineStr">
        <is>
          <t>6400</t>
        </is>
      </c>
      <c r="D5" s="37" t="n">
        <v>89</v>
      </c>
      <c r="E5" s="37" t="inlineStr">
        <is>
          <t>Straight</t>
        </is>
      </c>
      <c r="F5" s="37" t="inlineStr">
        <is>
          <t>Straight Thread Connector, 7/16-20 x 5/16-24</t>
        </is>
      </c>
      <c r="G5" s="37" t="inlineStr">
        <is>
          <t>5/16-24</t>
        </is>
      </c>
      <c r="H5" s="37" t="inlineStr">
        <is>
          <t>7/16-20</t>
        </is>
      </c>
      <c r="I5" s="37" t="n"/>
      <c r="J5" s="37" t="inlineStr">
        <is>
          <t>SAE J1926-3</t>
        </is>
      </c>
      <c r="K5" s="37" t="inlineStr">
        <is>
          <t>SAE J514-1</t>
        </is>
      </c>
      <c r="L5" s="37" t="n">
        <v>1.17</v>
      </c>
      <c r="M5" s="37" t="n">
        <v>0.5</v>
      </c>
      <c r="N5" s="37" t="n">
        <v>0.17</v>
      </c>
      <c r="O5" s="37" t="n">
        <v>0.06</v>
      </c>
      <c r="P5" s="37" t="n"/>
      <c r="Q5" s="37" t="n"/>
      <c r="R5" s="44" t="n"/>
      <c r="S5" s="44" t="n">
        <v>0.5</v>
      </c>
      <c r="T5" s="37" t="n">
        <v>0</v>
      </c>
      <c r="U5" s="37" t="inlineStr">
        <is>
          <t>ASSUMED</t>
        </is>
      </c>
      <c r="V5" s="37" t="inlineStr">
        <is>
          <t>MATCH (source cited: SAE J514-1 070120 / MS51525 / MS39324)</t>
        </is>
      </c>
      <c r="W5" s="37" t="inlineStr">
        <is>
          <t>BUILD</t>
        </is>
      </c>
      <c r="X5" s="37" t="inlineStr">
        <is>
          <t>Hex = Air-Way C4 column (per-part). Matched sizes in this topology corroborate the column.</t>
        </is>
      </c>
      <c r="Z5" s="45" t="inlineStr">
        <is>
          <t>Carbon Steel</t>
        </is>
      </c>
      <c r="AA5" s="45" t="inlineStr">
        <is>
          <t>ASTM A108 12L14</t>
        </is>
      </c>
      <c r="AB5" s="45" t="inlineStr">
        <is>
          <t>Trivalent Cr3 Zinc</t>
        </is>
      </c>
      <c r="AC5" s="45" t="inlineStr">
        <is>
          <t>ASTM B633 Type V/VI</t>
        </is>
      </c>
      <c r="AD5" s="46" t="n">
        <v>5000</v>
      </c>
      <c r="AE5" s="46" t="inlineStr">
        <is>
          <t>generic SAE table @ dash -4 (governing end)</t>
        </is>
      </c>
      <c r="AF5" s="46" t="n">
        <v>-65</v>
      </c>
      <c r="AG5" s="46" t="n">
        <v>400</v>
      </c>
      <c r="AH5" s="37" t="inlineStr">
        <is>
          <t>Ham-Let + hoseandfittings (pressure); Parker Cat.4300 (material); ASTM B633 (finish); see StandardsData</t>
        </is>
      </c>
    </row>
    <row r="6" ht="15" customHeight="1" s="35">
      <c r="A6" s="37" t="inlineStr">
        <is>
          <t>6400-04-03-O</t>
        </is>
      </c>
      <c r="B6" s="37" t="inlineStr">
        <is>
          <t>6400-4-3-O</t>
        </is>
      </c>
      <c r="C6" s="37" t="inlineStr">
        <is>
          <t>6400</t>
        </is>
      </c>
      <c r="D6" s="37" t="n">
        <v>89</v>
      </c>
      <c r="E6" s="37" t="inlineStr">
        <is>
          <t>Straight</t>
        </is>
      </c>
      <c r="F6" s="37" t="inlineStr">
        <is>
          <t>Straight Thread Connector, 7/16-20 x 3/8-24</t>
        </is>
      </c>
      <c r="G6" s="37" t="inlineStr">
        <is>
          <t>3/8-24</t>
        </is>
      </c>
      <c r="H6" s="37" t="inlineStr">
        <is>
          <t>7/16-20</t>
        </is>
      </c>
      <c r="I6" s="37" t="n"/>
      <c r="J6" s="37" t="inlineStr">
        <is>
          <t>SAE J1926-3</t>
        </is>
      </c>
      <c r="K6" s="37" t="inlineStr">
        <is>
          <t>SAE J514-1</t>
        </is>
      </c>
      <c r="L6" s="37" t="n">
        <v>1.17</v>
      </c>
      <c r="M6" s="37" t="n">
        <v>0.5</v>
      </c>
      <c r="N6" s="37" t="n">
        <v>0.17</v>
      </c>
      <c r="O6" s="37" t="n">
        <v>0.13</v>
      </c>
      <c r="P6" s="37" t="n"/>
      <c r="Q6" s="37" t="n"/>
      <c r="R6" s="44" t="n"/>
      <c r="S6" s="44" t="n">
        <v>0.5</v>
      </c>
      <c r="T6" s="37" t="n">
        <v>0</v>
      </c>
      <c r="U6" s="37" t="inlineStr">
        <is>
          <t>ASSUMED</t>
        </is>
      </c>
      <c r="V6" s="37" t="inlineStr">
        <is>
          <t>MATCH (source cited: SAE J514-1 070120 / MS51525 / MS39324)</t>
        </is>
      </c>
      <c r="W6" s="37" t="inlineStr">
        <is>
          <t>BUILD</t>
        </is>
      </c>
      <c r="X6" s="37" t="inlineStr">
        <is>
          <t>Hex = Air-Way C4 column (per-part). Matched sizes in this topology corroborate the column.</t>
        </is>
      </c>
      <c r="Z6" s="45" t="inlineStr">
        <is>
          <t>Carbon Steel</t>
        </is>
      </c>
      <c r="AA6" s="45" t="inlineStr">
        <is>
          <t>ASTM A108 12L14</t>
        </is>
      </c>
      <c r="AB6" s="45" t="inlineStr">
        <is>
          <t>Trivalent Cr3 Zinc</t>
        </is>
      </c>
      <c r="AC6" s="45" t="inlineStr">
        <is>
          <t>ASTM B633 Type V/VI</t>
        </is>
      </c>
      <c r="AD6" s="46" t="n">
        <v>5000</v>
      </c>
      <c r="AE6" s="46" t="inlineStr">
        <is>
          <t>generic SAE table @ dash -4 (governing end)</t>
        </is>
      </c>
      <c r="AF6" s="46" t="n">
        <v>-65</v>
      </c>
      <c r="AG6" s="46" t="n">
        <v>400</v>
      </c>
      <c r="AH6" s="37" t="inlineStr">
        <is>
          <t>Ham-Let + hoseandfittings (pressure); Parker Cat.4300 (material); ASTM B633 (finish); see StandardsData</t>
        </is>
      </c>
    </row>
    <row r="7" ht="15" customHeight="1" s="35">
      <c r="A7" s="37" t="inlineStr">
        <is>
          <t>6400-04-04-O</t>
        </is>
      </c>
      <c r="B7" s="37" t="inlineStr">
        <is>
          <t>6400-4-4-O</t>
        </is>
      </c>
      <c r="C7" s="37" t="inlineStr">
        <is>
          <t>6400</t>
        </is>
      </c>
      <c r="D7" s="37" t="n">
        <v>89</v>
      </c>
      <c r="E7" s="37" t="inlineStr">
        <is>
          <t>Straight</t>
        </is>
      </c>
      <c r="F7" s="37" t="inlineStr">
        <is>
          <t>Straight Thread Connector, 7/16-20 x 7/16-20</t>
        </is>
      </c>
      <c r="G7" s="37" t="inlineStr">
        <is>
          <t>7/16-20</t>
        </is>
      </c>
      <c r="H7" s="37" t="inlineStr">
        <is>
          <t>7/16-20</t>
        </is>
      </c>
      <c r="I7" s="37" t="n"/>
      <c r="J7" s="37" t="inlineStr">
        <is>
          <t>SAE J1926-3</t>
        </is>
      </c>
      <c r="K7" s="37" t="inlineStr">
        <is>
          <t>SAE J514-1</t>
        </is>
      </c>
      <c r="L7" s="37" t="n">
        <v>1.23</v>
      </c>
      <c r="M7" s="37" t="n">
        <v>0.5600000000000001</v>
      </c>
      <c r="N7" s="37" t="n">
        <v>0.17</v>
      </c>
      <c r="O7" s="37" t="n">
        <v>0.17</v>
      </c>
      <c r="P7" s="37" t="n"/>
      <c r="Q7" s="37" t="n"/>
      <c r="R7" s="44" t="n"/>
      <c r="S7" s="45" t="n">
        <v>0.5600000000000001</v>
      </c>
      <c r="T7" s="37" t="n">
        <v>0</v>
      </c>
      <c r="U7" s="37" t="inlineStr">
        <is>
          <t>VERIFIED</t>
        </is>
      </c>
      <c r="V7" s="37" t="inlineStr">
        <is>
          <t>MATCH (source cited: SAE J514-1 070120 / MS51525 / MS39324)</t>
        </is>
      </c>
      <c r="W7" s="37" t="inlineStr">
        <is>
          <t>BUILD</t>
        </is>
      </c>
      <c r="X7" s="37" t="inlineStr">
        <is>
          <t>Hex = Air-Way C4 column, CONFIRMED vs PressureConnections/Purvis.</t>
        </is>
      </c>
      <c r="Z7" s="45" t="inlineStr">
        <is>
          <t>Carbon Steel</t>
        </is>
      </c>
      <c r="AA7" s="45" t="inlineStr">
        <is>
          <t>ASTM A108 12L14</t>
        </is>
      </c>
      <c r="AB7" s="45" t="inlineStr">
        <is>
          <t>Trivalent Cr3 Zinc</t>
        </is>
      </c>
      <c r="AC7" s="45" t="inlineStr">
        <is>
          <t>ASTM B633 Type V/VI</t>
        </is>
      </c>
      <c r="AD7" s="46" t="n">
        <v>5000</v>
      </c>
      <c r="AE7" s="46" t="inlineStr">
        <is>
          <t>generic SAE table @ dash -4 (governing end)</t>
        </is>
      </c>
      <c r="AF7" s="46" t="n">
        <v>-65</v>
      </c>
      <c r="AG7" s="46" t="n">
        <v>400</v>
      </c>
      <c r="AH7" s="37" t="inlineStr">
        <is>
          <t>Ham-Let + hoseandfittings (pressure); Parker Cat.4300 (material); ASTM B633 (finish); see StandardsData</t>
        </is>
      </c>
    </row>
    <row r="8" ht="15" customHeight="1" s="35">
      <c r="A8" s="37" t="inlineStr">
        <is>
          <t>6400-04-05-O</t>
        </is>
      </c>
      <c r="B8" s="37" t="inlineStr">
        <is>
          <t>6400-4-5-O</t>
        </is>
      </c>
      <c r="C8" s="37" t="inlineStr">
        <is>
          <t>6400</t>
        </is>
      </c>
      <c r="D8" s="37" t="n">
        <v>89</v>
      </c>
      <c r="E8" s="37" t="inlineStr">
        <is>
          <t>Straight</t>
        </is>
      </c>
      <c r="F8" s="37" t="inlineStr">
        <is>
          <t>Straight Thread Connector, 7/16-20 x 1/2-20</t>
        </is>
      </c>
      <c r="G8" s="37" t="inlineStr">
        <is>
          <t>1/2-20</t>
        </is>
      </c>
      <c r="H8" s="37" t="inlineStr">
        <is>
          <t>7/16-20</t>
        </is>
      </c>
      <c r="I8" s="37" t="n"/>
      <c r="J8" s="37" t="inlineStr">
        <is>
          <t>SAE J1926-3</t>
        </is>
      </c>
      <c r="K8" s="37" t="inlineStr">
        <is>
          <t>SAE J514-1</t>
        </is>
      </c>
      <c r="L8" s="37" t="n">
        <v>1.23</v>
      </c>
      <c r="M8" s="37" t="n">
        <v>0.63</v>
      </c>
      <c r="N8" s="37" t="n">
        <v>0.17</v>
      </c>
      <c r="O8" s="37" t="n">
        <v>0.23</v>
      </c>
      <c r="P8" s="37" t="n"/>
      <c r="Q8" s="37" t="n"/>
      <c r="R8" s="44" t="n"/>
      <c r="S8" s="44" t="n">
        <v>0.63</v>
      </c>
      <c r="T8" s="37" t="n">
        <v>0</v>
      </c>
      <c r="U8" s="37" t="inlineStr">
        <is>
          <t>ASSUMED</t>
        </is>
      </c>
      <c r="V8" s="37" t="inlineStr">
        <is>
          <t>MATCH (source cited: SAE J514-1 070120 / MS51525 / MS39324)</t>
        </is>
      </c>
      <c r="W8" s="37" t="inlineStr">
        <is>
          <t>BUILD</t>
        </is>
      </c>
      <c r="X8" s="37" t="inlineStr">
        <is>
          <t>Hex = Air-Way C4 column (per-part). Matched sizes in this topology corroborate the column.</t>
        </is>
      </c>
      <c r="Z8" s="45" t="inlineStr">
        <is>
          <t>Carbon Steel</t>
        </is>
      </c>
      <c r="AA8" s="45" t="inlineStr">
        <is>
          <t>ASTM A108 12L14</t>
        </is>
      </c>
      <c r="AB8" s="45" t="inlineStr">
        <is>
          <t>Trivalent Cr3 Zinc</t>
        </is>
      </c>
      <c r="AC8" s="45" t="inlineStr">
        <is>
          <t>ASTM B633 Type V/VI</t>
        </is>
      </c>
      <c r="AD8" s="46" t="n">
        <v>5000</v>
      </c>
      <c r="AE8" s="46" t="inlineStr">
        <is>
          <t>generic SAE table @ dash -5 (governing end)</t>
        </is>
      </c>
      <c r="AF8" s="46" t="n">
        <v>-65</v>
      </c>
      <c r="AG8" s="46" t="n">
        <v>400</v>
      </c>
      <c r="AH8" s="37" t="inlineStr">
        <is>
          <t>Ham-Let + hoseandfittings (pressure); Parker Cat.4300 (material); ASTM B633 (finish); see StandardsData</t>
        </is>
      </c>
    </row>
    <row r="9" ht="15" customHeight="1" s="35">
      <c r="A9" s="37" t="inlineStr">
        <is>
          <t>6400-04-06-O</t>
        </is>
      </c>
      <c r="B9" s="37" t="inlineStr">
        <is>
          <t>6400-4-6-O</t>
        </is>
      </c>
      <c r="C9" s="37" t="inlineStr">
        <is>
          <t>6400</t>
        </is>
      </c>
      <c r="D9" s="37" t="n">
        <v>89</v>
      </c>
      <c r="E9" s="37" t="inlineStr">
        <is>
          <t>Straight</t>
        </is>
      </c>
      <c r="F9" s="37" t="inlineStr">
        <is>
          <t>Straight Thread Connector, 7/16-20 x 9/16-18</t>
        </is>
      </c>
      <c r="G9" s="37" t="inlineStr">
        <is>
          <t>9/16-18</t>
        </is>
      </c>
      <c r="H9" s="37" t="inlineStr">
        <is>
          <t>7/16-20</t>
        </is>
      </c>
      <c r="I9" s="37" t="n"/>
      <c r="J9" s="37" t="inlineStr">
        <is>
          <t>SAE J1926-3</t>
        </is>
      </c>
      <c r="K9" s="37" t="inlineStr">
        <is>
          <t>SAE J514-1</t>
        </is>
      </c>
      <c r="L9" s="37" t="n">
        <v>1.29</v>
      </c>
      <c r="M9" s="37" t="n">
        <v>0.6899999999999999</v>
      </c>
      <c r="N9" s="37" t="n">
        <v>0.17</v>
      </c>
      <c r="O9" s="37" t="n">
        <v>0.3</v>
      </c>
      <c r="P9" s="37" t="n"/>
      <c r="Q9" s="37" t="n"/>
      <c r="R9" s="44" t="n"/>
      <c r="S9" s="44" t="n">
        <v>0.6899999999999999</v>
      </c>
      <c r="T9" s="37" t="n">
        <v>0</v>
      </c>
      <c r="U9" s="37" t="inlineStr">
        <is>
          <t>ASSUMED</t>
        </is>
      </c>
      <c r="V9" s="37" t="inlineStr">
        <is>
          <t>MATCH (source cited: SAE J514-1 070120 / MS51525 / MS39324)</t>
        </is>
      </c>
      <c r="W9" s="37" t="inlineStr">
        <is>
          <t>BUILD</t>
        </is>
      </c>
      <c r="X9" s="37" t="inlineStr">
        <is>
          <t>Hex = Air-Way C4 column (per-part). Matched sizes in this topology corroborate the column.</t>
        </is>
      </c>
      <c r="Z9" s="45" t="inlineStr">
        <is>
          <t>Carbon Steel</t>
        </is>
      </c>
      <c r="AA9" s="45" t="inlineStr">
        <is>
          <t>ASTM A108 12L14</t>
        </is>
      </c>
      <c r="AB9" s="45" t="inlineStr">
        <is>
          <t>Trivalent Cr3 Zinc</t>
        </is>
      </c>
      <c r="AC9" s="45" t="inlineStr">
        <is>
          <t>ASTM B633 Type V/VI</t>
        </is>
      </c>
      <c r="AD9" s="46" t="n">
        <v>5000</v>
      </c>
      <c r="AE9" s="46" t="inlineStr">
        <is>
          <t>generic SAE table @ dash -6 (governing end)</t>
        </is>
      </c>
      <c r="AF9" s="46" t="n">
        <v>-65</v>
      </c>
      <c r="AG9" s="46" t="n">
        <v>400</v>
      </c>
      <c r="AH9" s="37" t="inlineStr">
        <is>
          <t>Ham-Let + hoseandfittings (pressure); Parker Cat.4300 (material); ASTM B633 (finish); see StandardsData</t>
        </is>
      </c>
    </row>
    <row r="10" ht="15" customHeight="1" s="35">
      <c r="A10" s="37" t="inlineStr">
        <is>
          <t>6400-04-08-O</t>
        </is>
      </c>
      <c r="B10" s="37" t="inlineStr">
        <is>
          <t>6400-4-8-O</t>
        </is>
      </c>
      <c r="C10" s="37" t="inlineStr">
        <is>
          <t>6400</t>
        </is>
      </c>
      <c r="D10" s="37" t="n">
        <v>89</v>
      </c>
      <c r="E10" s="37" t="inlineStr">
        <is>
          <t>Straight</t>
        </is>
      </c>
      <c r="F10" s="37" t="inlineStr">
        <is>
          <t>Straight Thread Connector, 7/16-20 x 3/4-16</t>
        </is>
      </c>
      <c r="G10" s="37" t="inlineStr">
        <is>
          <t>3/4-16</t>
        </is>
      </c>
      <c r="H10" s="37" t="inlineStr">
        <is>
          <t>7/16-20</t>
        </is>
      </c>
      <c r="I10" s="37" t="n"/>
      <c r="J10" s="37" t="inlineStr">
        <is>
          <t>SAE J1926-3</t>
        </is>
      </c>
      <c r="K10" s="37" t="inlineStr">
        <is>
          <t>SAE J514-1</t>
        </is>
      </c>
      <c r="L10" s="37" t="n">
        <v>1.37</v>
      </c>
      <c r="M10" s="37" t="n">
        <v>0.88</v>
      </c>
      <c r="N10" s="37" t="n">
        <v>0.17</v>
      </c>
      <c r="O10" s="37" t="n">
        <v>0.39</v>
      </c>
      <c r="P10" s="37" t="n"/>
      <c r="Q10" s="37" t="n"/>
      <c r="R10" s="44" t="n"/>
      <c r="S10" s="44" t="n">
        <v>0.88</v>
      </c>
      <c r="T10" s="37" t="n">
        <v>0</v>
      </c>
      <c r="U10" s="37" t="inlineStr">
        <is>
          <t>ASSUMED</t>
        </is>
      </c>
      <c r="V10" s="37" t="inlineStr">
        <is>
          <t>MATCH (source cited: SAE J514-1 070120 / MS51525 / MS39324)</t>
        </is>
      </c>
      <c r="W10" s="37" t="inlineStr">
        <is>
          <t>BUILD</t>
        </is>
      </c>
      <c r="X10" s="37" t="inlineStr">
        <is>
          <t>Hex = Air-Way C4 column (per-part). Matched sizes in this topology corroborate the column.</t>
        </is>
      </c>
      <c r="Z10" s="45" t="inlineStr">
        <is>
          <t>Carbon Steel</t>
        </is>
      </c>
      <c r="AA10" s="45" t="inlineStr">
        <is>
          <t>ASTM A108 12L14</t>
        </is>
      </c>
      <c r="AB10" s="45" t="inlineStr">
        <is>
          <t>Trivalent Cr3 Zinc</t>
        </is>
      </c>
      <c r="AC10" s="45" t="inlineStr">
        <is>
          <t>ASTM B633 Type V/VI</t>
        </is>
      </c>
      <c r="AD10" s="46" t="n">
        <v>4500</v>
      </c>
      <c r="AE10" s="46" t="inlineStr">
        <is>
          <t>generic SAE table @ dash -8 (governing end)</t>
        </is>
      </c>
      <c r="AF10" s="46" t="n">
        <v>-65</v>
      </c>
      <c r="AG10" s="46" t="n">
        <v>400</v>
      </c>
      <c r="AH10" s="37" t="inlineStr">
        <is>
          <t>Ham-Let + hoseandfittings (pressure); Parker Cat.4300 (material); ASTM B633 (finish); see StandardsData</t>
        </is>
      </c>
    </row>
    <row r="11" ht="15" customHeight="1" s="35">
      <c r="A11" s="37" t="inlineStr">
        <is>
          <t>6400-04-10-O</t>
        </is>
      </c>
      <c r="B11" s="37" t="inlineStr">
        <is>
          <t>6400-4-10-O</t>
        </is>
      </c>
      <c r="C11" s="37" t="inlineStr">
        <is>
          <t>6400</t>
        </is>
      </c>
      <c r="D11" s="37" t="n">
        <v>89</v>
      </c>
      <c r="E11" s="37" t="inlineStr">
        <is>
          <t>Straight</t>
        </is>
      </c>
      <c r="F11" s="37" t="inlineStr">
        <is>
          <t>Straight Thread Connector, 7/16-20 x 7/8-14</t>
        </is>
      </c>
      <c r="G11" s="37" t="inlineStr">
        <is>
          <t>7/8-14</t>
        </is>
      </c>
      <c r="H11" s="37" t="inlineStr">
        <is>
          <t>7/16-20</t>
        </is>
      </c>
      <c r="I11" s="37" t="n"/>
      <c r="J11" s="37" t="inlineStr">
        <is>
          <t>SAE J1926-3</t>
        </is>
      </c>
      <c r="K11" s="37" t="inlineStr">
        <is>
          <t>SAE J514-1</t>
        </is>
      </c>
      <c r="L11" s="37" t="n">
        <v>1.49</v>
      </c>
      <c r="M11" s="37" t="n">
        <v>1</v>
      </c>
      <c r="N11" s="37" t="n">
        <v>0.17</v>
      </c>
      <c r="O11" s="37" t="n">
        <v>0.48</v>
      </c>
      <c r="P11" s="37" t="n"/>
      <c r="Q11" s="37" t="n"/>
      <c r="R11" s="44" t="n"/>
      <c r="S11" s="44" t="n">
        <v>1</v>
      </c>
      <c r="T11" s="37" t="n">
        <v>0</v>
      </c>
      <c r="U11" s="37" t="inlineStr">
        <is>
          <t>ASSUMED</t>
        </is>
      </c>
      <c r="V11" s="37" t="inlineStr">
        <is>
          <t>MATCH (source cited: SAE J514-1 070120 / MS51525 / MS39324)</t>
        </is>
      </c>
      <c r="W11" s="37" t="inlineStr">
        <is>
          <t>BUILD</t>
        </is>
      </c>
      <c r="X11" s="37" t="inlineStr">
        <is>
          <t>Hex = Air-Way C4 column (per-part). Matched sizes in this topology corroborate the column.</t>
        </is>
      </c>
      <c r="Z11" s="45" t="inlineStr">
        <is>
          <t>Carbon Steel</t>
        </is>
      </c>
      <c r="AA11" s="45" t="inlineStr">
        <is>
          <t>ASTM A108 12L14</t>
        </is>
      </c>
      <c r="AB11" s="45" t="inlineStr">
        <is>
          <t>Trivalent Cr3 Zinc</t>
        </is>
      </c>
      <c r="AC11" s="45" t="inlineStr">
        <is>
          <t>ASTM B633 Type V/VI</t>
        </is>
      </c>
      <c r="AD11" s="46" t="n">
        <v>3500</v>
      </c>
      <c r="AE11" s="46" t="inlineStr">
        <is>
          <t>generic SAE table @ dash -10 (governing end)</t>
        </is>
      </c>
      <c r="AF11" s="46" t="n">
        <v>-65</v>
      </c>
      <c r="AG11" s="46" t="n">
        <v>400</v>
      </c>
      <c r="AH11" s="37" t="inlineStr">
        <is>
          <t>Ham-Let + hoseandfittings (pressure); Parker Cat.4300 (material); ASTM B633 (finish); see StandardsData</t>
        </is>
      </c>
    </row>
    <row r="12" ht="15" customHeight="1" s="35">
      <c r="A12" s="37" t="inlineStr">
        <is>
          <t>6400-04-12-O</t>
        </is>
      </c>
      <c r="B12" s="37" t="inlineStr">
        <is>
          <t>6400-4-12-O</t>
        </is>
      </c>
      <c r="C12" s="37" t="inlineStr">
        <is>
          <t>6400</t>
        </is>
      </c>
      <c r="D12" s="37" t="n">
        <v>89</v>
      </c>
      <c r="E12" s="37" t="inlineStr">
        <is>
          <t>Straight</t>
        </is>
      </c>
      <c r="F12" s="37" t="inlineStr">
        <is>
          <t>Straight Thread Connector, 7/16-20 x 1 1/16-12</t>
        </is>
      </c>
      <c r="G12" s="37" t="inlineStr">
        <is>
          <t>1 1/16-12</t>
        </is>
      </c>
      <c r="H12" s="37" t="inlineStr">
        <is>
          <t>7/16-20</t>
        </is>
      </c>
      <c r="I12" s="37" t="n"/>
      <c r="J12" s="37" t="inlineStr">
        <is>
          <t>SAE J1926-3</t>
        </is>
      </c>
      <c r="K12" s="37" t="inlineStr">
        <is>
          <t>SAE J514-1</t>
        </is>
      </c>
      <c r="L12" s="37" t="n">
        <v>1.66</v>
      </c>
      <c r="M12" s="37" t="n">
        <v>1.25</v>
      </c>
      <c r="N12" s="37" t="n">
        <v>0.17</v>
      </c>
      <c r="O12" s="37" t="n">
        <v>0.61</v>
      </c>
      <c r="P12" s="37" t="n"/>
      <c r="Q12" s="37" t="n"/>
      <c r="R12" s="44" t="n"/>
      <c r="S12" s="44" t="n">
        <v>1.25</v>
      </c>
      <c r="T12" s="37" t="n">
        <v>0</v>
      </c>
      <c r="U12" s="37" t="inlineStr">
        <is>
          <t>ASSUMED</t>
        </is>
      </c>
      <c r="V12" s="37" t="inlineStr">
        <is>
          <t>MATCH (source cited: SAE J514-1 070120 / MS51525 / MS39324)</t>
        </is>
      </c>
      <c r="W12" s="37" t="inlineStr">
        <is>
          <t>BUILD</t>
        </is>
      </c>
      <c r="X12" s="37" t="inlineStr">
        <is>
          <t>Hex = Air-Way C4 column (per-part). Matched sizes in this topology corroborate the column.</t>
        </is>
      </c>
      <c r="Z12" s="45" t="inlineStr">
        <is>
          <t>Carbon Steel</t>
        </is>
      </c>
      <c r="AA12" s="45" t="inlineStr">
        <is>
          <t>ASTM A108 12L14</t>
        </is>
      </c>
      <c r="AB12" s="45" t="inlineStr">
        <is>
          <t>Trivalent Cr3 Zinc</t>
        </is>
      </c>
      <c r="AC12" s="45" t="inlineStr">
        <is>
          <t>ASTM B633 Type V/VI</t>
        </is>
      </c>
      <c r="AD12" s="46" t="n">
        <v>3500</v>
      </c>
      <c r="AE12" s="46" t="inlineStr">
        <is>
          <t>generic SAE table @ dash -12 (governing end)</t>
        </is>
      </c>
      <c r="AF12" s="46" t="n">
        <v>-65</v>
      </c>
      <c r="AG12" s="46" t="n">
        <v>400</v>
      </c>
      <c r="AH12" s="37" t="inlineStr">
        <is>
          <t>Ham-Let + hoseandfittings (pressure); Parker Cat.4300 (material); ASTM B633 (finish); see StandardsData</t>
        </is>
      </c>
    </row>
    <row r="13" ht="15" customHeight="1" s="35">
      <c r="A13" s="37" t="inlineStr">
        <is>
          <t>6400-05-04-O</t>
        </is>
      </c>
      <c r="B13" s="37" t="inlineStr">
        <is>
          <t>6400-5-4-O</t>
        </is>
      </c>
      <c r="C13" s="37" t="inlineStr">
        <is>
          <t>6400</t>
        </is>
      </c>
      <c r="D13" s="37" t="n">
        <v>89</v>
      </c>
      <c r="E13" s="37" t="inlineStr">
        <is>
          <t>Straight</t>
        </is>
      </c>
      <c r="F13" s="37" t="inlineStr">
        <is>
          <t>Straight Thread Connector, 1/2-20 x 7/16-20</t>
        </is>
      </c>
      <c r="G13" s="37" t="inlineStr">
        <is>
          <t>7/16-20</t>
        </is>
      </c>
      <c r="H13" s="37" t="inlineStr">
        <is>
          <t>1/2-20</t>
        </is>
      </c>
      <c r="I13" s="37" t="n"/>
      <c r="J13" s="37" t="inlineStr">
        <is>
          <t>SAE J1926-3</t>
        </is>
      </c>
      <c r="K13" s="37" t="inlineStr">
        <is>
          <t>SAE J514-1</t>
        </is>
      </c>
      <c r="L13" s="37" t="n">
        <v>1.23</v>
      </c>
      <c r="M13" s="37" t="n">
        <v>0.5600000000000001</v>
      </c>
      <c r="N13" s="37" t="n">
        <v>0.23</v>
      </c>
      <c r="O13" s="37" t="n">
        <v>0.17</v>
      </c>
      <c r="P13" s="37" t="n"/>
      <c r="Q13" s="37" t="n"/>
      <c r="R13" s="44" t="n"/>
      <c r="S13" s="44" t="n">
        <v>0.5600000000000001</v>
      </c>
      <c r="T13" s="37" t="n">
        <v>0</v>
      </c>
      <c r="U13" s="37" t="inlineStr">
        <is>
          <t>ASSUMED</t>
        </is>
      </c>
      <c r="V13" s="37" t="inlineStr">
        <is>
          <t>MATCH (source cited: SAE J514-1 070120 / MS51525 / MS39324)</t>
        </is>
      </c>
      <c r="W13" s="37" t="inlineStr">
        <is>
          <t>BUILD</t>
        </is>
      </c>
      <c r="X13" s="37" t="inlineStr">
        <is>
          <t>Hex = Air-Way C4 column (per-part). Matched sizes in this topology corroborate the column.</t>
        </is>
      </c>
      <c r="Z13" s="45" t="inlineStr">
        <is>
          <t>Carbon Steel</t>
        </is>
      </c>
      <c r="AA13" s="45" t="inlineStr">
        <is>
          <t>ASTM A108 12L14</t>
        </is>
      </c>
      <c r="AB13" s="45" t="inlineStr">
        <is>
          <t>Trivalent Cr3 Zinc</t>
        </is>
      </c>
      <c r="AC13" s="45" t="inlineStr">
        <is>
          <t>ASTM B633 Type V/VI</t>
        </is>
      </c>
      <c r="AD13" s="46" t="n">
        <v>5000</v>
      </c>
      <c r="AE13" s="46" t="inlineStr">
        <is>
          <t>generic SAE table @ dash -5 (governing end)</t>
        </is>
      </c>
      <c r="AF13" s="46" t="n">
        <v>-65</v>
      </c>
      <c r="AG13" s="46" t="n">
        <v>400</v>
      </c>
      <c r="AH13" s="37" t="inlineStr">
        <is>
          <t>Ham-Let + hoseandfittings (pressure); Parker Cat.4300 (material); ASTM B633 (finish); see StandardsData</t>
        </is>
      </c>
    </row>
    <row r="14" ht="15" customHeight="1" s="35">
      <c r="A14" s="37" t="inlineStr">
        <is>
          <t>6400-05-05-O</t>
        </is>
      </c>
      <c r="B14" s="37" t="inlineStr">
        <is>
          <t>6400-5-5-O</t>
        </is>
      </c>
      <c r="C14" s="37" t="inlineStr">
        <is>
          <t>6400</t>
        </is>
      </c>
      <c r="D14" s="37" t="n">
        <v>89</v>
      </c>
      <c r="E14" s="37" t="inlineStr">
        <is>
          <t>Straight</t>
        </is>
      </c>
      <c r="F14" s="37" t="inlineStr">
        <is>
          <t>Straight Thread Connector, 1/2-20 x 1/2-20</t>
        </is>
      </c>
      <c r="G14" s="37" t="inlineStr">
        <is>
          <t>1/2-20</t>
        </is>
      </c>
      <c r="H14" s="37" t="inlineStr">
        <is>
          <t>1/2-20</t>
        </is>
      </c>
      <c r="I14" s="37" t="n"/>
      <c r="J14" s="37" t="inlineStr">
        <is>
          <t>SAE J1926-3</t>
        </is>
      </c>
      <c r="K14" s="37" t="inlineStr">
        <is>
          <t>SAE J514-1</t>
        </is>
      </c>
      <c r="L14" s="37" t="n">
        <v>1.23</v>
      </c>
      <c r="M14" s="37" t="n">
        <v>0.63</v>
      </c>
      <c r="N14" s="37" t="n">
        <v>0.23</v>
      </c>
      <c r="O14" s="37" t="n">
        <v>0.23</v>
      </c>
      <c r="P14" s="37" t="n"/>
      <c r="Q14" s="37" t="n"/>
      <c r="R14" s="44" t="n"/>
      <c r="S14" s="44" t="n">
        <v>0.63</v>
      </c>
      <c r="T14" s="37" t="n">
        <v>0</v>
      </c>
      <c r="U14" s="37" t="inlineStr">
        <is>
          <t>ASSUMED</t>
        </is>
      </c>
      <c r="V14" s="37" t="inlineStr">
        <is>
          <t>MATCH (source cited: SAE J514-1 070120 / MS51525 / MS39324)</t>
        </is>
      </c>
      <c r="W14" s="37" t="inlineStr">
        <is>
          <t>BUILD</t>
        </is>
      </c>
      <c r="X14" s="37" t="inlineStr">
        <is>
          <t>Hex = Air-Way C4 column (per-part). Matched sizes in this topology corroborate the column.</t>
        </is>
      </c>
      <c r="Z14" s="45" t="inlineStr">
        <is>
          <t>Carbon Steel</t>
        </is>
      </c>
      <c r="AA14" s="45" t="inlineStr">
        <is>
          <t>ASTM A108 12L14</t>
        </is>
      </c>
      <c r="AB14" s="45" t="inlineStr">
        <is>
          <t>Trivalent Cr3 Zinc</t>
        </is>
      </c>
      <c r="AC14" s="45" t="inlineStr">
        <is>
          <t>ASTM B633 Type V/VI</t>
        </is>
      </c>
      <c r="AD14" s="46" t="n">
        <v>5000</v>
      </c>
      <c r="AE14" s="46" t="inlineStr">
        <is>
          <t>generic SAE table @ dash -5 (governing end)</t>
        </is>
      </c>
      <c r="AF14" s="46" t="n">
        <v>-65</v>
      </c>
      <c r="AG14" s="46" t="n">
        <v>400</v>
      </c>
      <c r="AH14" s="37" t="inlineStr">
        <is>
          <t>Ham-Let + hoseandfittings (pressure); Parker Cat.4300 (material); ASTM B633 (finish); see StandardsData</t>
        </is>
      </c>
    </row>
    <row r="15" ht="15" customHeight="1" s="35">
      <c r="A15" s="37" t="inlineStr">
        <is>
          <t>6400-05-06-O</t>
        </is>
      </c>
      <c r="B15" s="37" t="inlineStr">
        <is>
          <t>6400-5-6-O</t>
        </is>
      </c>
      <c r="C15" s="37" t="inlineStr">
        <is>
          <t>6400</t>
        </is>
      </c>
      <c r="D15" s="37" t="n">
        <v>89</v>
      </c>
      <c r="E15" s="37" t="inlineStr">
        <is>
          <t>Straight</t>
        </is>
      </c>
      <c r="F15" s="37" t="inlineStr">
        <is>
          <t>Straight Thread Connector, 1/2-20 x 9/16-18</t>
        </is>
      </c>
      <c r="G15" s="37" t="inlineStr">
        <is>
          <t>9/16-18</t>
        </is>
      </c>
      <c r="H15" s="37" t="inlineStr">
        <is>
          <t>1/2-20</t>
        </is>
      </c>
      <c r="I15" s="37" t="n"/>
      <c r="J15" s="37" t="inlineStr">
        <is>
          <t>SAE J1926-3</t>
        </is>
      </c>
      <c r="K15" s="37" t="inlineStr">
        <is>
          <t>SAE J514-1</t>
        </is>
      </c>
      <c r="L15" s="37" t="n">
        <v>1.29</v>
      </c>
      <c r="M15" s="37" t="n">
        <v>0.6899999999999999</v>
      </c>
      <c r="N15" s="37" t="n">
        <v>0.23</v>
      </c>
      <c r="O15" s="37" t="n">
        <v>0.3</v>
      </c>
      <c r="P15" s="37" t="n"/>
      <c r="Q15" s="37" t="n"/>
      <c r="R15" s="44" t="n"/>
      <c r="S15" s="44" t="n">
        <v>0.6899999999999999</v>
      </c>
      <c r="T15" s="37" t="n">
        <v>0</v>
      </c>
      <c r="U15" s="37" t="inlineStr">
        <is>
          <t>ASSUMED</t>
        </is>
      </c>
      <c r="V15" s="37" t="inlineStr">
        <is>
          <t>MATCH (source cited: SAE J514-1 070120 / MS51525 / MS39324)</t>
        </is>
      </c>
      <c r="W15" s="37" t="inlineStr">
        <is>
          <t>BUILD</t>
        </is>
      </c>
      <c r="X15" s="37" t="inlineStr">
        <is>
          <t>Hex = Air-Way C4 column (per-part). Matched sizes in this topology corroborate the column.</t>
        </is>
      </c>
      <c r="Z15" s="45" t="inlineStr">
        <is>
          <t>Carbon Steel</t>
        </is>
      </c>
      <c r="AA15" s="45" t="inlineStr">
        <is>
          <t>ASTM A108 12L14</t>
        </is>
      </c>
      <c r="AB15" s="45" t="inlineStr">
        <is>
          <t>Trivalent Cr3 Zinc</t>
        </is>
      </c>
      <c r="AC15" s="45" t="inlineStr">
        <is>
          <t>ASTM B633 Type V/VI</t>
        </is>
      </c>
      <c r="AD15" s="46" t="n">
        <v>5000</v>
      </c>
      <c r="AE15" s="46" t="inlineStr">
        <is>
          <t>generic SAE table @ dash -6 (governing end)</t>
        </is>
      </c>
      <c r="AF15" s="46" t="n">
        <v>-65</v>
      </c>
      <c r="AG15" s="46" t="n">
        <v>400</v>
      </c>
      <c r="AH15" s="37" t="inlineStr">
        <is>
          <t>Ham-Let + hoseandfittings (pressure); Parker Cat.4300 (material); ASTM B633 (finish); see StandardsData</t>
        </is>
      </c>
    </row>
    <row r="16" ht="15" customHeight="1" s="35">
      <c r="A16" s="37" t="inlineStr">
        <is>
          <t>6400-05-08-O</t>
        </is>
      </c>
      <c r="B16" s="37" t="inlineStr">
        <is>
          <t>6400-5-8-O</t>
        </is>
      </c>
      <c r="C16" s="37" t="inlineStr">
        <is>
          <t>6400</t>
        </is>
      </c>
      <c r="D16" s="37" t="n">
        <v>89</v>
      </c>
      <c r="E16" s="37" t="inlineStr">
        <is>
          <t>Straight</t>
        </is>
      </c>
      <c r="F16" s="37" t="inlineStr">
        <is>
          <t>Straight Thread Connector, 1/2-20 x 3/4-16</t>
        </is>
      </c>
      <c r="G16" s="37" t="inlineStr">
        <is>
          <t>3/4-16</t>
        </is>
      </c>
      <c r="H16" s="37" t="inlineStr">
        <is>
          <t>1/2-20</t>
        </is>
      </c>
      <c r="I16" s="37" t="n"/>
      <c r="J16" s="37" t="inlineStr">
        <is>
          <t>SAE J1926-3</t>
        </is>
      </c>
      <c r="K16" s="37" t="inlineStr">
        <is>
          <t>SAE J514-1</t>
        </is>
      </c>
      <c r="L16" s="37" t="n">
        <v>1.37</v>
      </c>
      <c r="M16" s="37" t="n">
        <v>0.88</v>
      </c>
      <c r="N16" s="37" t="n">
        <v>0.23</v>
      </c>
      <c r="O16" s="37" t="n">
        <v>0.39</v>
      </c>
      <c r="P16" s="37" t="n"/>
      <c r="Q16" s="37" t="n"/>
      <c r="R16" s="44" t="n"/>
      <c r="S16" s="44" t="n">
        <v>0.88</v>
      </c>
      <c r="T16" s="37" t="n">
        <v>0</v>
      </c>
      <c r="U16" s="37" t="inlineStr">
        <is>
          <t>ASSUMED</t>
        </is>
      </c>
      <c r="V16" s="37" t="inlineStr">
        <is>
          <t>MATCH (source cited: SAE J514-1 070120 / MS51525 / MS39324)</t>
        </is>
      </c>
      <c r="W16" s="37" t="inlineStr">
        <is>
          <t>BUILD</t>
        </is>
      </c>
      <c r="X16" s="37" t="inlineStr">
        <is>
          <t>Hex = Air-Way C4 column (per-part). Matched sizes in this topology corroborate the column.</t>
        </is>
      </c>
      <c r="Z16" s="45" t="inlineStr">
        <is>
          <t>Carbon Steel</t>
        </is>
      </c>
      <c r="AA16" s="45" t="inlineStr">
        <is>
          <t>ASTM A108 12L14</t>
        </is>
      </c>
      <c r="AB16" s="45" t="inlineStr">
        <is>
          <t>Trivalent Cr3 Zinc</t>
        </is>
      </c>
      <c r="AC16" s="45" t="inlineStr">
        <is>
          <t>ASTM B633 Type V/VI</t>
        </is>
      </c>
      <c r="AD16" s="46" t="n">
        <v>4500</v>
      </c>
      <c r="AE16" s="46" t="inlineStr">
        <is>
          <t>generic SAE table @ dash -8 (governing end)</t>
        </is>
      </c>
      <c r="AF16" s="46" t="n">
        <v>-65</v>
      </c>
      <c r="AG16" s="46" t="n">
        <v>400</v>
      </c>
      <c r="AH16" s="37" t="inlineStr">
        <is>
          <t>Ham-Let + hoseandfittings (pressure); Parker Cat.4300 (material); ASTM B633 (finish); see StandardsData</t>
        </is>
      </c>
    </row>
    <row r="17" ht="15" customHeight="1" s="35">
      <c r="A17" s="37" t="inlineStr">
        <is>
          <t>6400-06-04-O</t>
        </is>
      </c>
      <c r="B17" s="37" t="inlineStr">
        <is>
          <t>6400-6-4-O</t>
        </is>
      </c>
      <c r="C17" s="37" t="inlineStr">
        <is>
          <t>6400</t>
        </is>
      </c>
      <c r="D17" s="37" t="n">
        <v>89</v>
      </c>
      <c r="E17" s="37" t="inlineStr">
        <is>
          <t>Straight</t>
        </is>
      </c>
      <c r="F17" s="37" t="inlineStr">
        <is>
          <t>Straight Thread Connector, 9/16-18 x 7/16-20</t>
        </is>
      </c>
      <c r="G17" s="37" t="inlineStr">
        <is>
          <t>7/16-20</t>
        </is>
      </c>
      <c r="H17" s="37" t="inlineStr">
        <is>
          <t>9/16-18</t>
        </is>
      </c>
      <c r="I17" s="37" t="n"/>
      <c r="J17" s="37" t="inlineStr">
        <is>
          <t>SAE J1926-3</t>
        </is>
      </c>
      <c r="K17" s="37" t="inlineStr">
        <is>
          <t>SAE J514-1</t>
        </is>
      </c>
      <c r="L17" s="37" t="n">
        <v>1.27</v>
      </c>
      <c r="M17" s="37" t="n">
        <v>0.63</v>
      </c>
      <c r="N17" s="37" t="n">
        <v>0.3</v>
      </c>
      <c r="O17" s="37" t="n">
        <v>0.17</v>
      </c>
      <c r="P17" s="37" t="n"/>
      <c r="Q17" s="37" t="n"/>
      <c r="R17" s="44" t="n"/>
      <c r="S17" s="44" t="n">
        <v>0.63</v>
      </c>
      <c r="T17" s="37" t="n">
        <v>0</v>
      </c>
      <c r="U17" s="37" t="inlineStr">
        <is>
          <t>ASSUMED</t>
        </is>
      </c>
      <c r="V17" s="37" t="inlineStr">
        <is>
          <t>MATCH (source cited: SAE J514-1 070120 / MS51525 / MS39324)</t>
        </is>
      </c>
      <c r="W17" s="37" t="inlineStr">
        <is>
          <t>BUILD</t>
        </is>
      </c>
      <c r="X17" s="37" t="inlineStr">
        <is>
          <t>Hex = Air-Way C4 column (per-part). Matched sizes in this topology corroborate the column.</t>
        </is>
      </c>
      <c r="Z17" s="45" t="inlineStr">
        <is>
          <t>Carbon Steel</t>
        </is>
      </c>
      <c r="AA17" s="45" t="inlineStr">
        <is>
          <t>ASTM A108 12L14</t>
        </is>
      </c>
      <c r="AB17" s="45" t="inlineStr">
        <is>
          <t>Trivalent Cr3 Zinc</t>
        </is>
      </c>
      <c r="AC17" s="45" t="inlineStr">
        <is>
          <t>ASTM B633 Type V/VI</t>
        </is>
      </c>
      <c r="AD17" s="46" t="n">
        <v>5000</v>
      </c>
      <c r="AE17" s="46" t="inlineStr">
        <is>
          <t>generic SAE table @ dash -6 (governing end)</t>
        </is>
      </c>
      <c r="AF17" s="46" t="n">
        <v>-65</v>
      </c>
      <c r="AG17" s="46" t="n">
        <v>400</v>
      </c>
      <c r="AH17" s="37" t="inlineStr">
        <is>
          <t>Ham-Let + hoseandfittings (pressure); Parker Cat.4300 (material); ASTM B633 (finish); see StandardsData</t>
        </is>
      </c>
    </row>
    <row r="18" ht="15" customHeight="1" s="35">
      <c r="A18" s="37" t="inlineStr">
        <is>
          <t>6400-06-05-O</t>
        </is>
      </c>
      <c r="B18" s="37" t="inlineStr">
        <is>
          <t>6400-6-5-O</t>
        </is>
      </c>
      <c r="C18" s="37" t="inlineStr">
        <is>
          <t>6400</t>
        </is>
      </c>
      <c r="D18" s="37" t="n">
        <v>89</v>
      </c>
      <c r="E18" s="37" t="inlineStr">
        <is>
          <t>Straight</t>
        </is>
      </c>
      <c r="F18" s="37" t="inlineStr">
        <is>
          <t>Straight Thread Connector, 9/16-18 x 1/2-20</t>
        </is>
      </c>
      <c r="G18" s="37" t="inlineStr">
        <is>
          <t>1/2-20</t>
        </is>
      </c>
      <c r="H18" s="37" t="inlineStr">
        <is>
          <t>9/16-18</t>
        </is>
      </c>
      <c r="I18" s="37" t="n"/>
      <c r="J18" s="37" t="inlineStr">
        <is>
          <t>SAE J1926-3</t>
        </is>
      </c>
      <c r="K18" s="37" t="inlineStr">
        <is>
          <t>SAE J514-1</t>
        </is>
      </c>
      <c r="L18" s="37" t="n">
        <v>1.27</v>
      </c>
      <c r="M18" s="37" t="n">
        <v>0.63</v>
      </c>
      <c r="N18" s="37" t="n">
        <v>0.3</v>
      </c>
      <c r="O18" s="37" t="n">
        <v>0.23</v>
      </c>
      <c r="P18" s="37" t="n"/>
      <c r="Q18" s="37" t="n"/>
      <c r="R18" s="44" t="n"/>
      <c r="S18" s="44" t="n">
        <v>0.63</v>
      </c>
      <c r="T18" s="37" t="n">
        <v>0</v>
      </c>
      <c r="U18" s="37" t="inlineStr">
        <is>
          <t>ASSUMED</t>
        </is>
      </c>
      <c r="V18" s="37" t="inlineStr">
        <is>
          <t>MATCH (source cited: SAE J514-1 070120 / MS51525 / MS39324)</t>
        </is>
      </c>
      <c r="W18" s="37" t="inlineStr">
        <is>
          <t>BUILD</t>
        </is>
      </c>
      <c r="X18" s="37" t="inlineStr">
        <is>
          <t>Hex = Air-Way C4 column (per-part). Matched sizes in this topology corroborate the column.</t>
        </is>
      </c>
      <c r="Z18" s="45" t="inlineStr">
        <is>
          <t>Carbon Steel</t>
        </is>
      </c>
      <c r="AA18" s="45" t="inlineStr">
        <is>
          <t>ASTM A108 12L14</t>
        </is>
      </c>
      <c r="AB18" s="45" t="inlineStr">
        <is>
          <t>Trivalent Cr3 Zinc</t>
        </is>
      </c>
      <c r="AC18" s="45" t="inlineStr">
        <is>
          <t>ASTM B633 Type V/VI</t>
        </is>
      </c>
      <c r="AD18" s="46" t="n">
        <v>5000</v>
      </c>
      <c r="AE18" s="46" t="inlineStr">
        <is>
          <t>generic SAE table @ dash -6 (governing end)</t>
        </is>
      </c>
      <c r="AF18" s="46" t="n">
        <v>-65</v>
      </c>
      <c r="AG18" s="46" t="n">
        <v>400</v>
      </c>
      <c r="AH18" s="37" t="inlineStr">
        <is>
          <t>Ham-Let + hoseandfittings (pressure); Parker Cat.4300 (material); ASTM B633 (finish); see StandardsData</t>
        </is>
      </c>
    </row>
    <row r="19" ht="15" customHeight="1" s="35">
      <c r="A19" s="37" t="inlineStr">
        <is>
          <t>6400-06-06-O</t>
        </is>
      </c>
      <c r="B19" s="37" t="inlineStr">
        <is>
          <t>6400-6-6-O</t>
        </is>
      </c>
      <c r="C19" s="37" t="inlineStr">
        <is>
          <t>6400</t>
        </is>
      </c>
      <c r="D19" s="37" t="n">
        <v>89</v>
      </c>
      <c r="E19" s="37" t="inlineStr">
        <is>
          <t>Straight</t>
        </is>
      </c>
      <c r="F19" s="37" t="inlineStr">
        <is>
          <t>Straight Thread Connector, 9/16-18 x 9/16-18</t>
        </is>
      </c>
      <c r="G19" s="37" t="inlineStr">
        <is>
          <t>9/16-18</t>
        </is>
      </c>
      <c r="H19" s="37" t="inlineStr">
        <is>
          <t>9/16-18</t>
        </is>
      </c>
      <c r="I19" s="37" t="n"/>
      <c r="J19" s="37" t="inlineStr">
        <is>
          <t>SAE J1926-3</t>
        </is>
      </c>
      <c r="K19" s="37" t="inlineStr">
        <is>
          <t>SAE J514-1</t>
        </is>
      </c>
      <c r="L19" s="37" t="n">
        <v>1.3</v>
      </c>
      <c r="M19" s="37" t="n">
        <v>0.6899999999999999</v>
      </c>
      <c r="N19" s="37" t="n">
        <v>0.3</v>
      </c>
      <c r="O19" s="37" t="n">
        <v>0.3</v>
      </c>
      <c r="P19" s="37" t="n"/>
      <c r="Q19" s="37" t="n"/>
      <c r="R19" s="44" t="n"/>
      <c r="S19" s="45" t="n">
        <v>0.6899999999999999</v>
      </c>
      <c r="T19" s="37" t="n">
        <v>0</v>
      </c>
      <c r="U19" s="37" t="inlineStr">
        <is>
          <t>VERIFIED</t>
        </is>
      </c>
      <c r="V19" s="37" t="inlineStr">
        <is>
          <t>MATCH (source cited: SAE J514-1 070120 / MS51525 / MS39324)</t>
        </is>
      </c>
      <c r="W19" s="37" t="inlineStr">
        <is>
          <t>BUILD</t>
        </is>
      </c>
      <c r="X19" s="37" t="inlineStr">
        <is>
          <t>Hex = Air-Way C4 column, CONFIRMED vs PressureConnections/Purvis.</t>
        </is>
      </c>
      <c r="Z19" s="45" t="inlineStr">
        <is>
          <t>Carbon Steel</t>
        </is>
      </c>
      <c r="AA19" s="45" t="inlineStr">
        <is>
          <t>ASTM A108 12L14</t>
        </is>
      </c>
      <c r="AB19" s="45" t="inlineStr">
        <is>
          <t>Trivalent Cr3 Zinc</t>
        </is>
      </c>
      <c r="AC19" s="45" t="inlineStr">
        <is>
          <t>ASTM B633 Type V/VI</t>
        </is>
      </c>
      <c r="AD19" s="46" t="n">
        <v>5000</v>
      </c>
      <c r="AE19" s="46" t="inlineStr">
        <is>
          <t>generic SAE table @ dash -6 (governing end)</t>
        </is>
      </c>
      <c r="AF19" s="46" t="n">
        <v>-65</v>
      </c>
      <c r="AG19" s="46" t="n">
        <v>400</v>
      </c>
      <c r="AH19" s="37" t="inlineStr">
        <is>
          <t>Ham-Let + hoseandfittings (pressure); Parker Cat.4300 (material); ASTM B633 (finish); see StandardsData</t>
        </is>
      </c>
    </row>
    <row r="20" ht="15" customHeight="1" s="35">
      <c r="A20" s="37" t="inlineStr">
        <is>
          <t>6400-06-08-O</t>
        </is>
      </c>
      <c r="B20" s="37" t="inlineStr">
        <is>
          <t>6400-6-8-O</t>
        </is>
      </c>
      <c r="C20" s="37" t="inlineStr">
        <is>
          <t>6400</t>
        </is>
      </c>
      <c r="D20" s="37" t="n">
        <v>89</v>
      </c>
      <c r="E20" s="37" t="inlineStr">
        <is>
          <t>Straight</t>
        </is>
      </c>
      <c r="F20" s="37" t="inlineStr">
        <is>
          <t>Straight Thread Connector, 9/16-18 x 3/4-16</t>
        </is>
      </c>
      <c r="G20" s="37" t="inlineStr">
        <is>
          <t>3/4-16</t>
        </is>
      </c>
      <c r="H20" s="37" t="inlineStr">
        <is>
          <t>9/16-18</t>
        </is>
      </c>
      <c r="I20" s="37" t="n"/>
      <c r="J20" s="37" t="inlineStr">
        <is>
          <t>SAE J1926-3</t>
        </is>
      </c>
      <c r="K20" s="37" t="inlineStr">
        <is>
          <t>SAE J514-1</t>
        </is>
      </c>
      <c r="L20" s="37" t="n">
        <v>1.38</v>
      </c>
      <c r="M20" s="37" t="n">
        <v>0.88</v>
      </c>
      <c r="N20" s="37" t="n">
        <v>0.3</v>
      </c>
      <c r="O20" s="37" t="n">
        <v>0.3</v>
      </c>
      <c r="P20" s="37" t="n"/>
      <c r="Q20" s="37" t="n"/>
      <c r="R20" s="44" t="n"/>
      <c r="S20" s="44" t="n">
        <v>0.88</v>
      </c>
      <c r="T20" s="37" t="n">
        <v>0</v>
      </c>
      <c r="U20" s="37" t="inlineStr">
        <is>
          <t>ASSUMED</t>
        </is>
      </c>
      <c r="V20" s="37" t="inlineStr">
        <is>
          <t>MATCH (source cited: SAE J514-1 070120 / MS51525 / MS39324)</t>
        </is>
      </c>
      <c r="W20" s="37" t="inlineStr">
        <is>
          <t>BUILD</t>
        </is>
      </c>
      <c r="X20" s="37" t="inlineStr">
        <is>
          <t>Hex = Air-Way C4 column (per-part). Matched sizes in this topology corroborate the column.</t>
        </is>
      </c>
      <c r="Z20" s="45" t="inlineStr">
        <is>
          <t>Carbon Steel</t>
        </is>
      </c>
      <c r="AA20" s="45" t="inlineStr">
        <is>
          <t>ASTM A108 12L14</t>
        </is>
      </c>
      <c r="AB20" s="45" t="inlineStr">
        <is>
          <t>Trivalent Cr3 Zinc</t>
        </is>
      </c>
      <c r="AC20" s="45" t="inlineStr">
        <is>
          <t>ASTM B633 Type V/VI</t>
        </is>
      </c>
      <c r="AD20" s="46" t="n">
        <v>4500</v>
      </c>
      <c r="AE20" s="46" t="inlineStr">
        <is>
          <t>generic SAE table @ dash -8 (governing end)</t>
        </is>
      </c>
      <c r="AF20" s="46" t="n">
        <v>-65</v>
      </c>
      <c r="AG20" s="46" t="n">
        <v>400</v>
      </c>
      <c r="AH20" s="37" t="inlineStr">
        <is>
          <t>Ham-Let + hoseandfittings (pressure); Parker Cat.4300 (material); ASTM B633 (finish); see StandardsData</t>
        </is>
      </c>
    </row>
    <row r="21" ht="15" customHeight="1" s="35">
      <c r="A21" s="37" t="inlineStr">
        <is>
          <t>6400-06-10-O</t>
        </is>
      </c>
      <c r="B21" s="37" t="inlineStr">
        <is>
          <t>6400-6-10-O</t>
        </is>
      </c>
      <c r="C21" s="37" t="inlineStr">
        <is>
          <t>6400</t>
        </is>
      </c>
      <c r="D21" s="37" t="n">
        <v>89</v>
      </c>
      <c r="E21" s="37" t="inlineStr">
        <is>
          <t>Straight</t>
        </is>
      </c>
      <c r="F21" s="37" t="inlineStr">
        <is>
          <t>Straight Thread Connector, 9/16-18 x 7/8-14</t>
        </is>
      </c>
      <c r="G21" s="37" t="inlineStr">
        <is>
          <t>7/8-14</t>
        </is>
      </c>
      <c r="H21" s="37" t="inlineStr">
        <is>
          <t>9/16-18</t>
        </is>
      </c>
      <c r="I21" s="37" t="n"/>
      <c r="J21" s="37" t="inlineStr">
        <is>
          <t>SAE J1926-3</t>
        </is>
      </c>
      <c r="K21" s="37" t="inlineStr">
        <is>
          <t>SAE J514-1</t>
        </is>
      </c>
      <c r="L21" s="37" t="n">
        <v>1.5</v>
      </c>
      <c r="M21" s="37" t="n">
        <v>1</v>
      </c>
      <c r="N21" s="37" t="n">
        <v>0.3</v>
      </c>
      <c r="O21" s="37" t="n">
        <v>0.48</v>
      </c>
      <c r="P21" s="37" t="n"/>
      <c r="Q21" s="37" t="n"/>
      <c r="R21" s="44" t="n"/>
      <c r="S21" s="44" t="n">
        <v>1</v>
      </c>
      <c r="T21" s="37" t="n">
        <v>0</v>
      </c>
      <c r="U21" s="37" t="inlineStr">
        <is>
          <t>ASSUMED</t>
        </is>
      </c>
      <c r="V21" s="37" t="inlineStr">
        <is>
          <t>MATCH (source cited: SAE J514-1 070120 / MS51525 / MS39324)</t>
        </is>
      </c>
      <c r="W21" s="37" t="inlineStr">
        <is>
          <t>BUILD</t>
        </is>
      </c>
      <c r="X21" s="37" t="inlineStr">
        <is>
          <t>Hex = Air-Way C4 column (per-part). Matched sizes in this topology corroborate the column.</t>
        </is>
      </c>
      <c r="Z21" s="45" t="inlineStr">
        <is>
          <t>Carbon Steel</t>
        </is>
      </c>
      <c r="AA21" s="45" t="inlineStr">
        <is>
          <t>ASTM A108 12L14</t>
        </is>
      </c>
      <c r="AB21" s="45" t="inlineStr">
        <is>
          <t>Trivalent Cr3 Zinc</t>
        </is>
      </c>
      <c r="AC21" s="45" t="inlineStr">
        <is>
          <t>ASTM B633 Type V/VI</t>
        </is>
      </c>
      <c r="AD21" s="46" t="n">
        <v>3500</v>
      </c>
      <c r="AE21" s="46" t="inlineStr">
        <is>
          <t>generic SAE table @ dash -10 (governing end)</t>
        </is>
      </c>
      <c r="AF21" s="46" t="n">
        <v>-65</v>
      </c>
      <c r="AG21" s="46" t="n">
        <v>400</v>
      </c>
      <c r="AH21" s="37" t="inlineStr">
        <is>
          <t>Ham-Let + hoseandfittings (pressure); Parker Cat.4300 (material); ASTM B633 (finish); see StandardsData</t>
        </is>
      </c>
    </row>
    <row r="22" ht="15" customHeight="1" s="35">
      <c r="A22" s="37" t="inlineStr">
        <is>
          <t>6400-06-12-O</t>
        </is>
      </c>
      <c r="B22" s="37" t="inlineStr">
        <is>
          <t>6400-6-12-O</t>
        </is>
      </c>
      <c r="C22" s="37" t="inlineStr">
        <is>
          <t>6400</t>
        </is>
      </c>
      <c r="D22" s="37" t="n">
        <v>89</v>
      </c>
      <c r="E22" s="37" t="inlineStr">
        <is>
          <t>Straight</t>
        </is>
      </c>
      <c r="F22" s="37" t="inlineStr">
        <is>
          <t>Straight Thread Connector, 9/16-18 x 1 1/16-12</t>
        </is>
      </c>
      <c r="G22" s="37" t="inlineStr">
        <is>
          <t>1 1/16-12</t>
        </is>
      </c>
      <c r="H22" s="37" t="inlineStr">
        <is>
          <t>9/16-18</t>
        </is>
      </c>
      <c r="I22" s="37" t="n"/>
      <c r="J22" s="37" t="inlineStr">
        <is>
          <t>SAE J1926-3</t>
        </is>
      </c>
      <c r="K22" s="37" t="inlineStr">
        <is>
          <t>SAE J514-1</t>
        </is>
      </c>
      <c r="L22" s="37" t="n">
        <v>1.66</v>
      </c>
      <c r="M22" s="37" t="n">
        <v>1.25</v>
      </c>
      <c r="N22" s="37" t="n">
        <v>0.3</v>
      </c>
      <c r="O22" s="37" t="n">
        <v>0.61</v>
      </c>
      <c r="P22" s="37" t="n"/>
      <c r="Q22" s="37" t="n"/>
      <c r="R22" s="44" t="n"/>
      <c r="S22" s="44" t="n">
        <v>1.25</v>
      </c>
      <c r="T22" s="37" t="n">
        <v>0</v>
      </c>
      <c r="U22" s="37" t="inlineStr">
        <is>
          <t>ASSUMED</t>
        </is>
      </c>
      <c r="V22" s="37" t="inlineStr">
        <is>
          <t>MATCH (source cited: SAE J514-1 070120 / MS51525 / MS39324)</t>
        </is>
      </c>
      <c r="W22" s="37" t="inlineStr">
        <is>
          <t>BUILD</t>
        </is>
      </c>
      <c r="X22" s="37" t="inlineStr">
        <is>
          <t>Hex = Air-Way C4 column (per-part). Matched sizes in this topology corroborate the column.</t>
        </is>
      </c>
      <c r="Z22" s="45" t="inlineStr">
        <is>
          <t>Carbon Steel</t>
        </is>
      </c>
      <c r="AA22" s="45" t="inlineStr">
        <is>
          <t>ASTM A108 12L14</t>
        </is>
      </c>
      <c r="AB22" s="45" t="inlineStr">
        <is>
          <t>Trivalent Cr3 Zinc</t>
        </is>
      </c>
      <c r="AC22" s="45" t="inlineStr">
        <is>
          <t>ASTM B633 Type V/VI</t>
        </is>
      </c>
      <c r="AD22" s="46" t="n">
        <v>3500</v>
      </c>
      <c r="AE22" s="46" t="inlineStr">
        <is>
          <t>generic SAE table @ dash -12 (governing end)</t>
        </is>
      </c>
      <c r="AF22" s="46" t="n">
        <v>-65</v>
      </c>
      <c r="AG22" s="46" t="n">
        <v>400</v>
      </c>
      <c r="AH22" s="37" t="inlineStr">
        <is>
          <t>Ham-Let + hoseandfittings (pressure); Parker Cat.4300 (material); ASTM B633 (finish); see StandardsData</t>
        </is>
      </c>
    </row>
    <row r="23" ht="15" customHeight="1" s="35">
      <c r="A23" s="37" t="inlineStr">
        <is>
          <t>6400-06-16-O</t>
        </is>
      </c>
      <c r="B23" s="37" t="inlineStr">
        <is>
          <t>6400-6-16-O</t>
        </is>
      </c>
      <c r="C23" s="37" t="inlineStr">
        <is>
          <t>6400</t>
        </is>
      </c>
      <c r="D23" s="37" t="n">
        <v>89</v>
      </c>
      <c r="E23" s="37" t="inlineStr">
        <is>
          <t>Straight</t>
        </is>
      </c>
      <c r="F23" s="37" t="inlineStr">
        <is>
          <t>Straight Thread Connector, 9/16-18 x 1 5/16-12</t>
        </is>
      </c>
      <c r="G23" s="37" t="inlineStr">
        <is>
          <t>1 5/16-12</t>
        </is>
      </c>
      <c r="H23" s="37" t="inlineStr">
        <is>
          <t>9/16-18</t>
        </is>
      </c>
      <c r="I23" s="37" t="n"/>
      <c r="J23" s="37" t="inlineStr">
        <is>
          <t>SAE J1926-3</t>
        </is>
      </c>
      <c r="K23" s="37" t="inlineStr">
        <is>
          <t>SAE J514-1</t>
        </is>
      </c>
      <c r="L23" s="37" t="n">
        <v>1.68</v>
      </c>
      <c r="M23" s="37" t="n">
        <v>1.5</v>
      </c>
      <c r="N23" s="37" t="n">
        <v>0.3</v>
      </c>
      <c r="O23" s="37" t="n">
        <v>0.84</v>
      </c>
      <c r="P23" s="37" t="n"/>
      <c r="Q23" s="37" t="n"/>
      <c r="R23" s="44" t="n"/>
      <c r="S23" s="44" t="n">
        <v>1.5</v>
      </c>
      <c r="T23" s="37" t="n">
        <v>0</v>
      </c>
      <c r="U23" s="37" t="inlineStr">
        <is>
          <t>ASSUMED</t>
        </is>
      </c>
      <c r="V23" s="37" t="inlineStr">
        <is>
          <t>MATCH (source cited: SAE J514-1 070120 / MS51525 / MS39324)</t>
        </is>
      </c>
      <c r="W23" s="37" t="inlineStr">
        <is>
          <t>BUILD</t>
        </is>
      </c>
      <c r="X23" s="37" t="inlineStr">
        <is>
          <t>Hex = Air-Way C4 column (per-part). Matched sizes in this topology corroborate the column.</t>
        </is>
      </c>
      <c r="Z23" s="45" t="inlineStr">
        <is>
          <t>Carbon Steel</t>
        </is>
      </c>
      <c r="AA23" s="45" t="inlineStr">
        <is>
          <t>ASTM A108 12L14</t>
        </is>
      </c>
      <c r="AB23" s="45" t="inlineStr">
        <is>
          <t>Trivalent Cr3 Zinc</t>
        </is>
      </c>
      <c r="AC23" s="45" t="inlineStr">
        <is>
          <t>ASTM B633 Type V/VI</t>
        </is>
      </c>
      <c r="AD23" s="46" t="n">
        <v>3000</v>
      </c>
      <c r="AE23" s="46" t="inlineStr">
        <is>
          <t>generic SAE table @ dash -16 (governing end)</t>
        </is>
      </c>
      <c r="AF23" s="46" t="n">
        <v>-65</v>
      </c>
      <c r="AG23" s="46" t="n">
        <v>400</v>
      </c>
      <c r="AH23" s="37" t="inlineStr">
        <is>
          <t>Ham-Let + hoseandfittings (pressure); Parker Cat.4300 (material); ASTM B633 (finish); see StandardsData</t>
        </is>
      </c>
    </row>
    <row r="24" ht="15" customHeight="1" s="35">
      <c r="A24" s="37" t="inlineStr">
        <is>
          <t>6400-08-04-O</t>
        </is>
      </c>
      <c r="B24" s="37" t="inlineStr">
        <is>
          <t>6400-8-4-O</t>
        </is>
      </c>
      <c r="C24" s="37" t="inlineStr">
        <is>
          <t>6400</t>
        </is>
      </c>
      <c r="D24" s="37" t="n">
        <v>89</v>
      </c>
      <c r="E24" s="37" t="inlineStr">
        <is>
          <t>Straight</t>
        </is>
      </c>
      <c r="F24" s="37" t="inlineStr">
        <is>
          <t>Straight Thread Connector, 3/4-16 x 7/16-20</t>
        </is>
      </c>
      <c r="G24" s="37" t="inlineStr">
        <is>
          <t>7/16-20</t>
        </is>
      </c>
      <c r="H24" s="37" t="inlineStr">
        <is>
          <t>3/4-16</t>
        </is>
      </c>
      <c r="I24" s="37" t="n"/>
      <c r="J24" s="37" t="inlineStr">
        <is>
          <t>SAE J1926-3</t>
        </is>
      </c>
      <c r="K24" s="37" t="inlineStr">
        <is>
          <t>SAE J514-1</t>
        </is>
      </c>
      <c r="L24" s="37" t="n">
        <v>1.49</v>
      </c>
      <c r="M24" s="37" t="n">
        <v>0.8100000000000001</v>
      </c>
      <c r="N24" s="37" t="n">
        <v>0.39</v>
      </c>
      <c r="O24" s="37" t="n">
        <v>0.17</v>
      </c>
      <c r="P24" s="37" t="n"/>
      <c r="Q24" s="37" t="n"/>
      <c r="R24" s="44" t="n"/>
      <c r="S24" s="44" t="n">
        <v>0.8100000000000001</v>
      </c>
      <c r="T24" s="37" t="n">
        <v>0</v>
      </c>
      <c r="U24" s="37" t="inlineStr">
        <is>
          <t>ASSUMED</t>
        </is>
      </c>
      <c r="V24" s="37" t="inlineStr">
        <is>
          <t>MATCH (source cited: SAE J514-1 070120 / MS51525 / MS39324)</t>
        </is>
      </c>
      <c r="W24" s="37" t="inlineStr">
        <is>
          <t>BUILD</t>
        </is>
      </c>
      <c r="X24" s="37" t="inlineStr">
        <is>
          <t>Hex = Air-Way C4 column (per-part). Matched sizes in this topology corroborate the column.</t>
        </is>
      </c>
      <c r="Z24" s="45" t="inlineStr">
        <is>
          <t>Carbon Steel</t>
        </is>
      </c>
      <c r="AA24" s="45" t="inlineStr">
        <is>
          <t>ASTM A108 12L14</t>
        </is>
      </c>
      <c r="AB24" s="45" t="inlineStr">
        <is>
          <t>Trivalent Cr3 Zinc</t>
        </is>
      </c>
      <c r="AC24" s="45" t="inlineStr">
        <is>
          <t>ASTM B633 Type V/VI</t>
        </is>
      </c>
      <c r="AD24" s="46" t="n">
        <v>4500</v>
      </c>
      <c r="AE24" s="46" t="inlineStr">
        <is>
          <t>generic SAE table @ dash -8 (governing end)</t>
        </is>
      </c>
      <c r="AF24" s="46" t="n">
        <v>-65</v>
      </c>
      <c r="AG24" s="46" t="n">
        <v>400</v>
      </c>
      <c r="AH24" s="37" t="inlineStr">
        <is>
          <t>Ham-Let + hoseandfittings (pressure); Parker Cat.4300 (material); ASTM B633 (finish); see StandardsData</t>
        </is>
      </c>
    </row>
    <row r="25" ht="15" customHeight="1" s="35">
      <c r="A25" s="37" t="inlineStr">
        <is>
          <t>6400-08-05-O</t>
        </is>
      </c>
      <c r="B25" s="37" t="inlineStr">
        <is>
          <t>6400-8-5-O</t>
        </is>
      </c>
      <c r="C25" s="37" t="inlineStr">
        <is>
          <t>6400</t>
        </is>
      </c>
      <c r="D25" s="37" t="n">
        <v>89</v>
      </c>
      <c r="E25" s="37" t="inlineStr">
        <is>
          <t>Straight</t>
        </is>
      </c>
      <c r="F25" s="37" t="inlineStr">
        <is>
          <t>Straight Thread Connector, 3/4-16 x 1/2-20</t>
        </is>
      </c>
      <c r="G25" s="37" t="inlineStr">
        <is>
          <t>1/2-20</t>
        </is>
      </c>
      <c r="H25" s="37" t="inlineStr">
        <is>
          <t>3/4-16</t>
        </is>
      </c>
      <c r="I25" s="37" t="n"/>
      <c r="J25" s="37" t="inlineStr">
        <is>
          <t>SAE J1926-3</t>
        </is>
      </c>
      <c r="K25" s="37" t="inlineStr">
        <is>
          <t>SAE J514-1</t>
        </is>
      </c>
      <c r="L25" s="37" t="n">
        <v>1.49</v>
      </c>
      <c r="M25" s="37" t="n">
        <v>0.8100000000000001</v>
      </c>
      <c r="N25" s="37" t="n">
        <v>0.39</v>
      </c>
      <c r="O25" s="37" t="n">
        <v>0.23</v>
      </c>
      <c r="P25" s="37" t="n"/>
      <c r="Q25" s="37" t="n"/>
      <c r="R25" s="44" t="n"/>
      <c r="S25" s="44" t="n">
        <v>0.8100000000000001</v>
      </c>
      <c r="T25" s="37" t="n">
        <v>0</v>
      </c>
      <c r="U25" s="37" t="inlineStr">
        <is>
          <t>ASSUMED</t>
        </is>
      </c>
      <c r="V25" s="37" t="inlineStr">
        <is>
          <t>MATCH (source cited: SAE J514-1 070120 / MS51525 / MS39324)</t>
        </is>
      </c>
      <c r="W25" s="37" t="inlineStr">
        <is>
          <t>BUILD</t>
        </is>
      </c>
      <c r="X25" s="37" t="inlineStr">
        <is>
          <t>Hex = Air-Way C4 column (per-part). Matched sizes in this topology corroborate the column.</t>
        </is>
      </c>
      <c r="Z25" s="45" t="inlineStr">
        <is>
          <t>Carbon Steel</t>
        </is>
      </c>
      <c r="AA25" s="45" t="inlineStr">
        <is>
          <t>ASTM A108 12L14</t>
        </is>
      </c>
      <c r="AB25" s="45" t="inlineStr">
        <is>
          <t>Trivalent Cr3 Zinc</t>
        </is>
      </c>
      <c r="AC25" s="45" t="inlineStr">
        <is>
          <t>ASTM B633 Type V/VI</t>
        </is>
      </c>
      <c r="AD25" s="46" t="n">
        <v>4500</v>
      </c>
      <c r="AE25" s="46" t="inlineStr">
        <is>
          <t>generic SAE table @ dash -8 (governing end)</t>
        </is>
      </c>
      <c r="AF25" s="46" t="n">
        <v>-65</v>
      </c>
      <c r="AG25" s="46" t="n">
        <v>400</v>
      </c>
      <c r="AH25" s="37" t="inlineStr">
        <is>
          <t>Ham-Let + hoseandfittings (pressure); Parker Cat.4300 (material); ASTM B633 (finish); see StandardsData</t>
        </is>
      </c>
    </row>
    <row r="26" ht="15" customHeight="1" s="35">
      <c r="A26" s="37" t="inlineStr">
        <is>
          <t>6400-08-06-O</t>
        </is>
      </c>
      <c r="B26" s="37" t="inlineStr">
        <is>
          <t>6400-8-6-O</t>
        </is>
      </c>
      <c r="C26" s="37" t="inlineStr">
        <is>
          <t>6400</t>
        </is>
      </c>
      <c r="D26" s="37" t="n">
        <v>89</v>
      </c>
      <c r="E26" s="37" t="inlineStr">
        <is>
          <t>Straight</t>
        </is>
      </c>
      <c r="F26" s="37" t="inlineStr">
        <is>
          <t>Straight Thread Connector, 3/4-16 x 9/16-18</t>
        </is>
      </c>
      <c r="G26" s="37" t="inlineStr">
        <is>
          <t>9/16-18</t>
        </is>
      </c>
      <c r="H26" s="37" t="inlineStr">
        <is>
          <t>3/4-16</t>
        </is>
      </c>
      <c r="I26" s="37" t="n"/>
      <c r="J26" s="37" t="inlineStr">
        <is>
          <t>SAE J1926-3</t>
        </is>
      </c>
      <c r="K26" s="37" t="inlineStr">
        <is>
          <t>SAE J514-1</t>
        </is>
      </c>
      <c r="L26" s="37" t="n">
        <v>1.44</v>
      </c>
      <c r="M26" s="37" t="n">
        <v>0.8100000000000001</v>
      </c>
      <c r="N26" s="37" t="n">
        <v>0.39</v>
      </c>
      <c r="O26" s="37" t="n">
        <v>0.3</v>
      </c>
      <c r="P26" s="37" t="n"/>
      <c r="Q26" s="37" t="n"/>
      <c r="R26" s="44" t="n"/>
      <c r="S26" s="44" t="n">
        <v>0.8100000000000001</v>
      </c>
      <c r="T26" s="37" t="n">
        <v>0</v>
      </c>
      <c r="U26" s="37" t="inlineStr">
        <is>
          <t>ASSUMED</t>
        </is>
      </c>
      <c r="V26" s="37" t="inlineStr">
        <is>
          <t>MATCH (source cited: SAE J514-1 070120 / MS51525 / MS39324)</t>
        </is>
      </c>
      <c r="W26" s="37" t="inlineStr">
        <is>
          <t>BUILD</t>
        </is>
      </c>
      <c r="X26" s="37" t="inlineStr">
        <is>
          <t>Hex = Air-Way C4 column (per-part). Matched sizes in this topology corroborate the column.</t>
        </is>
      </c>
      <c r="Z26" s="45" t="inlineStr">
        <is>
          <t>Carbon Steel</t>
        </is>
      </c>
      <c r="AA26" s="45" t="inlineStr">
        <is>
          <t>ASTM A108 12L14</t>
        </is>
      </c>
      <c r="AB26" s="45" t="inlineStr">
        <is>
          <t>Trivalent Cr3 Zinc</t>
        </is>
      </c>
      <c r="AC26" s="45" t="inlineStr">
        <is>
          <t>ASTM B633 Type V/VI</t>
        </is>
      </c>
      <c r="AD26" s="46" t="n">
        <v>4500</v>
      </c>
      <c r="AE26" s="46" t="inlineStr">
        <is>
          <t>generic SAE table @ dash -8 (governing end)</t>
        </is>
      </c>
      <c r="AF26" s="46" t="n">
        <v>-65</v>
      </c>
      <c r="AG26" s="46" t="n">
        <v>400</v>
      </c>
      <c r="AH26" s="37" t="inlineStr">
        <is>
          <t>Ham-Let + hoseandfittings (pressure); Parker Cat.4300 (material); ASTM B633 (finish); see StandardsData</t>
        </is>
      </c>
    </row>
    <row r="27" ht="15" customHeight="1" s="35">
      <c r="A27" s="37" t="inlineStr">
        <is>
          <t>6400-08-08-O</t>
        </is>
      </c>
      <c r="B27" s="37" t="inlineStr">
        <is>
          <t>6400-8-8-O</t>
        </is>
      </c>
      <c r="C27" s="37" t="inlineStr">
        <is>
          <t>6400</t>
        </is>
      </c>
      <c r="D27" s="37" t="n">
        <v>89</v>
      </c>
      <c r="E27" s="37" t="inlineStr">
        <is>
          <t>Straight</t>
        </is>
      </c>
      <c r="F27" s="37" t="inlineStr">
        <is>
          <t>Straight Thread Connector, 3/4-16 x 3/4-16</t>
        </is>
      </c>
      <c r="G27" s="37" t="inlineStr">
        <is>
          <t>3/4-16</t>
        </is>
      </c>
      <c r="H27" s="37" t="inlineStr">
        <is>
          <t>3/4-16</t>
        </is>
      </c>
      <c r="I27" s="37" t="n"/>
      <c r="J27" s="37" t="inlineStr">
        <is>
          <t>SAE J1926-3</t>
        </is>
      </c>
      <c r="K27" s="37" t="inlineStr">
        <is>
          <t>SAE J514-1</t>
        </is>
      </c>
      <c r="L27" s="37" t="n">
        <v>1.48</v>
      </c>
      <c r="M27" s="37" t="n">
        <v>0.88</v>
      </c>
      <c r="N27" s="37" t="n">
        <v>0.39</v>
      </c>
      <c r="O27" s="37" t="n">
        <v>0.39</v>
      </c>
      <c r="P27" s="37" t="n"/>
      <c r="Q27" s="37" t="n"/>
      <c r="R27" s="44" t="n"/>
      <c r="S27" s="45" t="n">
        <v>0.88</v>
      </c>
      <c r="T27" s="37" t="n">
        <v>0</v>
      </c>
      <c r="U27" s="37" t="inlineStr">
        <is>
          <t>VERIFIED</t>
        </is>
      </c>
      <c r="V27" s="37" t="inlineStr">
        <is>
          <t>MATCH (source cited: SAE J514-1 070120 / MS51525 / MS39324)</t>
        </is>
      </c>
      <c r="W27" s="37" t="inlineStr">
        <is>
          <t>BUILD</t>
        </is>
      </c>
      <c r="X27" s="37" t="inlineStr">
        <is>
          <t>Hex = Air-Way C4 column, CONFIRMED vs PressureConnections/Purvis.</t>
        </is>
      </c>
      <c r="Z27" s="45" t="inlineStr">
        <is>
          <t>Carbon Steel</t>
        </is>
      </c>
      <c r="AA27" s="45" t="inlineStr">
        <is>
          <t>ASTM A108 12L14</t>
        </is>
      </c>
      <c r="AB27" s="45" t="inlineStr">
        <is>
          <t>Trivalent Cr3 Zinc</t>
        </is>
      </c>
      <c r="AC27" s="45" t="inlineStr">
        <is>
          <t>ASTM B633 Type V/VI</t>
        </is>
      </c>
      <c r="AD27" s="46" t="n">
        <v>4500</v>
      </c>
      <c r="AE27" s="46" t="inlineStr">
        <is>
          <t>generic SAE table @ dash -8 (governing end)</t>
        </is>
      </c>
      <c r="AF27" s="46" t="n">
        <v>-65</v>
      </c>
      <c r="AG27" s="46" t="n">
        <v>400</v>
      </c>
      <c r="AH27" s="37" t="inlineStr">
        <is>
          <t>Ham-Let + hoseandfittings (pressure); Parker Cat.4300 (material); ASTM B633 (finish); see StandardsData</t>
        </is>
      </c>
    </row>
    <row r="28" ht="15" customHeight="1" s="35">
      <c r="A28" s="37" t="inlineStr">
        <is>
          <t>6400-08-10-O</t>
        </is>
      </c>
      <c r="B28" s="37" t="inlineStr">
        <is>
          <t>6400-8-10-O</t>
        </is>
      </c>
      <c r="C28" s="37" t="inlineStr">
        <is>
          <t>6400</t>
        </is>
      </c>
      <c r="D28" s="37" t="n">
        <v>89</v>
      </c>
      <c r="E28" s="37" t="inlineStr">
        <is>
          <t>Straight</t>
        </is>
      </c>
      <c r="F28" s="37" t="inlineStr">
        <is>
          <t>Straight Thread Connector, 3/4-16 x 7/8-14</t>
        </is>
      </c>
      <c r="G28" s="37" t="inlineStr">
        <is>
          <t>7/8-14</t>
        </is>
      </c>
      <c r="H28" s="37" t="inlineStr">
        <is>
          <t>3/4-16</t>
        </is>
      </c>
      <c r="I28" s="37" t="n"/>
      <c r="J28" s="37" t="inlineStr">
        <is>
          <t>SAE J1926-3</t>
        </is>
      </c>
      <c r="K28" s="37" t="inlineStr">
        <is>
          <t>SAE J514-1</t>
        </is>
      </c>
      <c r="L28" s="37" t="n">
        <v>1.6</v>
      </c>
      <c r="M28" s="37" t="n">
        <v>1</v>
      </c>
      <c r="N28" s="37" t="n">
        <v>0.39</v>
      </c>
      <c r="O28" s="37" t="n">
        <v>0.48</v>
      </c>
      <c r="P28" s="37" t="n"/>
      <c r="Q28" s="37" t="n"/>
      <c r="R28" s="44" t="n"/>
      <c r="S28" s="44" t="n">
        <v>1</v>
      </c>
      <c r="T28" s="37" t="n">
        <v>0</v>
      </c>
      <c r="U28" s="37" t="inlineStr">
        <is>
          <t>ASSUMED</t>
        </is>
      </c>
      <c r="V28" s="37" t="inlineStr">
        <is>
          <t>MATCH (source cited: SAE J514-1 070120 / MS51525 / MS39324)</t>
        </is>
      </c>
      <c r="W28" s="37" t="inlineStr">
        <is>
          <t>BUILD</t>
        </is>
      </c>
      <c r="X28" s="37" t="inlineStr">
        <is>
          <t>Hex = Air-Way C4 column (per-part). Matched sizes in this topology corroborate the column.</t>
        </is>
      </c>
      <c r="Z28" s="45" t="inlineStr">
        <is>
          <t>Carbon Steel</t>
        </is>
      </c>
      <c r="AA28" s="45" t="inlineStr">
        <is>
          <t>ASTM A108 12L14</t>
        </is>
      </c>
      <c r="AB28" s="45" t="inlineStr">
        <is>
          <t>Trivalent Cr3 Zinc</t>
        </is>
      </c>
      <c r="AC28" s="45" t="inlineStr">
        <is>
          <t>ASTM B633 Type V/VI</t>
        </is>
      </c>
      <c r="AD28" s="46" t="n">
        <v>3500</v>
      </c>
      <c r="AE28" s="46" t="inlineStr">
        <is>
          <t>generic SAE table @ dash -10 (governing end)</t>
        </is>
      </c>
      <c r="AF28" s="46" t="n">
        <v>-65</v>
      </c>
      <c r="AG28" s="46" t="n">
        <v>400</v>
      </c>
      <c r="AH28" s="37" t="inlineStr">
        <is>
          <t>Ham-Let + hoseandfittings (pressure); Parker Cat.4300 (material); ASTM B633 (finish); see StandardsData</t>
        </is>
      </c>
    </row>
    <row r="29" ht="15" customHeight="1" s="35">
      <c r="A29" s="37" t="inlineStr">
        <is>
          <t>6400-08-12-O</t>
        </is>
      </c>
      <c r="B29" s="37" t="inlineStr">
        <is>
          <t>6400-8-12-O</t>
        </is>
      </c>
      <c r="C29" s="37" t="inlineStr">
        <is>
          <t>6400</t>
        </is>
      </c>
      <c r="D29" s="37" t="n">
        <v>89</v>
      </c>
      <c r="E29" s="37" t="inlineStr">
        <is>
          <t>Straight</t>
        </is>
      </c>
      <c r="F29" s="37" t="inlineStr">
        <is>
          <t>Straight Thread Connector, 3/4-16 x 1 1/16-12</t>
        </is>
      </c>
      <c r="G29" s="37" t="inlineStr">
        <is>
          <t>1 1/16-12</t>
        </is>
      </c>
      <c r="H29" s="37" t="inlineStr">
        <is>
          <t>3/4-16</t>
        </is>
      </c>
      <c r="I29" s="37" t="n"/>
      <c r="J29" s="37" t="inlineStr">
        <is>
          <t>SAE J1926-3</t>
        </is>
      </c>
      <c r="K29" s="37" t="inlineStr">
        <is>
          <t>SAE J514-1</t>
        </is>
      </c>
      <c r="L29" s="37" t="n">
        <v>1.76</v>
      </c>
      <c r="M29" s="37" t="n">
        <v>1.25</v>
      </c>
      <c r="N29" s="37" t="n">
        <v>0.39</v>
      </c>
      <c r="O29" s="37" t="n">
        <v>0.61</v>
      </c>
      <c r="P29" s="37" t="n"/>
      <c r="Q29" s="37" t="n"/>
      <c r="R29" s="44" t="n"/>
      <c r="S29" s="44" t="n">
        <v>1.25</v>
      </c>
      <c r="T29" s="37" t="n">
        <v>0</v>
      </c>
      <c r="U29" s="37" t="inlineStr">
        <is>
          <t>ASSUMED</t>
        </is>
      </c>
      <c r="V29" s="37" t="inlineStr">
        <is>
          <t>MATCH (source cited: SAE J514-1 070120 / MS51525 / MS39324)</t>
        </is>
      </c>
      <c r="W29" s="37" t="inlineStr">
        <is>
          <t>BUILD</t>
        </is>
      </c>
      <c r="X29" s="37" t="inlineStr">
        <is>
          <t>Hex = Air-Way C4 column (per-part). Matched sizes in this topology corroborate the column.</t>
        </is>
      </c>
      <c r="Z29" s="45" t="inlineStr">
        <is>
          <t>Carbon Steel</t>
        </is>
      </c>
      <c r="AA29" s="45" t="inlineStr">
        <is>
          <t>ASTM A108 12L14</t>
        </is>
      </c>
      <c r="AB29" s="45" t="inlineStr">
        <is>
          <t>Trivalent Cr3 Zinc</t>
        </is>
      </c>
      <c r="AC29" s="45" t="inlineStr">
        <is>
          <t>ASTM B633 Type V/VI</t>
        </is>
      </c>
      <c r="AD29" s="46" t="n">
        <v>3500</v>
      </c>
      <c r="AE29" s="46" t="inlineStr">
        <is>
          <t>generic SAE table @ dash -12 (governing end)</t>
        </is>
      </c>
      <c r="AF29" s="46" t="n">
        <v>-65</v>
      </c>
      <c r="AG29" s="46" t="n">
        <v>400</v>
      </c>
      <c r="AH29" s="37" t="inlineStr">
        <is>
          <t>Ham-Let + hoseandfittings (pressure); Parker Cat.4300 (material); ASTM B633 (finish); see StandardsData</t>
        </is>
      </c>
    </row>
    <row r="30" ht="15" customHeight="1" s="35">
      <c r="A30" s="37" t="inlineStr">
        <is>
          <t>6400-08-14-O</t>
        </is>
      </c>
      <c r="B30" s="37" t="inlineStr">
        <is>
          <t>6400-8-14-O</t>
        </is>
      </c>
      <c r="C30" s="37" t="inlineStr">
        <is>
          <t>6400</t>
        </is>
      </c>
      <c r="D30" s="37" t="n">
        <v>89</v>
      </c>
      <c r="E30" s="37" t="inlineStr">
        <is>
          <t>Straight</t>
        </is>
      </c>
      <c r="F30" s="37" t="inlineStr">
        <is>
          <t>Straight Thread Connector, 3/4-16 x 1 3/16-12</t>
        </is>
      </c>
      <c r="G30" s="37" t="inlineStr">
        <is>
          <t>1 3/16-12</t>
        </is>
      </c>
      <c r="H30" s="37" t="inlineStr">
        <is>
          <t>3/4-16</t>
        </is>
      </c>
      <c r="I30" s="37" t="n"/>
      <c r="J30" s="37" t="inlineStr">
        <is>
          <t>SAE J1926-3</t>
        </is>
      </c>
      <c r="K30" s="37" t="inlineStr">
        <is>
          <t>SAE J514-1</t>
        </is>
      </c>
      <c r="L30" s="37" t="n">
        <v>1.76</v>
      </c>
      <c r="M30" s="37" t="n">
        <v>1.38</v>
      </c>
      <c r="N30" s="37" t="n">
        <v>0.39</v>
      </c>
      <c r="O30" s="37" t="n">
        <v>0.72</v>
      </c>
      <c r="P30" s="37" t="n"/>
      <c r="Q30" s="37" t="n"/>
      <c r="R30" s="44" t="n"/>
      <c r="S30" s="44" t="n">
        <v>1.38</v>
      </c>
      <c r="T30" s="37" t="n">
        <v>0</v>
      </c>
      <c r="U30" s="37" t="inlineStr">
        <is>
          <t>ASSUMED</t>
        </is>
      </c>
      <c r="V30" s="37" t="inlineStr">
        <is>
          <t>MATCH (source cited: SAE J514-1 070120 / MS51525 / MS39324)</t>
        </is>
      </c>
      <c r="W30" s="37" t="inlineStr">
        <is>
          <t>BUILD</t>
        </is>
      </c>
      <c r="X30" s="37" t="inlineStr">
        <is>
          <t>Hex = Air-Way C4 column (per-part). Matched sizes in this topology corroborate the column.</t>
        </is>
      </c>
      <c r="Z30" s="45" t="inlineStr">
        <is>
          <t>Carbon Steel</t>
        </is>
      </c>
      <c r="AA30" s="45" t="inlineStr">
        <is>
          <t>ASTM A108 12L14</t>
        </is>
      </c>
      <c r="AB30" s="45" t="inlineStr">
        <is>
          <t>Trivalent Cr3 Zinc</t>
        </is>
      </c>
      <c r="AC30" s="45" t="inlineStr">
        <is>
          <t>ASTM B633 Type V/VI</t>
        </is>
      </c>
      <c r="AD30" s="46" t="n">
        <v>3000</v>
      </c>
      <c r="AE30" s="46" t="inlineStr">
        <is>
          <t>generic SAE table @ dash -14 (governing end)</t>
        </is>
      </c>
      <c r="AF30" s="46" t="n">
        <v>-65</v>
      </c>
      <c r="AG30" s="46" t="n">
        <v>400</v>
      </c>
      <c r="AH30" s="37" t="inlineStr">
        <is>
          <t>Ham-Let + hoseandfittings (pressure); Parker Cat.4300 (material); ASTM B633 (finish); see StandardsData</t>
        </is>
      </c>
    </row>
    <row r="31" ht="15" customHeight="1" s="35">
      <c r="A31" s="37" t="inlineStr">
        <is>
          <t>6400-08-16-O</t>
        </is>
      </c>
      <c r="B31" s="37" t="inlineStr">
        <is>
          <t>6400-8-16-O</t>
        </is>
      </c>
      <c r="C31" s="37" t="inlineStr">
        <is>
          <t>6400</t>
        </is>
      </c>
      <c r="D31" s="37" t="n">
        <v>89</v>
      </c>
      <c r="E31" s="37" t="inlineStr">
        <is>
          <t>Straight</t>
        </is>
      </c>
      <c r="F31" s="37" t="inlineStr">
        <is>
          <t>Straight Thread Connector, 3/4-16 x 1 5/16-12</t>
        </is>
      </c>
      <c r="G31" s="37" t="inlineStr">
        <is>
          <t>1 5/16-12</t>
        </is>
      </c>
      <c r="H31" s="37" t="inlineStr">
        <is>
          <t>3/4-16</t>
        </is>
      </c>
      <c r="I31" s="37" t="n"/>
      <c r="J31" s="37" t="inlineStr">
        <is>
          <t>SAE J1926-3</t>
        </is>
      </c>
      <c r="K31" s="37" t="inlineStr">
        <is>
          <t>SAE J514-1</t>
        </is>
      </c>
      <c r="L31" s="37" t="n">
        <v>1.79</v>
      </c>
      <c r="M31" s="37" t="n">
        <v>1.5</v>
      </c>
      <c r="N31" s="37" t="n">
        <v>0.39</v>
      </c>
      <c r="O31" s="37" t="n">
        <v>0.84</v>
      </c>
      <c r="P31" s="37" t="n"/>
      <c r="Q31" s="37" t="n"/>
      <c r="R31" s="44" t="n"/>
      <c r="S31" s="44" t="n">
        <v>1.5</v>
      </c>
      <c r="T31" s="37" t="n">
        <v>0</v>
      </c>
      <c r="U31" s="37" t="inlineStr">
        <is>
          <t>ASSUMED</t>
        </is>
      </c>
      <c r="V31" s="37" t="inlineStr">
        <is>
          <t>MATCH (source cited: SAE J514-1 070120 / MS51525 / MS39324)</t>
        </is>
      </c>
      <c r="W31" s="37" t="inlineStr">
        <is>
          <t>BUILD</t>
        </is>
      </c>
      <c r="X31" s="37" t="inlineStr">
        <is>
          <t>Hex = Air-Way C4 column (per-part). Matched sizes in this topology corroborate the column.</t>
        </is>
      </c>
      <c r="Z31" s="45" t="inlineStr">
        <is>
          <t>Carbon Steel</t>
        </is>
      </c>
      <c r="AA31" s="45" t="inlineStr">
        <is>
          <t>ASTM A108 12L14</t>
        </is>
      </c>
      <c r="AB31" s="45" t="inlineStr">
        <is>
          <t>Trivalent Cr3 Zinc</t>
        </is>
      </c>
      <c r="AC31" s="45" t="inlineStr">
        <is>
          <t>ASTM B633 Type V/VI</t>
        </is>
      </c>
      <c r="AD31" s="46" t="n">
        <v>3000</v>
      </c>
      <c r="AE31" s="46" t="inlineStr">
        <is>
          <t>generic SAE table @ dash -16 (governing end)</t>
        </is>
      </c>
      <c r="AF31" s="46" t="n">
        <v>-65</v>
      </c>
      <c r="AG31" s="46" t="n">
        <v>400</v>
      </c>
      <c r="AH31" s="37" t="inlineStr">
        <is>
          <t>Ham-Let + hoseandfittings (pressure); Parker Cat.4300 (material); ASTM B633 (finish); see StandardsData</t>
        </is>
      </c>
    </row>
    <row r="32" ht="15" customHeight="1" s="35">
      <c r="A32" s="37" t="inlineStr">
        <is>
          <t>6400-08-20-O</t>
        </is>
      </c>
      <c r="B32" s="37" t="inlineStr">
        <is>
          <t>6400-8-20-O</t>
        </is>
      </c>
      <c r="C32" s="37" t="inlineStr">
        <is>
          <t>6400</t>
        </is>
      </c>
      <c r="D32" s="37" t="n">
        <v>89</v>
      </c>
      <c r="E32" s="37" t="inlineStr">
        <is>
          <t>Straight</t>
        </is>
      </c>
      <c r="F32" s="37" t="inlineStr">
        <is>
          <t>Straight Thread Connector, 3/4-16 x 1 5/8-12</t>
        </is>
      </c>
      <c r="G32" s="37" t="inlineStr">
        <is>
          <t>1 5/8-12</t>
        </is>
      </c>
      <c r="H32" s="37" t="inlineStr">
        <is>
          <t>3/4-16</t>
        </is>
      </c>
      <c r="I32" s="37" t="n"/>
      <c r="J32" s="37" t="inlineStr">
        <is>
          <t>SAE J1926-3</t>
        </is>
      </c>
      <c r="K32" s="37" t="inlineStr">
        <is>
          <t>SAE J514-1</t>
        </is>
      </c>
      <c r="L32" s="37" t="n">
        <v>1.87</v>
      </c>
      <c r="M32" s="37" t="n">
        <v>1.88</v>
      </c>
      <c r="N32" s="37" t="n">
        <v>0.39</v>
      </c>
      <c r="O32" s="37" t="n">
        <v>1.08</v>
      </c>
      <c r="P32" s="37" t="n"/>
      <c r="Q32" s="37" t="n"/>
      <c r="R32" s="44" t="n"/>
      <c r="S32" s="44" t="n">
        <v>1.88</v>
      </c>
      <c r="T32" s="37" t="n">
        <v>0</v>
      </c>
      <c r="U32" s="37" t="inlineStr">
        <is>
          <t>ASSUMED</t>
        </is>
      </c>
      <c r="V32" s="37" t="inlineStr">
        <is>
          <t>MATCH (source cited: SAE J514-1 070120 / MS51525 / MS39324)</t>
        </is>
      </c>
      <c r="W32" s="37" t="inlineStr">
        <is>
          <t>BUILD</t>
        </is>
      </c>
      <c r="X32" s="37" t="inlineStr">
        <is>
          <t>Hex = Air-Way C4 column (per-part). Matched sizes in this topology corroborate the column.</t>
        </is>
      </c>
      <c r="Z32" s="45" t="inlineStr">
        <is>
          <t>Carbon Steel</t>
        </is>
      </c>
      <c r="AA32" s="45" t="inlineStr">
        <is>
          <t>ASTM A108 12L14</t>
        </is>
      </c>
      <c r="AB32" s="45" t="inlineStr">
        <is>
          <t>Trivalent Cr3 Zinc</t>
        </is>
      </c>
      <c r="AC32" s="45" t="inlineStr">
        <is>
          <t>ASTM B633 Type V/VI</t>
        </is>
      </c>
      <c r="AD32" s="46" t="n">
        <v>2500</v>
      </c>
      <c r="AE32" s="46" t="inlineStr">
        <is>
          <t>generic SAE table @ dash -20 (governing end)</t>
        </is>
      </c>
      <c r="AF32" s="46" t="n">
        <v>-65</v>
      </c>
      <c r="AG32" s="46" t="n">
        <v>400</v>
      </c>
      <c r="AH32" s="37" t="inlineStr">
        <is>
          <t>Ham-Let + hoseandfittings (pressure); Parker Cat.4300 (material); ASTM B633 (finish); see StandardsData</t>
        </is>
      </c>
    </row>
    <row r="33" ht="15" customHeight="1" s="35">
      <c r="A33" s="37" t="inlineStr">
        <is>
          <t>6400-10-06-O</t>
        </is>
      </c>
      <c r="B33" s="37" t="inlineStr">
        <is>
          <t>6400-10-6-O</t>
        </is>
      </c>
      <c r="C33" s="37" t="inlineStr">
        <is>
          <t>6400</t>
        </is>
      </c>
      <c r="D33" s="37" t="n">
        <v>89</v>
      </c>
      <c r="E33" s="37" t="inlineStr">
        <is>
          <t>Straight</t>
        </is>
      </c>
      <c r="F33" s="37" t="inlineStr">
        <is>
          <t>Straight Thread Connector, 7/8-14 x 9/16-18</t>
        </is>
      </c>
      <c r="G33" s="37" t="inlineStr">
        <is>
          <t>9/16-18</t>
        </is>
      </c>
      <c r="H33" s="37" t="inlineStr">
        <is>
          <t>7/8-14</t>
        </is>
      </c>
      <c r="I33" s="37" t="n"/>
      <c r="J33" s="37" t="inlineStr">
        <is>
          <t>SAE J1926-3</t>
        </is>
      </c>
      <c r="K33" s="37" t="inlineStr">
        <is>
          <t>SAE J514-1</t>
        </is>
      </c>
      <c r="L33" s="37" t="n">
        <v>1.71</v>
      </c>
      <c r="M33" s="37" t="n">
        <v>0.9399999999999999</v>
      </c>
      <c r="N33" s="37" t="n">
        <v>0.48</v>
      </c>
      <c r="O33" s="37" t="n">
        <v>0.3</v>
      </c>
      <c r="P33" s="37" t="n"/>
      <c r="Q33" s="37" t="n"/>
      <c r="R33" s="44" t="n"/>
      <c r="S33" s="44" t="n">
        <v>0.9399999999999999</v>
      </c>
      <c r="T33" s="37" t="n">
        <v>0</v>
      </c>
      <c r="U33" s="37" t="inlineStr">
        <is>
          <t>ASSUMED</t>
        </is>
      </c>
      <c r="V33" s="37" t="inlineStr">
        <is>
          <t>MATCH (source cited: SAE J514-1 070120 / MS51525 / MS39324)</t>
        </is>
      </c>
      <c r="W33" s="37" t="inlineStr">
        <is>
          <t>BUILD</t>
        </is>
      </c>
      <c r="X33" s="37" t="inlineStr">
        <is>
          <t>Hex = Air-Way C4 column (per-part). Matched sizes in this topology corroborate the column.</t>
        </is>
      </c>
      <c r="Z33" s="45" t="inlineStr">
        <is>
          <t>Carbon Steel</t>
        </is>
      </c>
      <c r="AA33" s="45" t="inlineStr">
        <is>
          <t>ASTM A108 12L14</t>
        </is>
      </c>
      <c r="AB33" s="45" t="inlineStr">
        <is>
          <t>Trivalent Cr3 Zinc</t>
        </is>
      </c>
      <c r="AC33" s="45" t="inlineStr">
        <is>
          <t>ASTM B633 Type V/VI</t>
        </is>
      </c>
      <c r="AD33" s="46" t="n">
        <v>3500</v>
      </c>
      <c r="AE33" s="46" t="inlineStr">
        <is>
          <t>generic SAE table @ dash -10 (governing end)</t>
        </is>
      </c>
      <c r="AF33" s="46" t="n">
        <v>-65</v>
      </c>
      <c r="AG33" s="46" t="n">
        <v>400</v>
      </c>
      <c r="AH33" s="37" t="inlineStr">
        <is>
          <t>Ham-Let + hoseandfittings (pressure); Parker Cat.4300 (material); ASTM B633 (finish); see StandardsData</t>
        </is>
      </c>
    </row>
    <row r="34" ht="15" customHeight="1" s="35">
      <c r="A34" s="37" t="inlineStr">
        <is>
          <t>6400-10-08-O</t>
        </is>
      </c>
      <c r="B34" s="37" t="inlineStr">
        <is>
          <t>6400-10-8-O</t>
        </is>
      </c>
      <c r="C34" s="37" t="inlineStr">
        <is>
          <t>6400</t>
        </is>
      </c>
      <c r="D34" s="37" t="n">
        <v>89</v>
      </c>
      <c r="E34" s="37" t="inlineStr">
        <is>
          <t>Straight</t>
        </is>
      </c>
      <c r="F34" s="37" t="inlineStr">
        <is>
          <t>Straight Thread Connector, 7/8-14 x 3/4-16</t>
        </is>
      </c>
      <c r="G34" s="37" t="inlineStr">
        <is>
          <t>3/4-16</t>
        </is>
      </c>
      <c r="H34" s="37" t="inlineStr">
        <is>
          <t>7/8-14</t>
        </is>
      </c>
      <c r="I34" s="37" t="n"/>
      <c r="J34" s="37" t="inlineStr">
        <is>
          <t>SAE J1926-3</t>
        </is>
      </c>
      <c r="K34" s="37" t="inlineStr">
        <is>
          <t>SAE J514-1</t>
        </is>
      </c>
      <c r="L34" s="37" t="n">
        <v>1.64</v>
      </c>
      <c r="M34" s="37" t="n">
        <v>0.9399999999999999</v>
      </c>
      <c r="N34" s="37" t="n">
        <v>0.48</v>
      </c>
      <c r="O34" s="37" t="n">
        <v>0.39</v>
      </c>
      <c r="P34" s="37" t="n"/>
      <c r="Q34" s="37" t="n"/>
      <c r="R34" s="44" t="n"/>
      <c r="S34" s="44" t="n">
        <v>0.9399999999999999</v>
      </c>
      <c r="T34" s="37" t="n">
        <v>0</v>
      </c>
      <c r="U34" s="37" t="inlineStr">
        <is>
          <t>ASSUMED</t>
        </is>
      </c>
      <c r="V34" s="37" t="inlineStr">
        <is>
          <t>MATCH (source cited: SAE J514-1 070120 / MS51525 / MS39324)</t>
        </is>
      </c>
      <c r="W34" s="37" t="inlineStr">
        <is>
          <t>BUILD</t>
        </is>
      </c>
      <c r="X34" s="37" t="inlineStr">
        <is>
          <t>Hex = Air-Way C4 column (per-part). Matched sizes in this topology corroborate the column.</t>
        </is>
      </c>
      <c r="Z34" s="45" t="inlineStr">
        <is>
          <t>Carbon Steel</t>
        </is>
      </c>
      <c r="AA34" s="45" t="inlineStr">
        <is>
          <t>ASTM A108 12L14</t>
        </is>
      </c>
      <c r="AB34" s="45" t="inlineStr">
        <is>
          <t>Trivalent Cr3 Zinc</t>
        </is>
      </c>
      <c r="AC34" s="45" t="inlineStr">
        <is>
          <t>ASTM B633 Type V/VI</t>
        </is>
      </c>
      <c r="AD34" s="46" t="n">
        <v>3500</v>
      </c>
      <c r="AE34" s="46" t="inlineStr">
        <is>
          <t>generic SAE table @ dash -10 (governing end)</t>
        </is>
      </c>
      <c r="AF34" s="46" t="n">
        <v>-65</v>
      </c>
      <c r="AG34" s="46" t="n">
        <v>400</v>
      </c>
      <c r="AH34" s="37" t="inlineStr">
        <is>
          <t>Ham-Let + hoseandfittings (pressure); Parker Cat.4300 (material); ASTM B633 (finish); see StandardsData</t>
        </is>
      </c>
    </row>
    <row r="35" ht="15" customHeight="1" s="35">
      <c r="A35" s="37" t="inlineStr">
        <is>
          <t>6400-10-10-O</t>
        </is>
      </c>
      <c r="B35" s="37" t="inlineStr">
        <is>
          <t>6400-10-10-O</t>
        </is>
      </c>
      <c r="C35" s="37" t="inlineStr">
        <is>
          <t>6400</t>
        </is>
      </c>
      <c r="D35" s="37" t="n">
        <v>89</v>
      </c>
      <c r="E35" s="37" t="inlineStr">
        <is>
          <t>Straight</t>
        </is>
      </c>
      <c r="F35" s="37" t="inlineStr">
        <is>
          <t>Straight Thread Connector, 7/8-14 x 7/8-14</t>
        </is>
      </c>
      <c r="G35" s="37" t="inlineStr">
        <is>
          <t>7/8-14</t>
        </is>
      </c>
      <c r="H35" s="37" t="inlineStr">
        <is>
          <t>7/8-14</t>
        </is>
      </c>
      <c r="I35" s="37" t="n"/>
      <c r="J35" s="37" t="inlineStr">
        <is>
          <t>SAE J1926-3</t>
        </is>
      </c>
      <c r="K35" s="37" t="inlineStr">
        <is>
          <t>SAE J514-1</t>
        </is>
      </c>
      <c r="L35" s="37" t="n">
        <v>1.7</v>
      </c>
      <c r="M35" s="37" t="n">
        <v>1</v>
      </c>
      <c r="N35" s="37" t="n">
        <v>0.48</v>
      </c>
      <c r="O35" s="37" t="n">
        <v>0.48</v>
      </c>
      <c r="P35" s="37" t="n"/>
      <c r="Q35" s="37" t="n"/>
      <c r="R35" s="44" t="n"/>
      <c r="S35" s="45" t="n">
        <v>1</v>
      </c>
      <c r="T35" s="37" t="n">
        <v>0</v>
      </c>
      <c r="U35" s="37" t="inlineStr">
        <is>
          <t>VERIFIED</t>
        </is>
      </c>
      <c r="V35" s="37" t="inlineStr">
        <is>
          <t>MATCH (source cited: SAE J514-1 070120 / MS51525 / MS39324)</t>
        </is>
      </c>
      <c r="W35" s="37" t="inlineStr">
        <is>
          <t>BUILD</t>
        </is>
      </c>
      <c r="X35" s="37" t="inlineStr">
        <is>
          <t>Hex = Air-Way C4 column, CONFIRMED vs PressureConnections/Purvis.</t>
        </is>
      </c>
      <c r="Z35" s="45" t="inlineStr">
        <is>
          <t>Carbon Steel</t>
        </is>
      </c>
      <c r="AA35" s="45" t="inlineStr">
        <is>
          <t>ASTM A108 12L14</t>
        </is>
      </c>
      <c r="AB35" s="45" t="inlineStr">
        <is>
          <t>Trivalent Cr3 Zinc</t>
        </is>
      </c>
      <c r="AC35" s="45" t="inlineStr">
        <is>
          <t>ASTM B633 Type V/VI</t>
        </is>
      </c>
      <c r="AD35" s="46" t="n">
        <v>3500</v>
      </c>
      <c r="AE35" s="46" t="inlineStr">
        <is>
          <t>generic SAE table @ dash -10 (governing end)</t>
        </is>
      </c>
      <c r="AF35" s="46" t="n">
        <v>-65</v>
      </c>
      <c r="AG35" s="46" t="n">
        <v>400</v>
      </c>
      <c r="AH35" s="37" t="inlineStr">
        <is>
          <t>Ham-Let + hoseandfittings (pressure); Parker Cat.4300 (material); ASTM B633 (finish); see StandardsData</t>
        </is>
      </c>
    </row>
    <row r="36" ht="15" customHeight="1" s="35">
      <c r="A36" s="37" t="inlineStr">
        <is>
          <t>6400-10-12-O</t>
        </is>
      </c>
      <c r="B36" s="37" t="inlineStr">
        <is>
          <t>6400-10-12-O</t>
        </is>
      </c>
      <c r="C36" s="37" t="inlineStr">
        <is>
          <t>6400</t>
        </is>
      </c>
      <c r="D36" s="37" t="n">
        <v>89</v>
      </c>
      <c r="E36" s="37" t="inlineStr">
        <is>
          <t>Straight</t>
        </is>
      </c>
      <c r="F36" s="37" t="inlineStr">
        <is>
          <t>Straight Thread Connector, 7/8-14 x 1 1/16-12</t>
        </is>
      </c>
      <c r="G36" s="37" t="inlineStr">
        <is>
          <t>1 1/16-12</t>
        </is>
      </c>
      <c r="H36" s="37" t="inlineStr">
        <is>
          <t>7/8-14</t>
        </is>
      </c>
      <c r="I36" s="37" t="n"/>
      <c r="J36" s="37" t="inlineStr">
        <is>
          <t>SAE J1926-3</t>
        </is>
      </c>
      <c r="K36" s="37" t="inlineStr">
        <is>
          <t>SAE J514-1</t>
        </is>
      </c>
      <c r="L36" s="37" t="n">
        <v>1.86</v>
      </c>
      <c r="M36" s="37" t="n">
        <v>1.25</v>
      </c>
      <c r="N36" s="37" t="n">
        <v>0.48</v>
      </c>
      <c r="O36" s="37" t="n">
        <v>0.48</v>
      </c>
      <c r="P36" s="37" t="n"/>
      <c r="Q36" s="37" t="n"/>
      <c r="R36" s="44" t="n"/>
      <c r="S36" s="44" t="n">
        <v>1.25</v>
      </c>
      <c r="T36" s="37" t="n">
        <v>0</v>
      </c>
      <c r="U36" s="37" t="inlineStr">
        <is>
          <t>ASSUMED</t>
        </is>
      </c>
      <c r="V36" s="37" t="inlineStr">
        <is>
          <t>MATCH (source cited: SAE J514-1 070120 / MS51525 / MS39324)</t>
        </is>
      </c>
      <c r="W36" s="37" t="inlineStr">
        <is>
          <t>BUILD</t>
        </is>
      </c>
      <c r="X36" s="37" t="inlineStr">
        <is>
          <t>Hex = Air-Way C4 column (per-part). Matched sizes in this topology corroborate the column.</t>
        </is>
      </c>
      <c r="Z36" s="45" t="inlineStr">
        <is>
          <t>Carbon Steel</t>
        </is>
      </c>
      <c r="AA36" s="45" t="inlineStr">
        <is>
          <t>ASTM A108 12L14</t>
        </is>
      </c>
      <c r="AB36" s="45" t="inlineStr">
        <is>
          <t>Trivalent Cr3 Zinc</t>
        </is>
      </c>
      <c r="AC36" s="45" t="inlineStr">
        <is>
          <t>ASTM B633 Type V/VI</t>
        </is>
      </c>
      <c r="AD36" s="46" t="n">
        <v>3500</v>
      </c>
      <c r="AE36" s="46" t="inlineStr">
        <is>
          <t>generic SAE table @ dash -12 (governing end)</t>
        </is>
      </c>
      <c r="AF36" s="46" t="n">
        <v>-65</v>
      </c>
      <c r="AG36" s="46" t="n">
        <v>400</v>
      </c>
      <c r="AH36" s="37" t="inlineStr">
        <is>
          <t>Ham-Let + hoseandfittings (pressure); Parker Cat.4300 (material); ASTM B633 (finish); see StandardsData</t>
        </is>
      </c>
    </row>
    <row r="37" ht="15" customHeight="1" s="35">
      <c r="A37" s="37" t="inlineStr">
        <is>
          <t>6400-10-16-O</t>
        </is>
      </c>
      <c r="B37" s="37" t="inlineStr">
        <is>
          <t>6400-10-16-O</t>
        </is>
      </c>
      <c r="C37" s="37" t="inlineStr">
        <is>
          <t>6400</t>
        </is>
      </c>
      <c r="D37" s="37" t="n">
        <v>89</v>
      </c>
      <c r="E37" s="37" t="inlineStr">
        <is>
          <t>Straight</t>
        </is>
      </c>
      <c r="F37" s="37" t="inlineStr">
        <is>
          <t>Straight Thread Connector, 7/8-14 x 1 5/16-12</t>
        </is>
      </c>
      <c r="G37" s="37" t="inlineStr">
        <is>
          <t>1 5/16-12</t>
        </is>
      </c>
      <c r="H37" s="37" t="inlineStr">
        <is>
          <t>7/8-14</t>
        </is>
      </c>
      <c r="I37" s="37" t="n"/>
      <c r="J37" s="37" t="inlineStr">
        <is>
          <t>SAE J1926-3</t>
        </is>
      </c>
      <c r="K37" s="37" t="inlineStr">
        <is>
          <t>SAE J514-1</t>
        </is>
      </c>
      <c r="L37" s="37" t="n">
        <v>1.89</v>
      </c>
      <c r="M37" s="37" t="n">
        <v>1.5</v>
      </c>
      <c r="N37" s="37" t="n">
        <v>0.48</v>
      </c>
      <c r="O37" s="37" t="n">
        <v>0.84</v>
      </c>
      <c r="P37" s="37" t="n"/>
      <c r="Q37" s="37" t="n"/>
      <c r="R37" s="44" t="n"/>
      <c r="S37" s="44" t="n">
        <v>1.5</v>
      </c>
      <c r="T37" s="37" t="n">
        <v>0</v>
      </c>
      <c r="U37" s="37" t="inlineStr">
        <is>
          <t>ASSUMED</t>
        </is>
      </c>
      <c r="V37" s="37" t="inlineStr">
        <is>
          <t>MATCH (source cited: SAE J514-1 070120 / MS51525 / MS39324)</t>
        </is>
      </c>
      <c r="W37" s="37" t="inlineStr">
        <is>
          <t>BUILD</t>
        </is>
      </c>
      <c r="X37" s="37" t="inlineStr">
        <is>
          <t>Hex = Air-Way C4 column (per-part). Matched sizes in this topology corroborate the column.</t>
        </is>
      </c>
      <c r="Z37" s="45" t="inlineStr">
        <is>
          <t>Carbon Steel</t>
        </is>
      </c>
      <c r="AA37" s="45" t="inlineStr">
        <is>
          <t>ASTM A108 12L14</t>
        </is>
      </c>
      <c r="AB37" s="45" t="inlineStr">
        <is>
          <t>Trivalent Cr3 Zinc</t>
        </is>
      </c>
      <c r="AC37" s="45" t="inlineStr">
        <is>
          <t>ASTM B633 Type V/VI</t>
        </is>
      </c>
      <c r="AD37" s="46" t="n">
        <v>3000</v>
      </c>
      <c r="AE37" s="46" t="inlineStr">
        <is>
          <t>generic SAE table @ dash -16 (governing end)</t>
        </is>
      </c>
      <c r="AF37" s="46" t="n">
        <v>-65</v>
      </c>
      <c r="AG37" s="46" t="n">
        <v>400</v>
      </c>
      <c r="AH37" s="37" t="inlineStr">
        <is>
          <t>Ham-Let + hoseandfittings (pressure); Parker Cat.4300 (material); ASTM B633 (finish); see StandardsData</t>
        </is>
      </c>
    </row>
    <row r="38" ht="15" customHeight="1" s="35">
      <c r="A38" s="37" t="inlineStr">
        <is>
          <t>6400-12-06-O</t>
        </is>
      </c>
      <c r="B38" s="37" t="inlineStr">
        <is>
          <t>6400-12-6-O</t>
        </is>
      </c>
      <c r="C38" s="37" t="inlineStr">
        <is>
          <t>6400</t>
        </is>
      </c>
      <c r="D38" s="37" t="n">
        <v>89</v>
      </c>
      <c r="E38" s="37" t="inlineStr">
        <is>
          <t>Straight</t>
        </is>
      </c>
      <c r="F38" s="37" t="inlineStr">
        <is>
          <t>Straight Thread Connector, 1 1/16-12 x 9/16-18</t>
        </is>
      </c>
      <c r="G38" s="37" t="inlineStr">
        <is>
          <t>9/16-18</t>
        </is>
      </c>
      <c r="H38" s="37" t="inlineStr">
        <is>
          <t>1 1/16-12</t>
        </is>
      </c>
      <c r="I38" s="37" t="n"/>
      <c r="J38" s="37" t="inlineStr">
        <is>
          <t>SAE J1926-3</t>
        </is>
      </c>
      <c r="K38" s="37" t="inlineStr">
        <is>
          <t>SAE J514-1</t>
        </is>
      </c>
      <c r="L38" s="37" t="n">
        <v>1.86</v>
      </c>
      <c r="M38" s="37" t="n">
        <v>1.13</v>
      </c>
      <c r="N38" s="37" t="n">
        <v>0.61</v>
      </c>
      <c r="O38" s="37" t="n">
        <v>0.3</v>
      </c>
      <c r="P38" s="37" t="n"/>
      <c r="Q38" s="37" t="n"/>
      <c r="R38" s="44" t="n"/>
      <c r="S38" s="44" t="n">
        <v>1.13</v>
      </c>
      <c r="T38" s="37" t="n">
        <v>0</v>
      </c>
      <c r="U38" s="37" t="inlineStr">
        <is>
          <t>ASSUMED</t>
        </is>
      </c>
      <c r="V38" s="37" t="inlineStr">
        <is>
          <t>MATCH (source cited: SAE J514-1 070120 / MS51525 / MS39324)</t>
        </is>
      </c>
      <c r="W38" s="37" t="inlineStr">
        <is>
          <t>BUILD</t>
        </is>
      </c>
      <c r="X38" s="37" t="inlineStr">
        <is>
          <t>Hex = Air-Way C4 column (per-part). Matched sizes in this topology corroborate the column.</t>
        </is>
      </c>
      <c r="Z38" s="45" t="inlineStr">
        <is>
          <t>Carbon Steel</t>
        </is>
      </c>
      <c r="AA38" s="45" t="inlineStr">
        <is>
          <t>ASTM A108 12L14</t>
        </is>
      </c>
      <c r="AB38" s="45" t="inlineStr">
        <is>
          <t>Trivalent Cr3 Zinc</t>
        </is>
      </c>
      <c r="AC38" s="45" t="inlineStr">
        <is>
          <t>ASTM B633 Type V/VI</t>
        </is>
      </c>
      <c r="AD38" s="46" t="n">
        <v>3500</v>
      </c>
      <c r="AE38" s="46" t="inlineStr">
        <is>
          <t>generic SAE table @ dash -12 (governing end)</t>
        </is>
      </c>
      <c r="AF38" s="46" t="n">
        <v>-65</v>
      </c>
      <c r="AG38" s="46" t="n">
        <v>400</v>
      </c>
      <c r="AH38" s="37" t="inlineStr">
        <is>
          <t>Ham-Let + hoseandfittings (pressure); Parker Cat.4300 (material); ASTM B633 (finish); see StandardsData</t>
        </is>
      </c>
    </row>
    <row r="39" ht="15" customHeight="1" s="35">
      <c r="A39" s="37" t="inlineStr">
        <is>
          <t>6400-12-08-O</t>
        </is>
      </c>
      <c r="B39" s="37" t="inlineStr">
        <is>
          <t>6400-12-8-O</t>
        </is>
      </c>
      <c r="C39" s="37" t="inlineStr">
        <is>
          <t>6400</t>
        </is>
      </c>
      <c r="D39" s="37" t="n">
        <v>89</v>
      </c>
      <c r="E39" s="37" t="inlineStr">
        <is>
          <t>Straight</t>
        </is>
      </c>
      <c r="F39" s="37" t="inlineStr">
        <is>
          <t>Straight Thread Connector, 1 1/16-12 x 3/4-16</t>
        </is>
      </c>
      <c r="G39" s="37" t="inlineStr">
        <is>
          <t>3/4-16</t>
        </is>
      </c>
      <c r="H39" s="37" t="inlineStr">
        <is>
          <t>1 1/16-12</t>
        </is>
      </c>
      <c r="I39" s="37" t="n"/>
      <c r="J39" s="37" t="inlineStr">
        <is>
          <t>SAE J1926-3</t>
        </is>
      </c>
      <c r="K39" s="37" t="inlineStr">
        <is>
          <t>SAE J514-1</t>
        </is>
      </c>
      <c r="L39" s="37" t="n">
        <v>1.94</v>
      </c>
      <c r="M39" s="37" t="n">
        <v>1.13</v>
      </c>
      <c r="N39" s="37" t="n">
        <v>0.61</v>
      </c>
      <c r="O39" s="37" t="n">
        <v>0.39</v>
      </c>
      <c r="P39" s="37" t="n"/>
      <c r="Q39" s="37" t="n"/>
      <c r="R39" s="44" t="n"/>
      <c r="S39" s="44" t="n">
        <v>1.13</v>
      </c>
      <c r="T39" s="37" t="n">
        <v>0</v>
      </c>
      <c r="U39" s="37" t="inlineStr">
        <is>
          <t>ASSUMED</t>
        </is>
      </c>
      <c r="V39" s="37" t="inlineStr">
        <is>
          <t>MATCH (source cited: SAE J514-1 070120 / MS51525 / MS39324)</t>
        </is>
      </c>
      <c r="W39" s="37" t="inlineStr">
        <is>
          <t>BUILD</t>
        </is>
      </c>
      <c r="X39" s="37" t="inlineStr">
        <is>
          <t>Hex = Air-Way C4 column (per-part). Matched sizes in this topology corroborate the column.</t>
        </is>
      </c>
      <c r="Z39" s="45" t="inlineStr">
        <is>
          <t>Carbon Steel</t>
        </is>
      </c>
      <c r="AA39" s="45" t="inlineStr">
        <is>
          <t>ASTM A108 12L14</t>
        </is>
      </c>
      <c r="AB39" s="45" t="inlineStr">
        <is>
          <t>Trivalent Cr3 Zinc</t>
        </is>
      </c>
      <c r="AC39" s="45" t="inlineStr">
        <is>
          <t>ASTM B633 Type V/VI</t>
        </is>
      </c>
      <c r="AD39" s="46" t="n">
        <v>3500</v>
      </c>
      <c r="AE39" s="46" t="inlineStr">
        <is>
          <t>generic SAE table @ dash -12 (governing end)</t>
        </is>
      </c>
      <c r="AF39" s="46" t="n">
        <v>-65</v>
      </c>
      <c r="AG39" s="46" t="n">
        <v>400</v>
      </c>
      <c r="AH39" s="37" t="inlineStr">
        <is>
          <t>Ham-Let + hoseandfittings (pressure); Parker Cat.4300 (material); ASTM B633 (finish); see StandardsData</t>
        </is>
      </c>
    </row>
    <row r="40" ht="15" customHeight="1" s="35">
      <c r="A40" s="37" t="inlineStr">
        <is>
          <t>6400-12-10-O</t>
        </is>
      </c>
      <c r="B40" s="37" t="inlineStr">
        <is>
          <t>6400-12-10-O</t>
        </is>
      </c>
      <c r="C40" s="37" t="inlineStr">
        <is>
          <t>6400</t>
        </is>
      </c>
      <c r="D40" s="37" t="n">
        <v>89</v>
      </c>
      <c r="E40" s="37" t="inlineStr">
        <is>
          <t>Straight</t>
        </is>
      </c>
      <c r="F40" s="37" t="inlineStr">
        <is>
          <t>Straight Thread Connector, 1 1/16-12 x 7/8-14</t>
        </is>
      </c>
      <c r="G40" s="37" t="inlineStr">
        <is>
          <t>7/8-14</t>
        </is>
      </c>
      <c r="H40" s="37" t="inlineStr">
        <is>
          <t>1 1/16-12</t>
        </is>
      </c>
      <c r="I40" s="37" t="n"/>
      <c r="J40" s="37" t="inlineStr">
        <is>
          <t>SAE J1926-3</t>
        </is>
      </c>
      <c r="K40" s="37" t="inlineStr">
        <is>
          <t>SAE J514-1</t>
        </is>
      </c>
      <c r="L40" s="37" t="n">
        <v>1.88</v>
      </c>
      <c r="M40" s="37" t="n">
        <v>1.13</v>
      </c>
      <c r="N40" s="37" t="n">
        <v>0.61</v>
      </c>
      <c r="O40" s="37" t="n">
        <v>0.48</v>
      </c>
      <c r="P40" s="37" t="n"/>
      <c r="Q40" s="37" t="n"/>
      <c r="R40" s="44" t="n"/>
      <c r="S40" s="44" t="n">
        <v>1.13</v>
      </c>
      <c r="T40" s="37" t="n">
        <v>0</v>
      </c>
      <c r="U40" s="37" t="inlineStr">
        <is>
          <t>ASSUMED</t>
        </is>
      </c>
      <c r="V40" s="37" t="inlineStr">
        <is>
          <t>MATCH (source cited: SAE J514-1 070120 / MS51525 / MS39324)</t>
        </is>
      </c>
      <c r="W40" s="37" t="inlineStr">
        <is>
          <t>BUILD</t>
        </is>
      </c>
      <c r="X40" s="37" t="inlineStr">
        <is>
          <t>Hex = Air-Way C4 column (per-part). Matched sizes in this topology corroborate the column.</t>
        </is>
      </c>
      <c r="Z40" s="45" t="inlineStr">
        <is>
          <t>Carbon Steel</t>
        </is>
      </c>
      <c r="AA40" s="45" t="inlineStr">
        <is>
          <t>ASTM A108 12L14</t>
        </is>
      </c>
      <c r="AB40" s="45" t="inlineStr">
        <is>
          <t>Trivalent Cr3 Zinc</t>
        </is>
      </c>
      <c r="AC40" s="45" t="inlineStr">
        <is>
          <t>ASTM B633 Type V/VI</t>
        </is>
      </c>
      <c r="AD40" s="46" t="n">
        <v>3500</v>
      </c>
      <c r="AE40" s="46" t="inlineStr">
        <is>
          <t>generic SAE table @ dash -12 (governing end)</t>
        </is>
      </c>
      <c r="AF40" s="46" t="n">
        <v>-65</v>
      </c>
      <c r="AG40" s="46" t="n">
        <v>400</v>
      </c>
      <c r="AH40" s="37" t="inlineStr">
        <is>
          <t>Ham-Let + hoseandfittings (pressure); Parker Cat.4300 (material); ASTM B633 (finish); see StandardsData</t>
        </is>
      </c>
    </row>
    <row r="41" ht="15" customHeight="1" s="35">
      <c r="A41" s="37" t="inlineStr">
        <is>
          <t>6400-12-12-O</t>
        </is>
      </c>
      <c r="B41" s="37" t="inlineStr">
        <is>
          <t>6400-12-12-O</t>
        </is>
      </c>
      <c r="C41" s="37" t="inlineStr">
        <is>
          <t>6400</t>
        </is>
      </c>
      <c r="D41" s="37" t="n">
        <v>89</v>
      </c>
      <c r="E41" s="37" t="inlineStr">
        <is>
          <t>Straight</t>
        </is>
      </c>
      <c r="F41" s="37" t="inlineStr">
        <is>
          <t>Straight Thread Connector, 1 1/16-12 x 1 1/16-12</t>
        </is>
      </c>
      <c r="G41" s="37" t="inlineStr">
        <is>
          <t>1 1/16-12</t>
        </is>
      </c>
      <c r="H41" s="37" t="inlineStr">
        <is>
          <t>1 1/16-12</t>
        </is>
      </c>
      <c r="I41" s="37" t="n"/>
      <c r="J41" s="37" t="inlineStr">
        <is>
          <t>SAE J1926-3</t>
        </is>
      </c>
      <c r="K41" s="37" t="inlineStr">
        <is>
          <t>SAE J514-1</t>
        </is>
      </c>
      <c r="L41" s="37" t="n">
        <v>1.97</v>
      </c>
      <c r="M41" s="37" t="n">
        <v>1.25</v>
      </c>
      <c r="N41" s="37" t="n">
        <v>0.61</v>
      </c>
      <c r="O41" s="37" t="n">
        <v>0.61</v>
      </c>
      <c r="P41" s="37" t="n"/>
      <c r="Q41" s="37" t="n"/>
      <c r="R41" s="44" t="n"/>
      <c r="S41" s="45" t="n">
        <v>1.25</v>
      </c>
      <c r="T41" s="37" t="n">
        <v>0</v>
      </c>
      <c r="U41" s="37" t="inlineStr">
        <is>
          <t>VERIFIED</t>
        </is>
      </c>
      <c r="V41" s="37" t="inlineStr">
        <is>
          <t>MATCH (source cited: SAE J514-1 070120 / MS51525 / MS39324)</t>
        </is>
      </c>
      <c r="W41" s="37" t="inlineStr">
        <is>
          <t>BUILD</t>
        </is>
      </c>
      <c r="X41" s="37" t="inlineStr">
        <is>
          <t>Hex = Air-Way C4 column, CONFIRMED vs PressureConnections/Purvis.</t>
        </is>
      </c>
      <c r="Z41" s="45" t="inlineStr">
        <is>
          <t>Carbon Steel</t>
        </is>
      </c>
      <c r="AA41" s="45" t="inlineStr">
        <is>
          <t>ASTM A108 12L14</t>
        </is>
      </c>
      <c r="AB41" s="45" t="inlineStr">
        <is>
          <t>Trivalent Cr3 Zinc</t>
        </is>
      </c>
      <c r="AC41" s="45" t="inlineStr">
        <is>
          <t>ASTM B633 Type V/VI</t>
        </is>
      </c>
      <c r="AD41" s="46" t="n">
        <v>3500</v>
      </c>
      <c r="AE41" s="46" t="inlineStr">
        <is>
          <t>generic SAE table @ dash -12 (governing end)</t>
        </is>
      </c>
      <c r="AF41" s="46" t="n">
        <v>-65</v>
      </c>
      <c r="AG41" s="46" t="n">
        <v>400</v>
      </c>
      <c r="AH41" s="37" t="inlineStr">
        <is>
          <t>Ham-Let + hoseandfittings (pressure); Parker Cat.4300 (material); ASTM B633 (finish); see StandardsData</t>
        </is>
      </c>
    </row>
    <row r="42" ht="15" customHeight="1" s="35">
      <c r="A42" s="37" t="inlineStr">
        <is>
          <t>6400-12-14-O</t>
        </is>
      </c>
      <c r="B42" s="37" t="inlineStr">
        <is>
          <t>6400-12-14-O</t>
        </is>
      </c>
      <c r="C42" s="37" t="inlineStr">
        <is>
          <t>6400</t>
        </is>
      </c>
      <c r="D42" s="37" t="n">
        <v>89</v>
      </c>
      <c r="E42" s="37" t="inlineStr">
        <is>
          <t>Straight</t>
        </is>
      </c>
      <c r="F42" s="37" t="inlineStr">
        <is>
          <t>Straight Thread Connector, 1 1/16-12 x 1 3/16-12</t>
        </is>
      </c>
      <c r="G42" s="37" t="inlineStr">
        <is>
          <t>1 3/16-12</t>
        </is>
      </c>
      <c r="H42" s="37" t="inlineStr">
        <is>
          <t>1 1/16-12</t>
        </is>
      </c>
      <c r="I42" s="37" t="n"/>
      <c r="J42" s="37" t="inlineStr">
        <is>
          <t>SAE J1926-3</t>
        </is>
      </c>
      <c r="K42" s="37" t="inlineStr">
        <is>
          <t>SAE J514-1</t>
        </is>
      </c>
      <c r="L42" s="37" t="n">
        <v>1.96</v>
      </c>
      <c r="M42" s="37" t="n">
        <v>1.38</v>
      </c>
      <c r="N42" s="37" t="n">
        <v>0.61</v>
      </c>
      <c r="O42" s="37" t="n">
        <v>0.72</v>
      </c>
      <c r="P42" s="37" t="n"/>
      <c r="Q42" s="37" t="n"/>
      <c r="R42" s="44" t="n"/>
      <c r="S42" s="44" t="n">
        <v>1.38</v>
      </c>
      <c r="T42" s="37" t="n">
        <v>0</v>
      </c>
      <c r="U42" s="37" t="inlineStr">
        <is>
          <t>ASSUMED</t>
        </is>
      </c>
      <c r="V42" s="37" t="inlineStr">
        <is>
          <t>MATCH (source cited: SAE J514-1 070120 / MS51525 / MS39324)</t>
        </is>
      </c>
      <c r="W42" s="37" t="inlineStr">
        <is>
          <t>BUILD</t>
        </is>
      </c>
      <c r="X42" s="37" t="inlineStr">
        <is>
          <t>Hex = Air-Way C4 column (per-part). Matched sizes in this topology corroborate the column.</t>
        </is>
      </c>
      <c r="Z42" s="45" t="inlineStr">
        <is>
          <t>Carbon Steel</t>
        </is>
      </c>
      <c r="AA42" s="45" t="inlineStr">
        <is>
          <t>ASTM A108 12L14</t>
        </is>
      </c>
      <c r="AB42" s="45" t="inlineStr">
        <is>
          <t>Trivalent Cr3 Zinc</t>
        </is>
      </c>
      <c r="AC42" s="45" t="inlineStr">
        <is>
          <t>ASTM B633 Type V/VI</t>
        </is>
      </c>
      <c r="AD42" s="46" t="n">
        <v>3000</v>
      </c>
      <c r="AE42" s="46" t="inlineStr">
        <is>
          <t>generic SAE table @ dash -14 (governing end)</t>
        </is>
      </c>
      <c r="AF42" s="46" t="n">
        <v>-65</v>
      </c>
      <c r="AG42" s="46" t="n">
        <v>400</v>
      </c>
      <c r="AH42" s="37" t="inlineStr">
        <is>
          <t>Ham-Let + hoseandfittings (pressure); Parker Cat.4300 (material); ASTM B633 (finish); see StandardsData</t>
        </is>
      </c>
    </row>
    <row r="43" ht="15" customHeight="1" s="35">
      <c r="A43" s="37" t="inlineStr">
        <is>
          <t>6400-12-16-O</t>
        </is>
      </c>
      <c r="B43" s="37" t="inlineStr">
        <is>
          <t>6400-12-16-O</t>
        </is>
      </c>
      <c r="C43" s="37" t="inlineStr">
        <is>
          <t>6400</t>
        </is>
      </c>
      <c r="D43" s="37" t="n">
        <v>89</v>
      </c>
      <c r="E43" s="37" t="inlineStr">
        <is>
          <t>Straight</t>
        </is>
      </c>
      <c r="F43" s="37" t="inlineStr">
        <is>
          <t>Straight Thread Connector, 1 1/16-12 x 1 5/16-12</t>
        </is>
      </c>
      <c r="G43" s="37" t="inlineStr">
        <is>
          <t>1 5/16-12</t>
        </is>
      </c>
      <c r="H43" s="37" t="inlineStr">
        <is>
          <t>1 1/16-12</t>
        </is>
      </c>
      <c r="I43" s="37" t="n"/>
      <c r="J43" s="37" t="inlineStr">
        <is>
          <t>SAE J1926-3</t>
        </is>
      </c>
      <c r="K43" s="37" t="inlineStr">
        <is>
          <t>SAE J514-1</t>
        </is>
      </c>
      <c r="L43" s="37" t="n">
        <v>1.99</v>
      </c>
      <c r="M43" s="37" t="n">
        <v>1.5</v>
      </c>
      <c r="N43" s="37" t="n">
        <v>0.61</v>
      </c>
      <c r="O43" s="37" t="n">
        <v>0.84</v>
      </c>
      <c r="P43" s="37" t="n"/>
      <c r="Q43" s="37" t="n"/>
      <c r="R43" s="44" t="n"/>
      <c r="S43" s="44" t="n">
        <v>1.5</v>
      </c>
      <c r="T43" s="37" t="n">
        <v>0</v>
      </c>
      <c r="U43" s="37" t="inlineStr">
        <is>
          <t>ASSUMED</t>
        </is>
      </c>
      <c r="V43" s="37" t="inlineStr">
        <is>
          <t>MATCH (source cited: SAE J514-1 070120 / MS51525 / MS39324)</t>
        </is>
      </c>
      <c r="W43" s="37" t="inlineStr">
        <is>
          <t>BUILD</t>
        </is>
      </c>
      <c r="X43" s="37" t="inlineStr">
        <is>
          <t>Hex = Air-Way C4 column (per-part). Matched sizes in this topology corroborate the column.</t>
        </is>
      </c>
      <c r="Z43" s="45" t="inlineStr">
        <is>
          <t>Carbon Steel</t>
        </is>
      </c>
      <c r="AA43" s="45" t="inlineStr">
        <is>
          <t>ASTM A108 12L14</t>
        </is>
      </c>
      <c r="AB43" s="45" t="inlineStr">
        <is>
          <t>Trivalent Cr3 Zinc</t>
        </is>
      </c>
      <c r="AC43" s="45" t="inlineStr">
        <is>
          <t>ASTM B633 Type V/VI</t>
        </is>
      </c>
      <c r="AD43" s="46" t="n">
        <v>3000</v>
      </c>
      <c r="AE43" s="46" t="inlineStr">
        <is>
          <t>generic SAE table @ dash -16 (governing end)</t>
        </is>
      </c>
      <c r="AF43" s="46" t="n">
        <v>-65</v>
      </c>
      <c r="AG43" s="46" t="n">
        <v>400</v>
      </c>
      <c r="AH43" s="37" t="inlineStr">
        <is>
          <t>Ham-Let + hoseandfittings (pressure); Parker Cat.4300 (material); ASTM B633 (finish); see StandardsData</t>
        </is>
      </c>
    </row>
    <row r="44" ht="15" customHeight="1" s="35">
      <c r="A44" s="37" t="inlineStr">
        <is>
          <t>6400-12-20-O</t>
        </is>
      </c>
      <c r="B44" s="37" t="inlineStr">
        <is>
          <t>6400-12-20-O</t>
        </is>
      </c>
      <c r="C44" s="37" t="inlineStr">
        <is>
          <t>6400</t>
        </is>
      </c>
      <c r="D44" s="37" t="n">
        <v>89</v>
      </c>
      <c r="E44" s="37" t="inlineStr">
        <is>
          <t>Straight</t>
        </is>
      </c>
      <c r="F44" s="37" t="inlineStr">
        <is>
          <t>Straight Thread Connector, 1 1/16-12 x 1 5/8-12</t>
        </is>
      </c>
      <c r="G44" s="37" t="inlineStr">
        <is>
          <t>1 5/8-12</t>
        </is>
      </c>
      <c r="H44" s="37" t="inlineStr">
        <is>
          <t>1 1/16-12</t>
        </is>
      </c>
      <c r="I44" s="37" t="n"/>
      <c r="J44" s="37" t="inlineStr">
        <is>
          <t>SAE J1926-3</t>
        </is>
      </c>
      <c r="K44" s="37" t="inlineStr">
        <is>
          <t>SAE J514-1</t>
        </is>
      </c>
      <c r="L44" s="37" t="n">
        <v>2.08</v>
      </c>
      <c r="M44" s="37" t="n">
        <v>1.88</v>
      </c>
      <c r="N44" s="37" t="n">
        <v>0.61</v>
      </c>
      <c r="O44" s="37" t="n">
        <v>1.08</v>
      </c>
      <c r="P44" s="37" t="n"/>
      <c r="Q44" s="37" t="n"/>
      <c r="R44" s="44" t="n"/>
      <c r="S44" s="44" t="n">
        <v>1.88</v>
      </c>
      <c r="T44" s="37" t="n">
        <v>0</v>
      </c>
      <c r="U44" s="37" t="inlineStr">
        <is>
          <t>ASSUMED</t>
        </is>
      </c>
      <c r="V44" s="37" t="inlineStr">
        <is>
          <t>MATCH (source cited: SAE J514-1 070120 / MS51525 / MS39324)</t>
        </is>
      </c>
      <c r="W44" s="37" t="inlineStr">
        <is>
          <t>BUILD</t>
        </is>
      </c>
      <c r="X44" s="37" t="inlineStr">
        <is>
          <t>Hex = Air-Way C4 column (per-part). Matched sizes in this topology corroborate the column.</t>
        </is>
      </c>
      <c r="Z44" s="45" t="inlineStr">
        <is>
          <t>Carbon Steel</t>
        </is>
      </c>
      <c r="AA44" s="45" t="inlineStr">
        <is>
          <t>ASTM A108 12L14</t>
        </is>
      </c>
      <c r="AB44" s="45" t="inlineStr">
        <is>
          <t>Trivalent Cr3 Zinc</t>
        </is>
      </c>
      <c r="AC44" s="45" t="inlineStr">
        <is>
          <t>ASTM B633 Type V/VI</t>
        </is>
      </c>
      <c r="AD44" s="46" t="n">
        <v>2500</v>
      </c>
      <c r="AE44" s="46" t="inlineStr">
        <is>
          <t>generic SAE table @ dash -20 (governing end)</t>
        </is>
      </c>
      <c r="AF44" s="46" t="n">
        <v>-65</v>
      </c>
      <c r="AG44" s="46" t="n">
        <v>400</v>
      </c>
      <c r="AH44" s="37" t="inlineStr">
        <is>
          <t>Ham-Let + hoseandfittings (pressure); Parker Cat.4300 (material); ASTM B633 (finish); see StandardsData</t>
        </is>
      </c>
    </row>
    <row r="45" ht="15" customHeight="1" s="35">
      <c r="A45" s="37" t="inlineStr">
        <is>
          <t>6400-12-24-O</t>
        </is>
      </c>
      <c r="B45" s="37" t="inlineStr">
        <is>
          <t>6400-12-24-O</t>
        </is>
      </c>
      <c r="C45" s="37" t="inlineStr">
        <is>
          <t>6400</t>
        </is>
      </c>
      <c r="D45" s="37" t="n">
        <v>89</v>
      </c>
      <c r="E45" s="37" t="inlineStr">
        <is>
          <t>Straight</t>
        </is>
      </c>
      <c r="F45" s="37" t="inlineStr">
        <is>
          <t>Straight Thread Connector, 1 1/16-12 x 1 7/8-12</t>
        </is>
      </c>
      <c r="G45" s="37" t="inlineStr">
        <is>
          <t>1 7/8-12</t>
        </is>
      </c>
      <c r="H45" s="37" t="inlineStr">
        <is>
          <t>1 1/16-12</t>
        </is>
      </c>
      <c r="I45" s="37" t="n"/>
      <c r="J45" s="37" t="inlineStr">
        <is>
          <t>SAE J1926-3</t>
        </is>
      </c>
      <c r="K45" s="37" t="inlineStr">
        <is>
          <t>SAE J514-1</t>
        </is>
      </c>
      <c r="L45" s="37" t="n">
        <v>2.15</v>
      </c>
      <c r="M45" s="37" t="n">
        <v>2.13</v>
      </c>
      <c r="N45" s="37" t="n">
        <v>0.61</v>
      </c>
      <c r="O45" s="37" t="n">
        <v>1.31</v>
      </c>
      <c r="P45" s="37" t="n"/>
      <c r="Q45" s="37" t="n"/>
      <c r="R45" s="44" t="n"/>
      <c r="S45" s="44" t="n">
        <v>2.13</v>
      </c>
      <c r="T45" s="37" t="n">
        <v>0</v>
      </c>
      <c r="U45" s="37" t="inlineStr">
        <is>
          <t>ASSUMED</t>
        </is>
      </c>
      <c r="V45" s="37" t="inlineStr">
        <is>
          <t>MATCH (source cited: SAE J514-1 070120 / MS51525 / MS39324)</t>
        </is>
      </c>
      <c r="W45" s="37" t="inlineStr">
        <is>
          <t>BUILD</t>
        </is>
      </c>
      <c r="X45" s="37" t="inlineStr">
        <is>
          <t>Hex = Air-Way C4 column (per-part). Matched sizes in this topology corroborate the column.</t>
        </is>
      </c>
      <c r="Z45" s="45" t="inlineStr">
        <is>
          <t>Carbon Steel</t>
        </is>
      </c>
      <c r="AA45" s="45" t="inlineStr">
        <is>
          <t>ASTM A108 12L14</t>
        </is>
      </c>
      <c r="AB45" s="45" t="inlineStr">
        <is>
          <t>Trivalent Cr3 Zinc</t>
        </is>
      </c>
      <c r="AC45" s="45" t="inlineStr">
        <is>
          <t>ASTM B633 Type V/VI</t>
        </is>
      </c>
      <c r="AD45" s="46" t="n">
        <v>2000</v>
      </c>
      <c r="AE45" s="46" t="inlineStr">
        <is>
          <t>generic SAE table @ dash -24 (governing end)</t>
        </is>
      </c>
      <c r="AF45" s="46" t="n">
        <v>-65</v>
      </c>
      <c r="AG45" s="46" t="n">
        <v>400</v>
      </c>
      <c r="AH45" s="37" t="inlineStr">
        <is>
          <t>Ham-Let + hoseandfittings (pressure); Parker Cat.4300 (material); ASTM B633 (finish); see StandardsData</t>
        </is>
      </c>
    </row>
    <row r="46" ht="15" customHeight="1" s="35">
      <c r="A46" s="37" t="inlineStr">
        <is>
          <t>6400-14-12-O</t>
        </is>
      </c>
      <c r="B46" s="37" t="inlineStr">
        <is>
          <t>6400-14-12-O</t>
        </is>
      </c>
      <c r="C46" s="37" t="inlineStr">
        <is>
          <t>6400</t>
        </is>
      </c>
      <c r="D46" s="37" t="n">
        <v>89</v>
      </c>
      <c r="E46" s="37" t="inlineStr">
        <is>
          <t>Straight</t>
        </is>
      </c>
      <c r="F46" s="37" t="inlineStr">
        <is>
          <t>Straight Thread Connector, 1 3/16-12 x 1 1/16-12</t>
        </is>
      </c>
      <c r="G46" s="37" t="inlineStr">
        <is>
          <t>1 1/16-12</t>
        </is>
      </c>
      <c r="H46" s="37" t="inlineStr">
        <is>
          <t>1 3/16-12</t>
        </is>
      </c>
      <c r="I46" s="37" t="n"/>
      <c r="J46" s="37" t="inlineStr">
        <is>
          <t>SAE J1926-3</t>
        </is>
      </c>
      <c r="K46" s="37" t="inlineStr">
        <is>
          <t>SAE J514-1</t>
        </is>
      </c>
      <c r="L46" s="37" t="n">
        <v>1.99</v>
      </c>
      <c r="M46" s="37" t="n">
        <v>1.25</v>
      </c>
      <c r="N46" s="37" t="n">
        <v>0.72</v>
      </c>
      <c r="O46" s="37" t="n">
        <v>0.61</v>
      </c>
      <c r="P46" s="37" t="n"/>
      <c r="Q46" s="37" t="n"/>
      <c r="R46" s="44" t="n"/>
      <c r="S46" s="44" t="n">
        <v>1.25</v>
      </c>
      <c r="T46" s="37" t="n">
        <v>0</v>
      </c>
      <c r="U46" s="37" t="inlineStr">
        <is>
          <t>ASSUMED</t>
        </is>
      </c>
      <c r="V46" s="37" t="inlineStr">
        <is>
          <t>MATCH (source cited: SAE J514-1 070120 / MS51525 / MS39324)</t>
        </is>
      </c>
      <c r="W46" s="37" t="inlineStr">
        <is>
          <t>BUILD</t>
        </is>
      </c>
      <c r="X46" s="37" t="inlineStr">
        <is>
          <t>Hex = Air-Way C4 column (per-part). Matched sizes in this topology corroborate the column.</t>
        </is>
      </c>
      <c r="Z46" s="45" t="inlineStr">
        <is>
          <t>Carbon Steel</t>
        </is>
      </c>
      <c r="AA46" s="45" t="inlineStr">
        <is>
          <t>ASTM A108 12L14</t>
        </is>
      </c>
      <c r="AB46" s="45" t="inlineStr">
        <is>
          <t>Trivalent Cr3 Zinc</t>
        </is>
      </c>
      <c r="AC46" s="45" t="inlineStr">
        <is>
          <t>ASTM B633 Type V/VI</t>
        </is>
      </c>
      <c r="AD46" s="46" t="n">
        <v>3000</v>
      </c>
      <c r="AE46" s="46" t="inlineStr">
        <is>
          <t>generic SAE table @ dash -14 (governing end)</t>
        </is>
      </c>
      <c r="AF46" s="46" t="n">
        <v>-65</v>
      </c>
      <c r="AG46" s="46" t="n">
        <v>400</v>
      </c>
      <c r="AH46" s="37" t="inlineStr">
        <is>
          <t>Ham-Let + hoseandfittings (pressure); Parker Cat.4300 (material); ASTM B633 (finish); see StandardsData</t>
        </is>
      </c>
    </row>
    <row r="47" ht="15" customHeight="1" s="35">
      <c r="A47" s="37" t="inlineStr">
        <is>
          <t>6400-14-14-O</t>
        </is>
      </c>
      <c r="B47" s="37" t="inlineStr">
        <is>
          <t>6400-14-14-O</t>
        </is>
      </c>
      <c r="C47" s="37" t="inlineStr">
        <is>
          <t>6400</t>
        </is>
      </c>
      <c r="D47" s="37" t="n">
        <v>89</v>
      </c>
      <c r="E47" s="37" t="inlineStr">
        <is>
          <t>Straight</t>
        </is>
      </c>
      <c r="F47" s="37" t="inlineStr">
        <is>
          <t>Straight Thread Connector, 1 3/16-12 x 1 3/16-12</t>
        </is>
      </c>
      <c r="G47" s="37" t="inlineStr">
        <is>
          <t>1 3/16-12</t>
        </is>
      </c>
      <c r="H47" s="37" t="inlineStr">
        <is>
          <t>1 3/16-12</t>
        </is>
      </c>
      <c r="I47" s="37" t="n"/>
      <c r="J47" s="37" t="inlineStr">
        <is>
          <t>SAE J1926-3</t>
        </is>
      </c>
      <c r="K47" s="37" t="inlineStr">
        <is>
          <t>SAE J514-1</t>
        </is>
      </c>
      <c r="L47" s="37" t="n">
        <v>1.99</v>
      </c>
      <c r="M47" s="37" t="n">
        <v>1.38</v>
      </c>
      <c r="N47" s="37" t="n">
        <v>0.72</v>
      </c>
      <c r="O47" s="37" t="n">
        <v>0.72</v>
      </c>
      <c r="P47" s="37" t="n"/>
      <c r="Q47" s="37" t="n"/>
      <c r="R47" s="44" t="n"/>
      <c r="S47" s="44" t="n">
        <v>1.38</v>
      </c>
      <c r="T47" s="37" t="n">
        <v>0</v>
      </c>
      <c r="U47" s="37" t="inlineStr">
        <is>
          <t>ASSUMED</t>
        </is>
      </c>
      <c r="V47" s="37" t="inlineStr">
        <is>
          <t>MATCH (source cited: SAE J514-1 070120 / MS51525 / MS39324)</t>
        </is>
      </c>
      <c r="W47" s="37" t="inlineStr">
        <is>
          <t>BUILD</t>
        </is>
      </c>
      <c r="X47" s="37" t="inlineStr">
        <is>
          <t>Hex = Air-Way C4 column (per-part). Matched sizes in this topology corroborate the column.</t>
        </is>
      </c>
      <c r="Z47" s="45" t="inlineStr">
        <is>
          <t>Carbon Steel</t>
        </is>
      </c>
      <c r="AA47" s="45" t="inlineStr">
        <is>
          <t>ASTM A108 12L14</t>
        </is>
      </c>
      <c r="AB47" s="45" t="inlineStr">
        <is>
          <t>Trivalent Cr3 Zinc</t>
        </is>
      </c>
      <c r="AC47" s="45" t="inlineStr">
        <is>
          <t>ASTM B633 Type V/VI</t>
        </is>
      </c>
      <c r="AD47" s="46" t="n">
        <v>3000</v>
      </c>
      <c r="AE47" s="46" t="inlineStr">
        <is>
          <t>generic SAE table @ dash -14 (governing end)</t>
        </is>
      </c>
      <c r="AF47" s="46" t="n">
        <v>-65</v>
      </c>
      <c r="AG47" s="46" t="n">
        <v>400</v>
      </c>
      <c r="AH47" s="37" t="inlineStr">
        <is>
          <t>Ham-Let + hoseandfittings (pressure); Parker Cat.4300 (material); ASTM B633 (finish); see StandardsData</t>
        </is>
      </c>
    </row>
    <row r="48" ht="15" customHeight="1" s="35">
      <c r="A48" s="37" t="inlineStr">
        <is>
          <t>6400-14-16-O</t>
        </is>
      </c>
      <c r="B48" s="37" t="inlineStr">
        <is>
          <t>6400-14-16-O</t>
        </is>
      </c>
      <c r="C48" s="37" t="inlineStr">
        <is>
          <t>6400</t>
        </is>
      </c>
      <c r="D48" s="37" t="n">
        <v>89</v>
      </c>
      <c r="E48" s="37" t="inlineStr">
        <is>
          <t>Straight</t>
        </is>
      </c>
      <c r="F48" s="37" t="inlineStr">
        <is>
          <t>Straight Thread Connector, 1 3/16-12 x 1 5/16-12</t>
        </is>
      </c>
      <c r="G48" s="37" t="inlineStr">
        <is>
          <t>1 5/16-12</t>
        </is>
      </c>
      <c r="H48" s="37" t="inlineStr">
        <is>
          <t>1 3/16-12</t>
        </is>
      </c>
      <c r="I48" s="37" t="n"/>
      <c r="J48" s="37" t="inlineStr">
        <is>
          <t>SAE J1926-3</t>
        </is>
      </c>
      <c r="K48" s="37" t="inlineStr">
        <is>
          <t>SAE J514-1</t>
        </is>
      </c>
      <c r="L48" s="37" t="n">
        <v>2.02</v>
      </c>
      <c r="M48" s="37" t="n">
        <v>1.5</v>
      </c>
      <c r="N48" s="37" t="n">
        <v>0.72</v>
      </c>
      <c r="O48" s="37" t="n">
        <v>0.84</v>
      </c>
      <c r="P48" s="37" t="n"/>
      <c r="Q48" s="37" t="n"/>
      <c r="R48" s="44" t="n"/>
      <c r="S48" s="44" t="n">
        <v>1.5</v>
      </c>
      <c r="T48" s="37" t="n">
        <v>0</v>
      </c>
      <c r="U48" s="37" t="inlineStr">
        <is>
          <t>ASSUMED</t>
        </is>
      </c>
      <c r="V48" s="37" t="inlineStr">
        <is>
          <t>MATCH (source cited: SAE J514-1 070120 / MS51525 / MS39324)</t>
        </is>
      </c>
      <c r="W48" s="37" t="inlineStr">
        <is>
          <t>BUILD</t>
        </is>
      </c>
      <c r="X48" s="37" t="inlineStr">
        <is>
          <t>Hex = Air-Way C4 column (per-part). Matched sizes in this topology corroborate the column.</t>
        </is>
      </c>
      <c r="Z48" s="45" t="inlineStr">
        <is>
          <t>Carbon Steel</t>
        </is>
      </c>
      <c r="AA48" s="45" t="inlineStr">
        <is>
          <t>ASTM A108 12L14</t>
        </is>
      </c>
      <c r="AB48" s="45" t="inlineStr">
        <is>
          <t>Trivalent Cr3 Zinc</t>
        </is>
      </c>
      <c r="AC48" s="45" t="inlineStr">
        <is>
          <t>ASTM B633 Type V/VI</t>
        </is>
      </c>
      <c r="AD48" s="46" t="n">
        <v>3000</v>
      </c>
      <c r="AE48" s="46" t="inlineStr">
        <is>
          <t>generic SAE table @ dash -16 (governing end)</t>
        </is>
      </c>
      <c r="AF48" s="46" t="n">
        <v>-65</v>
      </c>
      <c r="AG48" s="46" t="n">
        <v>400</v>
      </c>
      <c r="AH48" s="37" t="inlineStr">
        <is>
          <t>Ham-Let + hoseandfittings (pressure); Parker Cat.4300 (material); ASTM B633 (finish); see StandardsData</t>
        </is>
      </c>
    </row>
    <row r="49" ht="15" customHeight="1" s="35">
      <c r="A49" s="37" t="inlineStr">
        <is>
          <t>6400-16-08-O</t>
        </is>
      </c>
      <c r="B49" s="37" t="inlineStr">
        <is>
          <t>6400-16-8-O</t>
        </is>
      </c>
      <c r="C49" s="37" t="inlineStr">
        <is>
          <t>6400</t>
        </is>
      </c>
      <c r="D49" s="37" t="n">
        <v>89</v>
      </c>
      <c r="E49" s="37" t="inlineStr">
        <is>
          <t>Straight</t>
        </is>
      </c>
      <c r="F49" s="37" t="inlineStr">
        <is>
          <t>Straight Thread Connector, 1 5/16-12 x 3/4-16</t>
        </is>
      </c>
      <c r="G49" s="37" t="inlineStr">
        <is>
          <t>3/4-16</t>
        </is>
      </c>
      <c r="H49" s="37" t="inlineStr">
        <is>
          <t>1 5/16-12</t>
        </is>
      </c>
      <c r="I49" s="37" t="n"/>
      <c r="J49" s="37" t="inlineStr">
        <is>
          <t>SAE J1926-3</t>
        </is>
      </c>
      <c r="K49" s="37" t="inlineStr">
        <is>
          <t>SAE J514-1</t>
        </is>
      </c>
      <c r="L49" s="37" t="n">
        <v>2.01</v>
      </c>
      <c r="M49" s="37" t="n">
        <v>1.38</v>
      </c>
      <c r="N49" s="37" t="n">
        <v>0.84</v>
      </c>
      <c r="O49" s="37" t="n">
        <v>0.39</v>
      </c>
      <c r="P49" s="37" t="n"/>
      <c r="Q49" s="37" t="n"/>
      <c r="R49" s="44" t="n"/>
      <c r="S49" s="44" t="n">
        <v>1.38</v>
      </c>
      <c r="T49" s="37" t="n">
        <v>0</v>
      </c>
      <c r="U49" s="37" t="inlineStr">
        <is>
          <t>ASSUMED</t>
        </is>
      </c>
      <c r="V49" s="37" t="inlineStr">
        <is>
          <t>MATCH (source cited: SAE J514-1 070120 / MS51525 / MS39324)</t>
        </is>
      </c>
      <c r="W49" s="37" t="inlineStr">
        <is>
          <t>BUILD</t>
        </is>
      </c>
      <c r="X49" s="37" t="inlineStr">
        <is>
          <t>Hex = Air-Way C4 column (per-part). Matched sizes in this topology corroborate the column.</t>
        </is>
      </c>
      <c r="Z49" s="45" t="inlineStr">
        <is>
          <t>Carbon Steel</t>
        </is>
      </c>
      <c r="AA49" s="45" t="inlineStr">
        <is>
          <t>ASTM A108 12L14</t>
        </is>
      </c>
      <c r="AB49" s="45" t="inlineStr">
        <is>
          <t>Trivalent Cr3 Zinc</t>
        </is>
      </c>
      <c r="AC49" s="45" t="inlineStr">
        <is>
          <t>ASTM B633 Type V/VI</t>
        </is>
      </c>
      <c r="AD49" s="46" t="n">
        <v>3000</v>
      </c>
      <c r="AE49" s="46" t="inlineStr">
        <is>
          <t>generic SAE table @ dash -16 (governing end)</t>
        </is>
      </c>
      <c r="AF49" s="46" t="n">
        <v>-65</v>
      </c>
      <c r="AG49" s="46" t="n">
        <v>400</v>
      </c>
      <c r="AH49" s="37" t="inlineStr">
        <is>
          <t>Ham-Let + hoseandfittings (pressure); Parker Cat.4300 (material); ASTM B633 (finish); see StandardsData</t>
        </is>
      </c>
    </row>
    <row r="50" ht="15" customHeight="1" s="35">
      <c r="A50" s="37" t="inlineStr">
        <is>
          <t>6400-16-10-O</t>
        </is>
      </c>
      <c r="B50" s="37" t="inlineStr">
        <is>
          <t>6400-16-10-O</t>
        </is>
      </c>
      <c r="C50" s="37" t="inlineStr">
        <is>
          <t>6400</t>
        </is>
      </c>
      <c r="D50" s="37" t="n">
        <v>89</v>
      </c>
      <c r="E50" s="37" t="inlineStr">
        <is>
          <t>Straight</t>
        </is>
      </c>
      <c r="F50" s="37" t="inlineStr">
        <is>
          <t>Straight Thread Connector, 1 5/16-12 x 7/8-14</t>
        </is>
      </c>
      <c r="G50" s="37" t="inlineStr">
        <is>
          <t>7/8-14</t>
        </is>
      </c>
      <c r="H50" s="37" t="inlineStr">
        <is>
          <t>1 5/16-12</t>
        </is>
      </c>
      <c r="I50" s="37" t="n"/>
      <c r="J50" s="37" t="inlineStr">
        <is>
          <t>SAE J1926-3</t>
        </is>
      </c>
      <c r="K50" s="37" t="inlineStr">
        <is>
          <t>SAE J514-1</t>
        </is>
      </c>
      <c r="L50" s="37" t="n">
        <v>2.07</v>
      </c>
      <c r="M50" s="37" t="n">
        <v>1.38</v>
      </c>
      <c r="N50" s="37" t="n">
        <v>0.84</v>
      </c>
      <c r="O50" s="37" t="n">
        <v>0.48</v>
      </c>
      <c r="P50" s="37" t="n"/>
      <c r="Q50" s="37" t="n"/>
      <c r="R50" s="44" t="n"/>
      <c r="S50" s="44" t="n">
        <v>1.38</v>
      </c>
      <c r="T50" s="37" t="n">
        <v>0</v>
      </c>
      <c r="U50" s="37" t="inlineStr">
        <is>
          <t>ASSUMED</t>
        </is>
      </c>
      <c r="V50" s="37" t="inlineStr">
        <is>
          <t>MATCH (source cited: SAE J514-1 070120 / MS51525 / MS39324)</t>
        </is>
      </c>
      <c r="W50" s="37" t="inlineStr">
        <is>
          <t>BUILD</t>
        </is>
      </c>
      <c r="X50" s="37" t="inlineStr">
        <is>
          <t>Hex = Air-Way C4 column (per-part). Matched sizes in this topology corroborate the column.</t>
        </is>
      </c>
      <c r="Z50" s="45" t="inlineStr">
        <is>
          <t>Carbon Steel</t>
        </is>
      </c>
      <c r="AA50" s="45" t="inlineStr">
        <is>
          <t>ASTM A108 12L14</t>
        </is>
      </c>
      <c r="AB50" s="45" t="inlineStr">
        <is>
          <t>Trivalent Cr3 Zinc</t>
        </is>
      </c>
      <c r="AC50" s="45" t="inlineStr">
        <is>
          <t>ASTM B633 Type V/VI</t>
        </is>
      </c>
      <c r="AD50" s="46" t="n">
        <v>3000</v>
      </c>
      <c r="AE50" s="46" t="inlineStr">
        <is>
          <t>generic SAE table @ dash -16 (governing end)</t>
        </is>
      </c>
      <c r="AF50" s="46" t="n">
        <v>-65</v>
      </c>
      <c r="AG50" s="46" t="n">
        <v>400</v>
      </c>
      <c r="AH50" s="37" t="inlineStr">
        <is>
          <t>Ham-Let + hoseandfittings (pressure); Parker Cat.4300 (material); ASTM B633 (finish); see StandardsData</t>
        </is>
      </c>
    </row>
    <row r="51" ht="15" customHeight="1" s="35">
      <c r="A51" s="37" t="inlineStr">
        <is>
          <t>6400-16-12-O</t>
        </is>
      </c>
      <c r="B51" s="37" t="inlineStr">
        <is>
          <t>6400-16-12-O</t>
        </is>
      </c>
      <c r="C51" s="37" t="inlineStr">
        <is>
          <t>6400</t>
        </is>
      </c>
      <c r="D51" s="37" t="n">
        <v>89</v>
      </c>
      <c r="E51" s="37" t="inlineStr">
        <is>
          <t>Straight</t>
        </is>
      </c>
      <c r="F51" s="37" t="inlineStr">
        <is>
          <t>Straight Thread Connector, 1 5/16-12 x 1 1/16-12</t>
        </is>
      </c>
      <c r="G51" s="37" t="inlineStr">
        <is>
          <t>1 1/16-12</t>
        </is>
      </c>
      <c r="H51" s="37" t="inlineStr">
        <is>
          <t>1 5/16-12</t>
        </is>
      </c>
      <c r="I51" s="37" t="n"/>
      <c r="J51" s="37" t="inlineStr">
        <is>
          <t>SAE J1926-3</t>
        </is>
      </c>
      <c r="K51" s="37" t="inlineStr">
        <is>
          <t>SAE J514-1</t>
        </is>
      </c>
      <c r="L51" s="37" t="n">
        <v>2.04</v>
      </c>
      <c r="M51" s="37" t="n">
        <v>1.38</v>
      </c>
      <c r="N51" s="37" t="n">
        <v>0.84</v>
      </c>
      <c r="O51" s="37" t="n">
        <v>0.61</v>
      </c>
      <c r="P51" s="37" t="n"/>
      <c r="Q51" s="37" t="n"/>
      <c r="R51" s="44" t="n"/>
      <c r="S51" s="44" t="n">
        <v>1.38</v>
      </c>
      <c r="T51" s="37" t="n">
        <v>0</v>
      </c>
      <c r="U51" s="37" t="inlineStr">
        <is>
          <t>ASSUMED</t>
        </is>
      </c>
      <c r="V51" s="37" t="inlineStr">
        <is>
          <t>MATCH (source cited: SAE J514-1 070120 / MS51525 / MS39324)</t>
        </is>
      </c>
      <c r="W51" s="37" t="inlineStr">
        <is>
          <t>BUILD</t>
        </is>
      </c>
      <c r="X51" s="37" t="inlineStr">
        <is>
          <t>Hex = Air-Way C4 column (per-part). Matched sizes in this topology corroborate the column.</t>
        </is>
      </c>
      <c r="Z51" s="45" t="inlineStr">
        <is>
          <t>Carbon Steel</t>
        </is>
      </c>
      <c r="AA51" s="45" t="inlineStr">
        <is>
          <t>ASTM A108 12L14</t>
        </is>
      </c>
      <c r="AB51" s="45" t="inlineStr">
        <is>
          <t>Trivalent Cr3 Zinc</t>
        </is>
      </c>
      <c r="AC51" s="45" t="inlineStr">
        <is>
          <t>ASTM B633 Type V/VI</t>
        </is>
      </c>
      <c r="AD51" s="46" t="n">
        <v>3000</v>
      </c>
      <c r="AE51" s="46" t="inlineStr">
        <is>
          <t>generic SAE table @ dash -16 (governing end)</t>
        </is>
      </c>
      <c r="AF51" s="46" t="n">
        <v>-65</v>
      </c>
      <c r="AG51" s="46" t="n">
        <v>400</v>
      </c>
      <c r="AH51" s="37" t="inlineStr">
        <is>
          <t>Ham-Let + hoseandfittings (pressure); Parker Cat.4300 (material); ASTM B633 (finish); see StandardsData</t>
        </is>
      </c>
    </row>
    <row r="52" ht="15" customHeight="1" s="35">
      <c r="A52" s="37" t="inlineStr">
        <is>
          <t>6400-16-14-O</t>
        </is>
      </c>
      <c r="B52" s="37" t="inlineStr">
        <is>
          <t>6400-16-14-O</t>
        </is>
      </c>
      <c r="C52" s="37" t="inlineStr">
        <is>
          <t>6400</t>
        </is>
      </c>
      <c r="D52" s="37" t="n">
        <v>89</v>
      </c>
      <c r="E52" s="37" t="inlineStr">
        <is>
          <t>Straight</t>
        </is>
      </c>
      <c r="F52" s="37" t="inlineStr">
        <is>
          <t>Straight Thread Connector, 1 5/16-12 x 1 3/16-12</t>
        </is>
      </c>
      <c r="G52" s="37" t="inlineStr">
        <is>
          <t>1 3/16-12</t>
        </is>
      </c>
      <c r="H52" s="37" t="inlineStr">
        <is>
          <t>1 5/16-12</t>
        </is>
      </c>
      <c r="I52" s="37" t="n"/>
      <c r="J52" s="37" t="inlineStr">
        <is>
          <t>SAE J1926-3</t>
        </is>
      </c>
      <c r="K52" s="37" t="inlineStr">
        <is>
          <t>SAE J514-1</t>
        </is>
      </c>
      <c r="L52" s="37" t="n">
        <v>2.04</v>
      </c>
      <c r="M52" s="37" t="n">
        <v>1.38</v>
      </c>
      <c r="N52" s="37" t="n">
        <v>0.84</v>
      </c>
      <c r="O52" s="37" t="n">
        <v>0.72</v>
      </c>
      <c r="P52" s="37" t="n"/>
      <c r="Q52" s="37" t="n"/>
      <c r="R52" s="44" t="n"/>
      <c r="S52" s="44" t="n">
        <v>1.38</v>
      </c>
      <c r="T52" s="37" t="n">
        <v>0</v>
      </c>
      <c r="U52" s="37" t="inlineStr">
        <is>
          <t>ASSUMED</t>
        </is>
      </c>
      <c r="V52" s="37" t="inlineStr">
        <is>
          <t>MATCH (source cited: SAE J514-1 070120 / MS51525 / MS39324)</t>
        </is>
      </c>
      <c r="W52" s="37" t="inlineStr">
        <is>
          <t>BUILD</t>
        </is>
      </c>
      <c r="X52" s="37" t="inlineStr">
        <is>
          <t>Hex = Air-Way C4 column (per-part). Matched sizes in this topology corroborate the column.</t>
        </is>
      </c>
      <c r="Z52" s="45" t="inlineStr">
        <is>
          <t>Carbon Steel</t>
        </is>
      </c>
      <c r="AA52" s="45" t="inlineStr">
        <is>
          <t>ASTM A108 12L14</t>
        </is>
      </c>
      <c r="AB52" s="45" t="inlineStr">
        <is>
          <t>Trivalent Cr3 Zinc</t>
        </is>
      </c>
      <c r="AC52" s="45" t="inlineStr">
        <is>
          <t>ASTM B633 Type V/VI</t>
        </is>
      </c>
      <c r="AD52" s="46" t="n">
        <v>3000</v>
      </c>
      <c r="AE52" s="46" t="inlineStr">
        <is>
          <t>generic SAE table @ dash -16 (governing end)</t>
        </is>
      </c>
      <c r="AF52" s="46" t="n">
        <v>-65</v>
      </c>
      <c r="AG52" s="46" t="n">
        <v>400</v>
      </c>
      <c r="AH52" s="37" t="inlineStr">
        <is>
          <t>Ham-Let + hoseandfittings (pressure); Parker Cat.4300 (material); ASTM B633 (finish); see StandardsData</t>
        </is>
      </c>
    </row>
    <row r="53" ht="15" customHeight="1" s="35">
      <c r="A53" s="37" t="inlineStr">
        <is>
          <t>6400-16-16-O</t>
        </is>
      </c>
      <c r="B53" s="37" t="inlineStr">
        <is>
          <t>6400-16-16-O</t>
        </is>
      </c>
      <c r="C53" s="37" t="inlineStr">
        <is>
          <t>6400</t>
        </is>
      </c>
      <c r="D53" s="37" t="n">
        <v>89</v>
      </c>
      <c r="E53" s="37" t="inlineStr">
        <is>
          <t>Straight</t>
        </is>
      </c>
      <c r="F53" s="37" t="inlineStr">
        <is>
          <t>Straight Thread Connector, 1 5/16-12 x 1 5/16-12</t>
        </is>
      </c>
      <c r="G53" s="37" t="inlineStr">
        <is>
          <t>1 5/16-12</t>
        </is>
      </c>
      <c r="H53" s="37" t="inlineStr">
        <is>
          <t>1 5/16-12</t>
        </is>
      </c>
      <c r="I53" s="37" t="n"/>
      <c r="J53" s="37" t="inlineStr">
        <is>
          <t>SAE J1926-3</t>
        </is>
      </c>
      <c r="K53" s="37" t="inlineStr">
        <is>
          <t>SAE J514-1</t>
        </is>
      </c>
      <c r="L53" s="37" t="n">
        <v>2.04</v>
      </c>
      <c r="M53" s="37" t="n">
        <v>1.5</v>
      </c>
      <c r="N53" s="37" t="n">
        <v>0.84</v>
      </c>
      <c r="O53" s="37" t="n">
        <v>0.84</v>
      </c>
      <c r="P53" s="37" t="n"/>
      <c r="Q53" s="37" t="n"/>
      <c r="R53" s="44" t="n"/>
      <c r="S53" s="45" t="n">
        <v>1.5</v>
      </c>
      <c r="T53" s="37" t="n">
        <v>0</v>
      </c>
      <c r="U53" s="37" t="inlineStr">
        <is>
          <t>VERIFIED</t>
        </is>
      </c>
      <c r="V53" s="37" t="inlineStr">
        <is>
          <t>MATCH (source cited: SAE J514-1 070120 / MS51525 / MS39324)</t>
        </is>
      </c>
      <c r="W53" s="37" t="inlineStr">
        <is>
          <t>BUILD</t>
        </is>
      </c>
      <c r="X53" s="37" t="inlineStr">
        <is>
          <t>Hex = Air-Way C4 column, CONFIRMED vs PressureConnections/Purvis.</t>
        </is>
      </c>
      <c r="Z53" s="45" t="inlineStr">
        <is>
          <t>Carbon Steel</t>
        </is>
      </c>
      <c r="AA53" s="45" t="inlineStr">
        <is>
          <t>ASTM A108 12L14</t>
        </is>
      </c>
      <c r="AB53" s="45" t="inlineStr">
        <is>
          <t>Trivalent Cr3 Zinc</t>
        </is>
      </c>
      <c r="AC53" s="45" t="inlineStr">
        <is>
          <t>ASTM B633 Type V/VI</t>
        </is>
      </c>
      <c r="AD53" s="46" t="n">
        <v>3000</v>
      </c>
      <c r="AE53" s="46" t="inlineStr">
        <is>
          <t>generic SAE table @ dash -16 (governing end)</t>
        </is>
      </c>
      <c r="AF53" s="46" t="n">
        <v>-65</v>
      </c>
      <c r="AG53" s="46" t="n">
        <v>400</v>
      </c>
      <c r="AH53" s="37" t="inlineStr">
        <is>
          <t>Ham-Let + hoseandfittings (pressure); Parker Cat.4300 (material); ASTM B633 (finish); see StandardsData</t>
        </is>
      </c>
    </row>
    <row r="54" ht="15" customHeight="1" s="35">
      <c r="A54" s="37" t="inlineStr">
        <is>
          <t>6400-16-20-O</t>
        </is>
      </c>
      <c r="B54" s="37" t="inlineStr">
        <is>
          <t>6400-16-20-O</t>
        </is>
      </c>
      <c r="C54" s="37" t="inlineStr">
        <is>
          <t>6400</t>
        </is>
      </c>
      <c r="D54" s="37" t="n">
        <v>89</v>
      </c>
      <c r="E54" s="37" t="inlineStr">
        <is>
          <t>Straight</t>
        </is>
      </c>
      <c r="F54" s="37" t="inlineStr">
        <is>
          <t>Straight Thread Connector, 1 5/16-12 x 1 5/8-12</t>
        </is>
      </c>
      <c r="G54" s="37" t="inlineStr">
        <is>
          <t>1 5/8-12</t>
        </is>
      </c>
      <c r="H54" s="37" t="inlineStr">
        <is>
          <t>1 5/16-12</t>
        </is>
      </c>
      <c r="I54" s="37" t="n"/>
      <c r="J54" s="37" t="inlineStr">
        <is>
          <t>SAE J1926-3</t>
        </is>
      </c>
      <c r="K54" s="37" t="inlineStr">
        <is>
          <t>SAE J514-1</t>
        </is>
      </c>
      <c r="L54" s="37" t="n">
        <v>2.12</v>
      </c>
      <c r="M54" s="37" t="n">
        <v>1.88</v>
      </c>
      <c r="N54" s="37" t="n">
        <v>0.84</v>
      </c>
      <c r="O54" s="37" t="n">
        <v>1.08</v>
      </c>
      <c r="P54" s="37" t="n"/>
      <c r="Q54" s="37" t="n"/>
      <c r="R54" s="44" t="n"/>
      <c r="S54" s="44" t="n">
        <v>1.88</v>
      </c>
      <c r="T54" s="37" t="n">
        <v>0</v>
      </c>
      <c r="U54" s="37" t="inlineStr">
        <is>
          <t>ASSUMED</t>
        </is>
      </c>
      <c r="V54" s="37" t="inlineStr">
        <is>
          <t>MATCH (source cited: SAE J514-1 070120 / MS51525 / MS39324)</t>
        </is>
      </c>
      <c r="W54" s="37" t="inlineStr">
        <is>
          <t>BUILD</t>
        </is>
      </c>
      <c r="X54" s="37" t="inlineStr">
        <is>
          <t>Hex = Air-Way C4 column (per-part). Matched sizes in this topology corroborate the column.</t>
        </is>
      </c>
      <c r="Z54" s="45" t="inlineStr">
        <is>
          <t>Carbon Steel</t>
        </is>
      </c>
      <c r="AA54" s="45" t="inlineStr">
        <is>
          <t>ASTM A108 12L14</t>
        </is>
      </c>
      <c r="AB54" s="45" t="inlineStr">
        <is>
          <t>Trivalent Cr3 Zinc</t>
        </is>
      </c>
      <c r="AC54" s="45" t="inlineStr">
        <is>
          <t>ASTM B633 Type V/VI</t>
        </is>
      </c>
      <c r="AD54" s="46" t="n">
        <v>2500</v>
      </c>
      <c r="AE54" s="46" t="inlineStr">
        <is>
          <t>generic SAE table @ dash -20 (governing end)</t>
        </is>
      </c>
      <c r="AF54" s="46" t="n">
        <v>-65</v>
      </c>
      <c r="AG54" s="46" t="n">
        <v>400</v>
      </c>
      <c r="AH54" s="37" t="inlineStr">
        <is>
          <t>Ham-Let + hoseandfittings (pressure); Parker Cat.4300 (material); ASTM B633 (finish); see StandardsData</t>
        </is>
      </c>
    </row>
    <row r="55" ht="15" customHeight="1" s="35">
      <c r="A55" s="37" t="inlineStr">
        <is>
          <t>6400-16-24-O</t>
        </is>
      </c>
      <c r="B55" s="37" t="inlineStr">
        <is>
          <t>6400-16-24-O</t>
        </is>
      </c>
      <c r="C55" s="37" t="inlineStr">
        <is>
          <t>6400</t>
        </is>
      </c>
      <c r="D55" s="37" t="n">
        <v>89</v>
      </c>
      <c r="E55" s="37" t="inlineStr">
        <is>
          <t>Straight</t>
        </is>
      </c>
      <c r="F55" s="37" t="inlineStr">
        <is>
          <t>Straight Thread Connector, 1 5/16-12 x 1 7/8-12</t>
        </is>
      </c>
      <c r="G55" s="37" t="inlineStr">
        <is>
          <t>1 7/8-12</t>
        </is>
      </c>
      <c r="H55" s="37" t="inlineStr">
        <is>
          <t>1 5/16-12</t>
        </is>
      </c>
      <c r="I55" s="37" t="n"/>
      <c r="J55" s="37" t="inlineStr">
        <is>
          <t>SAE J1926-3</t>
        </is>
      </c>
      <c r="K55" s="37" t="inlineStr">
        <is>
          <t>SAE J514-1</t>
        </is>
      </c>
      <c r="L55" s="37" t="n">
        <v>2.2</v>
      </c>
      <c r="M55" s="37" t="n">
        <v>2.13</v>
      </c>
      <c r="N55" s="37" t="n">
        <v>0.84</v>
      </c>
      <c r="O55" s="37" t="n">
        <v>1.31</v>
      </c>
      <c r="P55" s="37" t="n"/>
      <c r="Q55" s="37" t="n"/>
      <c r="R55" s="44" t="n"/>
      <c r="S55" s="44" t="n">
        <v>2.13</v>
      </c>
      <c r="T55" s="37" t="n">
        <v>0</v>
      </c>
      <c r="U55" s="37" t="inlineStr">
        <is>
          <t>ASSUMED</t>
        </is>
      </c>
      <c r="V55" s="37" t="inlineStr">
        <is>
          <t>MATCH (source cited: SAE J514-1 070120 / MS51525 / MS39324)</t>
        </is>
      </c>
      <c r="W55" s="37" t="inlineStr">
        <is>
          <t>BUILD</t>
        </is>
      </c>
      <c r="X55" s="37" t="inlineStr">
        <is>
          <t>Hex = Air-Way C4 column (per-part). Matched sizes in this topology corroborate the column.</t>
        </is>
      </c>
      <c r="Z55" s="45" t="inlineStr">
        <is>
          <t>Carbon Steel</t>
        </is>
      </c>
      <c r="AA55" s="45" t="inlineStr">
        <is>
          <t>ASTM A108 12L14</t>
        </is>
      </c>
      <c r="AB55" s="45" t="inlineStr">
        <is>
          <t>Trivalent Cr3 Zinc</t>
        </is>
      </c>
      <c r="AC55" s="45" t="inlineStr">
        <is>
          <t>ASTM B633 Type V/VI</t>
        </is>
      </c>
      <c r="AD55" s="46" t="n">
        <v>2000</v>
      </c>
      <c r="AE55" s="46" t="inlineStr">
        <is>
          <t>generic SAE table @ dash -24 (governing end)</t>
        </is>
      </c>
      <c r="AF55" s="46" t="n">
        <v>-65</v>
      </c>
      <c r="AG55" s="46" t="n">
        <v>400</v>
      </c>
      <c r="AH55" s="37" t="inlineStr">
        <is>
          <t>Ham-Let + hoseandfittings (pressure); Parker Cat.4300 (material); ASTM B633 (finish); see StandardsData</t>
        </is>
      </c>
    </row>
    <row r="56" ht="15" customHeight="1" s="35">
      <c r="A56" s="37" t="inlineStr">
        <is>
          <t>6400-20-12-O</t>
        </is>
      </c>
      <c r="B56" s="37" t="inlineStr">
        <is>
          <t>6400-20-12-O</t>
        </is>
      </c>
      <c r="C56" s="37" t="inlineStr">
        <is>
          <t>6400</t>
        </is>
      </c>
      <c r="D56" s="37" t="n">
        <v>89</v>
      </c>
      <c r="E56" s="37" t="inlineStr">
        <is>
          <t>Straight</t>
        </is>
      </c>
      <c r="F56" s="37" t="inlineStr">
        <is>
          <t>Straight Thread Connector, 1 5/8-12 x 1 1/16-12</t>
        </is>
      </c>
      <c r="G56" s="37" t="inlineStr">
        <is>
          <t>1 1/16-12</t>
        </is>
      </c>
      <c r="H56" s="37" t="inlineStr">
        <is>
          <t>1 5/8-12</t>
        </is>
      </c>
      <c r="I56" s="37" t="n"/>
      <c r="J56" s="37" t="inlineStr">
        <is>
          <t>SAE J1926-3</t>
        </is>
      </c>
      <c r="K56" s="37" t="inlineStr">
        <is>
          <t>SAE J514-1</t>
        </is>
      </c>
      <c r="L56" s="37" t="n">
        <v>2.3</v>
      </c>
      <c r="M56" s="37" t="n">
        <v>1.69</v>
      </c>
      <c r="N56" s="37" t="n">
        <v>1.08</v>
      </c>
      <c r="O56" s="37" t="n">
        <v>0.61</v>
      </c>
      <c r="P56" s="37" t="n"/>
      <c r="Q56" s="37" t="n"/>
      <c r="R56" s="44" t="n"/>
      <c r="S56" s="44" t="n">
        <v>1.69</v>
      </c>
      <c r="T56" s="37" t="n">
        <v>0</v>
      </c>
      <c r="U56" s="37" t="inlineStr">
        <is>
          <t>ASSUMED</t>
        </is>
      </c>
      <c r="V56" s="37" t="inlineStr">
        <is>
          <t>MATCH (source cited: SAE J514-1 070120 / MS51525 / MS39324)</t>
        </is>
      </c>
      <c r="W56" s="37" t="inlineStr">
        <is>
          <t>BUILD</t>
        </is>
      </c>
      <c r="X56" s="37" t="inlineStr">
        <is>
          <t>Hex = Air-Way C4 column (per-part). Matched sizes in this topology corroborate the column.</t>
        </is>
      </c>
      <c r="Z56" s="45" t="inlineStr">
        <is>
          <t>Carbon Steel</t>
        </is>
      </c>
      <c r="AA56" s="45" t="inlineStr">
        <is>
          <t>ASTM A108 12L14</t>
        </is>
      </c>
      <c r="AB56" s="45" t="inlineStr">
        <is>
          <t>Trivalent Cr3 Zinc</t>
        </is>
      </c>
      <c r="AC56" s="45" t="inlineStr">
        <is>
          <t>ASTM B633 Type V/VI</t>
        </is>
      </c>
      <c r="AD56" s="46" t="n">
        <v>2500</v>
      </c>
      <c r="AE56" s="46" t="inlineStr">
        <is>
          <t>generic SAE table @ dash -20 (governing end)</t>
        </is>
      </c>
      <c r="AF56" s="46" t="n">
        <v>-65</v>
      </c>
      <c r="AG56" s="46" t="n">
        <v>400</v>
      </c>
      <c r="AH56" s="37" t="inlineStr">
        <is>
          <t>Ham-Let + hoseandfittings (pressure); Parker Cat.4300 (material); ASTM B633 (finish); see StandardsData</t>
        </is>
      </c>
    </row>
    <row r="57" ht="15" customHeight="1" s="35">
      <c r="A57" s="37" t="inlineStr">
        <is>
          <t>6400-20-16-O</t>
        </is>
      </c>
      <c r="B57" s="37" t="inlineStr">
        <is>
          <t>6400-20-16-O</t>
        </is>
      </c>
      <c r="C57" s="37" t="inlineStr">
        <is>
          <t>6400</t>
        </is>
      </c>
      <c r="D57" s="37" t="n">
        <v>89</v>
      </c>
      <c r="E57" s="37" t="inlineStr">
        <is>
          <t>Straight</t>
        </is>
      </c>
      <c r="F57" s="37" t="inlineStr">
        <is>
          <t>Straight Thread Connector, 1 5/8-12 x 1 5/16-12</t>
        </is>
      </c>
      <c r="G57" s="37" t="inlineStr">
        <is>
          <t>1 5/16-12</t>
        </is>
      </c>
      <c r="H57" s="37" t="inlineStr">
        <is>
          <t>1 5/8-12</t>
        </is>
      </c>
      <c r="I57" s="37" t="n"/>
      <c r="J57" s="37" t="inlineStr">
        <is>
          <t>SAE J1926-3</t>
        </is>
      </c>
      <c r="K57" s="37" t="inlineStr">
        <is>
          <t>SAE J514-1</t>
        </is>
      </c>
      <c r="L57" s="37" t="n">
        <v>2.33</v>
      </c>
      <c r="M57" s="37" t="n">
        <v>1.69</v>
      </c>
      <c r="N57" s="37" t="n">
        <v>1.08</v>
      </c>
      <c r="O57" s="37" t="n">
        <v>0.84</v>
      </c>
      <c r="P57" s="37" t="n"/>
      <c r="Q57" s="37" t="n"/>
      <c r="R57" s="44" t="n"/>
      <c r="S57" s="44" t="n">
        <v>1.69</v>
      </c>
      <c r="T57" s="37" t="n">
        <v>0</v>
      </c>
      <c r="U57" s="37" t="inlineStr">
        <is>
          <t>ASSUMED</t>
        </is>
      </c>
      <c r="V57" s="37" t="inlineStr">
        <is>
          <t>MATCH (source cited: SAE J514-1 070120 / MS51525 / MS39324)</t>
        </is>
      </c>
      <c r="W57" s="37" t="inlineStr">
        <is>
          <t>BUILD</t>
        </is>
      </c>
      <c r="X57" s="37" t="inlineStr">
        <is>
          <t>Hex = Air-Way C4 column (per-part). Matched sizes in this topology corroborate the column.</t>
        </is>
      </c>
      <c r="Z57" s="45" t="inlineStr">
        <is>
          <t>Carbon Steel</t>
        </is>
      </c>
      <c r="AA57" s="45" t="inlineStr">
        <is>
          <t>ASTM A108 12L14</t>
        </is>
      </c>
      <c r="AB57" s="45" t="inlineStr">
        <is>
          <t>Trivalent Cr3 Zinc</t>
        </is>
      </c>
      <c r="AC57" s="45" t="inlineStr">
        <is>
          <t>ASTM B633 Type V/VI</t>
        </is>
      </c>
      <c r="AD57" s="46" t="n">
        <v>2500</v>
      </c>
      <c r="AE57" s="46" t="inlineStr">
        <is>
          <t>generic SAE table @ dash -20 (governing end)</t>
        </is>
      </c>
      <c r="AF57" s="46" t="n">
        <v>-65</v>
      </c>
      <c r="AG57" s="46" t="n">
        <v>400</v>
      </c>
      <c r="AH57" s="37" t="inlineStr">
        <is>
          <t>Ham-Let + hoseandfittings (pressure); Parker Cat.4300 (material); ASTM B633 (finish); see StandardsData</t>
        </is>
      </c>
    </row>
    <row r="58" ht="15" customHeight="1" s="35">
      <c r="A58" s="37" t="inlineStr">
        <is>
          <t>6400-20-20-O</t>
        </is>
      </c>
      <c r="B58" s="37" t="inlineStr">
        <is>
          <t>6400-20-20-O</t>
        </is>
      </c>
      <c r="C58" s="37" t="inlineStr">
        <is>
          <t>6400</t>
        </is>
      </c>
      <c r="D58" s="37" t="n">
        <v>89</v>
      </c>
      <c r="E58" s="37" t="inlineStr">
        <is>
          <t>Straight</t>
        </is>
      </c>
      <c r="F58" s="37" t="inlineStr">
        <is>
          <t>Straight Thread Connector, 1 5/8-12 x 1 5/8-12</t>
        </is>
      </c>
      <c r="G58" s="37" t="inlineStr">
        <is>
          <t>1 5/8-12</t>
        </is>
      </c>
      <c r="H58" s="37" t="inlineStr">
        <is>
          <t>1 5/8-12</t>
        </is>
      </c>
      <c r="I58" s="37" t="n"/>
      <c r="J58" s="37" t="inlineStr">
        <is>
          <t>SAE J1926-3</t>
        </is>
      </c>
      <c r="K58" s="37" t="inlineStr">
        <is>
          <t>SAE J514-1</t>
        </is>
      </c>
      <c r="L58" s="37" t="n">
        <v>2.17</v>
      </c>
      <c r="M58" s="37" t="n">
        <v>1.88</v>
      </c>
      <c r="N58" s="37" t="n">
        <v>1.08</v>
      </c>
      <c r="O58" s="37" t="n">
        <v>1.08</v>
      </c>
      <c r="P58" s="37" t="n"/>
      <c r="Q58" s="37" t="n"/>
      <c r="R58" s="44" t="n"/>
      <c r="S58" s="45" t="n">
        <v>1.88</v>
      </c>
      <c r="T58" s="37" t="n">
        <v>0</v>
      </c>
      <c r="U58" s="37" t="inlineStr">
        <is>
          <t>VERIFIED</t>
        </is>
      </c>
      <c r="V58" s="37" t="inlineStr">
        <is>
          <t>MATCH (source cited: SAE J514-1 070120 / MS51525 / MS39324)</t>
        </is>
      </c>
      <c r="W58" s="37" t="inlineStr">
        <is>
          <t>BUILD</t>
        </is>
      </c>
      <c r="X58" s="37" t="inlineStr">
        <is>
          <t>Hex = Air-Way C4 column, CONFIRMED vs PressureConnections/Purvis.</t>
        </is>
      </c>
      <c r="Z58" s="45" t="inlineStr">
        <is>
          <t>Carbon Steel</t>
        </is>
      </c>
      <c r="AA58" s="45" t="inlineStr">
        <is>
          <t>ASTM A108 12L14</t>
        </is>
      </c>
      <c r="AB58" s="45" t="inlineStr">
        <is>
          <t>Trivalent Cr3 Zinc</t>
        </is>
      </c>
      <c r="AC58" s="45" t="inlineStr">
        <is>
          <t>ASTM B633 Type V/VI</t>
        </is>
      </c>
      <c r="AD58" s="46" t="n">
        <v>2500</v>
      </c>
      <c r="AE58" s="46" t="inlineStr">
        <is>
          <t>generic SAE table @ dash -20 (governing end)</t>
        </is>
      </c>
      <c r="AF58" s="46" t="n">
        <v>-65</v>
      </c>
      <c r="AG58" s="46" t="n">
        <v>400</v>
      </c>
      <c r="AH58" s="37" t="inlineStr">
        <is>
          <t>Ham-Let + hoseandfittings (pressure); Parker Cat.4300 (material); ASTM B633 (finish); see StandardsData</t>
        </is>
      </c>
    </row>
    <row r="59" ht="15" customHeight="1" s="35">
      <c r="A59" s="37" t="inlineStr">
        <is>
          <t>6400-20-24-O</t>
        </is>
      </c>
      <c r="B59" s="37" t="inlineStr">
        <is>
          <t>6400-20-24-O</t>
        </is>
      </c>
      <c r="C59" s="37" t="inlineStr">
        <is>
          <t>6400</t>
        </is>
      </c>
      <c r="D59" s="37" t="n">
        <v>89</v>
      </c>
      <c r="E59" s="37" t="inlineStr">
        <is>
          <t>Straight</t>
        </is>
      </c>
      <c r="F59" s="37" t="inlineStr">
        <is>
          <t>Straight Thread Connector, 1 5/8-12 x 1 7/8-12</t>
        </is>
      </c>
      <c r="G59" s="37" t="inlineStr">
        <is>
          <t>1 7/8-12</t>
        </is>
      </c>
      <c r="H59" s="37" t="inlineStr">
        <is>
          <t>1 5/8-12</t>
        </is>
      </c>
      <c r="I59" s="37" t="n"/>
      <c r="J59" s="37" t="inlineStr">
        <is>
          <t>SAE J1926-3</t>
        </is>
      </c>
      <c r="K59" s="37" t="inlineStr">
        <is>
          <t>SAE J514-1</t>
        </is>
      </c>
      <c r="L59" s="37" t="n">
        <v>2.24</v>
      </c>
      <c r="M59" s="37" t="n">
        <v>2.13</v>
      </c>
      <c r="N59" s="37" t="n">
        <v>1.08</v>
      </c>
      <c r="O59" s="37" t="n">
        <v>1.31</v>
      </c>
      <c r="P59" s="37" t="n"/>
      <c r="Q59" s="37" t="n"/>
      <c r="R59" s="44" t="n"/>
      <c r="S59" s="44" t="n">
        <v>2.13</v>
      </c>
      <c r="T59" s="37" t="n">
        <v>0</v>
      </c>
      <c r="U59" s="37" t="inlineStr">
        <is>
          <t>ASSUMED</t>
        </is>
      </c>
      <c r="V59" s="37" t="inlineStr">
        <is>
          <t>MATCH (source cited: SAE J514-1 070120 / MS51525 / MS39324)</t>
        </is>
      </c>
      <c r="W59" s="37" t="inlineStr">
        <is>
          <t>BUILD</t>
        </is>
      </c>
      <c r="X59" s="37" t="inlineStr">
        <is>
          <t>Hex = Air-Way C4 column (per-part). Matched sizes in this topology corroborate the column.</t>
        </is>
      </c>
      <c r="Z59" s="45" t="inlineStr">
        <is>
          <t>Carbon Steel</t>
        </is>
      </c>
      <c r="AA59" s="45" t="inlineStr">
        <is>
          <t>ASTM A108 12L14</t>
        </is>
      </c>
      <c r="AB59" s="45" t="inlineStr">
        <is>
          <t>Trivalent Cr3 Zinc</t>
        </is>
      </c>
      <c r="AC59" s="45" t="inlineStr">
        <is>
          <t>ASTM B633 Type V/VI</t>
        </is>
      </c>
      <c r="AD59" s="46" t="n">
        <v>2000</v>
      </c>
      <c r="AE59" s="46" t="inlineStr">
        <is>
          <t>generic SAE table @ dash -24 (governing end)</t>
        </is>
      </c>
      <c r="AF59" s="46" t="n">
        <v>-65</v>
      </c>
      <c r="AG59" s="46" t="n">
        <v>400</v>
      </c>
      <c r="AH59" s="37" t="inlineStr">
        <is>
          <t>Ham-Let + hoseandfittings (pressure); Parker Cat.4300 (material); ASTM B633 (finish); see StandardsData</t>
        </is>
      </c>
    </row>
    <row r="60" ht="15" customHeight="1" s="35">
      <c r="A60" s="37" t="inlineStr">
        <is>
          <t>6400-20-32-O</t>
        </is>
      </c>
      <c r="B60" s="37" t="inlineStr">
        <is>
          <t>6400-20-32-O</t>
        </is>
      </c>
      <c r="C60" s="37" t="inlineStr">
        <is>
          <t>6400</t>
        </is>
      </c>
      <c r="D60" s="37" t="n">
        <v>89</v>
      </c>
      <c r="E60" s="37" t="inlineStr">
        <is>
          <t>Straight</t>
        </is>
      </c>
      <c r="F60" s="37" t="inlineStr">
        <is>
          <t>Straight Thread Connector, 1 5/8-12 x 2 1/2-12</t>
        </is>
      </c>
      <c r="G60" s="37" t="inlineStr">
        <is>
          <t>2 1/2-12</t>
        </is>
      </c>
      <c r="H60" s="37" t="inlineStr">
        <is>
          <t>1 5/8-12</t>
        </is>
      </c>
      <c r="I60" s="37" t="n"/>
      <c r="J60" s="37" t="inlineStr">
        <is>
          <t>SAE J1926-3</t>
        </is>
      </c>
      <c r="K60" s="37" t="inlineStr">
        <is>
          <t>SAE J514-1</t>
        </is>
      </c>
      <c r="L60" s="37" t="n">
        <v>2.4</v>
      </c>
      <c r="M60" s="37" t="n">
        <v>2.75</v>
      </c>
      <c r="N60" s="37" t="n">
        <v>1.08</v>
      </c>
      <c r="O60" s="37" t="n">
        <v>1.78</v>
      </c>
      <c r="P60" s="37" t="n"/>
      <c r="Q60" s="37" t="n"/>
      <c r="R60" s="44" t="n"/>
      <c r="S60" s="44" t="n">
        <v>2.75</v>
      </c>
      <c r="T60" s="37" t="n">
        <v>0</v>
      </c>
      <c r="U60" s="37" t="inlineStr">
        <is>
          <t>ASSUMED</t>
        </is>
      </c>
      <c r="V60" s="37" t="inlineStr">
        <is>
          <t>MATCH (source cited: SAE J514-1 070120 / MS51525 / MS39324)</t>
        </is>
      </c>
      <c r="W60" s="37" t="inlineStr">
        <is>
          <t>BUILD</t>
        </is>
      </c>
      <c r="X60" s="37" t="inlineStr">
        <is>
          <t>Hex = Air-Way C4 column (per-part). Matched sizes in this topology corroborate the column.</t>
        </is>
      </c>
      <c r="Z60" s="45" t="inlineStr">
        <is>
          <t>Carbon Steel</t>
        </is>
      </c>
      <c r="AA60" s="45" t="inlineStr">
        <is>
          <t>ASTM A108 12L14</t>
        </is>
      </c>
      <c r="AB60" s="45" t="inlineStr">
        <is>
          <t>Trivalent Cr3 Zinc</t>
        </is>
      </c>
      <c r="AC60" s="45" t="inlineStr">
        <is>
          <t>ASTM B633 Type V/VI</t>
        </is>
      </c>
      <c r="AD60" s="46" t="n">
        <v>1500</v>
      </c>
      <c r="AE60" s="46" t="inlineStr">
        <is>
          <t>generic SAE table @ dash -32 (governing end)</t>
        </is>
      </c>
      <c r="AF60" s="46" t="n">
        <v>-65</v>
      </c>
      <c r="AG60" s="46" t="n">
        <v>400</v>
      </c>
      <c r="AH60" s="37" t="inlineStr">
        <is>
          <t>Ham-Let + hoseandfittings (pressure); Parker Cat.4300 (material); ASTM B633 (finish); see StandardsData</t>
        </is>
      </c>
    </row>
    <row r="61" ht="15" customHeight="1" s="35">
      <c r="A61" s="37" t="inlineStr">
        <is>
          <t>6400-24-16-O</t>
        </is>
      </c>
      <c r="B61" s="37" t="inlineStr">
        <is>
          <t>6400-24-16-O</t>
        </is>
      </c>
      <c r="C61" s="37" t="inlineStr">
        <is>
          <t>6400</t>
        </is>
      </c>
      <c r="D61" s="37" t="n">
        <v>89</v>
      </c>
      <c r="E61" s="37" t="inlineStr">
        <is>
          <t>Straight</t>
        </is>
      </c>
      <c r="F61" s="37" t="inlineStr">
        <is>
          <t>Straight Thread Connector, 1 7/8-12 x 1 5/16-12</t>
        </is>
      </c>
      <c r="G61" s="37" t="inlineStr">
        <is>
          <t>1 5/16-12</t>
        </is>
      </c>
      <c r="H61" s="37" t="inlineStr">
        <is>
          <t>1 7/8-12</t>
        </is>
      </c>
      <c r="I61" s="37" t="n"/>
      <c r="J61" s="37" t="inlineStr">
        <is>
          <t>SAE J1926-3</t>
        </is>
      </c>
      <c r="K61" s="37" t="inlineStr">
        <is>
          <t>SAE J514-1</t>
        </is>
      </c>
      <c r="L61" s="37" t="n">
        <v>2.53</v>
      </c>
      <c r="M61" s="37" t="n">
        <v>2</v>
      </c>
      <c r="N61" s="37" t="n">
        <v>1.31</v>
      </c>
      <c r="O61" s="37" t="n">
        <v>0.84</v>
      </c>
      <c r="P61" s="37" t="n"/>
      <c r="Q61" s="37" t="n"/>
      <c r="R61" s="44" t="n"/>
      <c r="S61" s="44" t="n">
        <v>2</v>
      </c>
      <c r="T61" s="37" t="n">
        <v>0</v>
      </c>
      <c r="U61" s="37" t="inlineStr">
        <is>
          <t>ASSUMED</t>
        </is>
      </c>
      <c r="V61" s="37" t="inlineStr">
        <is>
          <t>MATCH (source cited: SAE J514-1 070120 / MS51525 / MS39324)</t>
        </is>
      </c>
      <c r="W61" s="37" t="inlineStr">
        <is>
          <t>BUILD</t>
        </is>
      </c>
      <c r="X61" s="37" t="inlineStr">
        <is>
          <t>Hex = Air-Way C4 column (per-part). Matched sizes in this topology corroborate the column.</t>
        </is>
      </c>
      <c r="Z61" s="45" t="inlineStr">
        <is>
          <t>Carbon Steel</t>
        </is>
      </c>
      <c r="AA61" s="45" t="inlineStr">
        <is>
          <t>ASTM A108 12L14</t>
        </is>
      </c>
      <c r="AB61" s="45" t="inlineStr">
        <is>
          <t>Trivalent Cr3 Zinc</t>
        </is>
      </c>
      <c r="AC61" s="45" t="inlineStr">
        <is>
          <t>ASTM B633 Type V/VI</t>
        </is>
      </c>
      <c r="AD61" s="46" t="n">
        <v>2000</v>
      </c>
      <c r="AE61" s="46" t="inlineStr">
        <is>
          <t>generic SAE table @ dash -24 (governing end)</t>
        </is>
      </c>
      <c r="AF61" s="46" t="n">
        <v>-65</v>
      </c>
      <c r="AG61" s="46" t="n">
        <v>400</v>
      </c>
      <c r="AH61" s="37" t="inlineStr">
        <is>
          <t>Ham-Let + hoseandfittings (pressure); Parker Cat.4300 (material); ASTM B633 (finish); see StandardsData</t>
        </is>
      </c>
    </row>
    <row r="62" ht="15" customHeight="1" s="35">
      <c r="A62" s="37" t="inlineStr">
        <is>
          <t>6400-24-20-O</t>
        </is>
      </c>
      <c r="B62" s="37" t="inlineStr">
        <is>
          <t>6400-24-20-O</t>
        </is>
      </c>
      <c r="C62" s="37" t="inlineStr">
        <is>
          <t>6400</t>
        </is>
      </c>
      <c r="D62" s="37" t="n">
        <v>89</v>
      </c>
      <c r="E62" s="37" t="inlineStr">
        <is>
          <t>Straight</t>
        </is>
      </c>
      <c r="F62" s="37" t="inlineStr">
        <is>
          <t>Straight Thread Connector, 1 7/8-12 x 1 5/8-12</t>
        </is>
      </c>
      <c r="G62" s="37" t="inlineStr">
        <is>
          <t>1 5/8-12</t>
        </is>
      </c>
      <c r="H62" s="37" t="inlineStr">
        <is>
          <t>1 7/8-12</t>
        </is>
      </c>
      <c r="I62" s="37" t="n"/>
      <c r="J62" s="37" t="inlineStr">
        <is>
          <t>SAE J1926-3</t>
        </is>
      </c>
      <c r="K62" s="37" t="inlineStr">
        <is>
          <t>SAE J514-1</t>
        </is>
      </c>
      <c r="L62" s="37" t="n">
        <v>2.53</v>
      </c>
      <c r="M62" s="37" t="n">
        <v>2</v>
      </c>
      <c r="N62" s="37" t="n">
        <v>1.31</v>
      </c>
      <c r="O62" s="37" t="n">
        <v>1.08</v>
      </c>
      <c r="P62" s="37" t="n"/>
      <c r="Q62" s="37" t="n"/>
      <c r="R62" s="44" t="n"/>
      <c r="S62" s="44" t="n">
        <v>2</v>
      </c>
      <c r="T62" s="37" t="n">
        <v>0</v>
      </c>
      <c r="U62" s="37" t="inlineStr">
        <is>
          <t>ASSUMED</t>
        </is>
      </c>
      <c r="V62" s="37" t="inlineStr">
        <is>
          <t>MATCH (source cited: SAE J514-1 070120 / MS51525 / MS39324)</t>
        </is>
      </c>
      <c r="W62" s="37" t="inlineStr">
        <is>
          <t>BUILD</t>
        </is>
      </c>
      <c r="X62" s="37" t="inlineStr">
        <is>
          <t>Hex = Air-Way C4 column (per-part). Matched sizes in this topology corroborate the column.</t>
        </is>
      </c>
      <c r="Z62" s="45" t="inlineStr">
        <is>
          <t>Carbon Steel</t>
        </is>
      </c>
      <c r="AA62" s="45" t="inlineStr">
        <is>
          <t>ASTM A108 12L14</t>
        </is>
      </c>
      <c r="AB62" s="45" t="inlineStr">
        <is>
          <t>Trivalent Cr3 Zinc</t>
        </is>
      </c>
      <c r="AC62" s="45" t="inlineStr">
        <is>
          <t>ASTM B633 Type V/VI</t>
        </is>
      </c>
      <c r="AD62" s="46" t="n">
        <v>2000</v>
      </c>
      <c r="AE62" s="46" t="inlineStr">
        <is>
          <t>generic SAE table @ dash -24 (governing end)</t>
        </is>
      </c>
      <c r="AF62" s="46" t="n">
        <v>-65</v>
      </c>
      <c r="AG62" s="46" t="n">
        <v>400</v>
      </c>
      <c r="AH62" s="37" t="inlineStr">
        <is>
          <t>Ham-Let + hoseandfittings (pressure); Parker Cat.4300 (material); ASTM B633 (finish); see StandardsData</t>
        </is>
      </c>
    </row>
    <row r="63" ht="15" customHeight="1" s="35">
      <c r="A63" s="37" t="inlineStr">
        <is>
          <t>6400-24-24-O</t>
        </is>
      </c>
      <c r="B63" s="37" t="inlineStr">
        <is>
          <t>6400-24-24-O</t>
        </is>
      </c>
      <c r="C63" s="37" t="inlineStr">
        <is>
          <t>6400</t>
        </is>
      </c>
      <c r="D63" s="37" t="n">
        <v>89</v>
      </c>
      <c r="E63" s="37" t="inlineStr">
        <is>
          <t>Straight</t>
        </is>
      </c>
      <c r="F63" s="37" t="inlineStr">
        <is>
          <t>Straight Thread Connector, 1 7/8-12 x 1 7/8-12</t>
        </is>
      </c>
      <c r="G63" s="37" t="inlineStr">
        <is>
          <t>1 7/8-12</t>
        </is>
      </c>
      <c r="H63" s="37" t="inlineStr">
        <is>
          <t>1 7/8-12</t>
        </is>
      </c>
      <c r="I63" s="37" t="n"/>
      <c r="J63" s="37" t="inlineStr">
        <is>
          <t>SAE J1926-3</t>
        </is>
      </c>
      <c r="K63" s="37" t="inlineStr">
        <is>
          <t>SAE J514-1</t>
        </is>
      </c>
      <c r="L63" s="37" t="n">
        <v>2.37</v>
      </c>
      <c r="M63" s="37" t="n">
        <v>2.13</v>
      </c>
      <c r="N63" s="37" t="n">
        <v>1.31</v>
      </c>
      <c r="O63" s="37" t="n">
        <v>1.31</v>
      </c>
      <c r="P63" s="37" t="n"/>
      <c r="Q63" s="37" t="n"/>
      <c r="R63" s="44" t="n"/>
      <c r="S63" s="45" t="n">
        <v>2.13</v>
      </c>
      <c r="T63" s="37" t="n">
        <v>0</v>
      </c>
      <c r="U63" s="37" t="inlineStr">
        <is>
          <t>VERIFIED</t>
        </is>
      </c>
      <c r="V63" s="37" t="inlineStr">
        <is>
          <t>MATCH (source cited: SAE J514-1 070120 / MS51525 / MS39324)</t>
        </is>
      </c>
      <c r="W63" s="37" t="inlineStr">
        <is>
          <t>BUILD</t>
        </is>
      </c>
      <c r="X63" s="37" t="inlineStr">
        <is>
          <t>Hex = Air-Way C4 column, CONFIRMED vs PressureConnections/Purvis.</t>
        </is>
      </c>
      <c r="Z63" s="45" t="inlineStr">
        <is>
          <t>Carbon Steel</t>
        </is>
      </c>
      <c r="AA63" s="45" t="inlineStr">
        <is>
          <t>ASTM A108 12L14</t>
        </is>
      </c>
      <c r="AB63" s="45" t="inlineStr">
        <is>
          <t>Trivalent Cr3 Zinc</t>
        </is>
      </c>
      <c r="AC63" s="45" t="inlineStr">
        <is>
          <t>ASTM B633 Type V/VI</t>
        </is>
      </c>
      <c r="AD63" s="46" t="n">
        <v>2000</v>
      </c>
      <c r="AE63" s="46" t="inlineStr">
        <is>
          <t>generic SAE table @ dash -24 (governing end)</t>
        </is>
      </c>
      <c r="AF63" s="46" t="n">
        <v>-65</v>
      </c>
      <c r="AG63" s="46" t="n">
        <v>400</v>
      </c>
      <c r="AH63" s="37" t="inlineStr">
        <is>
          <t>Ham-Let + hoseandfittings (pressure); Parker Cat.4300 (material); ASTM B633 (finish); see StandardsData</t>
        </is>
      </c>
    </row>
    <row r="64" ht="15" customHeight="1" s="35">
      <c r="A64" s="37" t="inlineStr">
        <is>
          <t>6400-24-32-O</t>
        </is>
      </c>
      <c r="B64" s="37" t="inlineStr">
        <is>
          <t>6400-24-32-O</t>
        </is>
      </c>
      <c r="C64" s="37" t="inlineStr">
        <is>
          <t>6400</t>
        </is>
      </c>
      <c r="D64" s="37" t="n">
        <v>89</v>
      </c>
      <c r="E64" s="37" t="inlineStr">
        <is>
          <t>Straight</t>
        </is>
      </c>
      <c r="F64" s="37" t="inlineStr">
        <is>
          <t>Straight Thread Connector, 1 7/8-12 x 2 1/2-12</t>
        </is>
      </c>
      <c r="G64" s="37" t="inlineStr">
        <is>
          <t>2 1/2-12</t>
        </is>
      </c>
      <c r="H64" s="37" t="inlineStr">
        <is>
          <t>1 7/8-12</t>
        </is>
      </c>
      <c r="I64" s="37" t="n"/>
      <c r="J64" s="37" t="inlineStr">
        <is>
          <t>SAE J1926-3</t>
        </is>
      </c>
      <c r="K64" s="37" t="inlineStr">
        <is>
          <t>SAE J514-1</t>
        </is>
      </c>
      <c r="L64" s="37" t="n">
        <v>2.53</v>
      </c>
      <c r="M64" s="37" t="n">
        <v>2.75</v>
      </c>
      <c r="N64" s="37" t="n">
        <v>1.31</v>
      </c>
      <c r="O64" s="37" t="n">
        <v>1.78</v>
      </c>
      <c r="P64" s="37" t="n"/>
      <c r="Q64" s="37" t="n"/>
      <c r="R64" s="44" t="n"/>
      <c r="S64" s="44" t="n">
        <v>2.75</v>
      </c>
      <c r="T64" s="37" t="n">
        <v>0</v>
      </c>
      <c r="U64" s="37" t="inlineStr">
        <is>
          <t>ASSUMED</t>
        </is>
      </c>
      <c r="V64" s="37" t="inlineStr">
        <is>
          <t>MATCH (source cited: SAE J514-1 070120 / MS51525 / MS39324)</t>
        </is>
      </c>
      <c r="W64" s="37" t="inlineStr">
        <is>
          <t>BUILD</t>
        </is>
      </c>
      <c r="X64" s="37" t="inlineStr">
        <is>
          <t>Hex = Air-Way C4 column (per-part). Matched sizes in this topology corroborate the column.</t>
        </is>
      </c>
      <c r="Z64" s="45" t="inlineStr">
        <is>
          <t>Carbon Steel</t>
        </is>
      </c>
      <c r="AA64" s="45" t="inlineStr">
        <is>
          <t>ASTM A108 12L14</t>
        </is>
      </c>
      <c r="AB64" s="45" t="inlineStr">
        <is>
          <t>Trivalent Cr3 Zinc</t>
        </is>
      </c>
      <c r="AC64" s="45" t="inlineStr">
        <is>
          <t>ASTM B633 Type V/VI</t>
        </is>
      </c>
      <c r="AD64" s="46" t="n">
        <v>1500</v>
      </c>
      <c r="AE64" s="46" t="inlineStr">
        <is>
          <t>generic SAE table @ dash -32 (governing end)</t>
        </is>
      </c>
      <c r="AF64" s="46" t="n">
        <v>-65</v>
      </c>
      <c r="AG64" s="46" t="n">
        <v>400</v>
      </c>
      <c r="AH64" s="37" t="inlineStr">
        <is>
          <t>Ham-Let + hoseandfittings (pressure); Parker Cat.4300 (material); ASTM B633 (finish); see StandardsData</t>
        </is>
      </c>
    </row>
    <row r="65" ht="15" customHeight="1" s="35">
      <c r="A65" s="37" t="inlineStr">
        <is>
          <t>6400-32-20-O</t>
        </is>
      </c>
      <c r="B65" s="37" t="inlineStr">
        <is>
          <t>6400-32-20-O</t>
        </is>
      </c>
      <c r="C65" s="37" t="inlineStr">
        <is>
          <t>6400</t>
        </is>
      </c>
      <c r="D65" s="37" t="n">
        <v>89</v>
      </c>
      <c r="E65" s="37" t="inlineStr">
        <is>
          <t>Straight</t>
        </is>
      </c>
      <c r="F65" s="37" t="inlineStr">
        <is>
          <t>Straight Thread Connector, 2 1/2-12 x 1 5/8-12</t>
        </is>
      </c>
      <c r="G65" s="37" t="inlineStr">
        <is>
          <t>1 5/8-12</t>
        </is>
      </c>
      <c r="H65" s="37" t="inlineStr">
        <is>
          <t>2 1/2-12</t>
        </is>
      </c>
      <c r="I65" s="37" t="n"/>
      <c r="J65" s="37" t="inlineStr">
        <is>
          <t>SAE J1926-3</t>
        </is>
      </c>
      <c r="K65" s="37" t="inlineStr">
        <is>
          <t>SAE J514-1</t>
        </is>
      </c>
      <c r="L65" s="37" t="n">
        <v>2.94</v>
      </c>
      <c r="M65" s="37" t="n">
        <v>2.63</v>
      </c>
      <c r="N65" s="37" t="n">
        <v>1.78</v>
      </c>
      <c r="O65" s="37" t="n">
        <v>1.08</v>
      </c>
      <c r="P65" s="37" t="n"/>
      <c r="Q65" s="37" t="n"/>
      <c r="R65" s="44" t="n"/>
      <c r="S65" s="44" t="n">
        <v>2.63</v>
      </c>
      <c r="T65" s="37" t="n">
        <v>0</v>
      </c>
      <c r="U65" s="37" t="inlineStr">
        <is>
          <t>ASSUMED</t>
        </is>
      </c>
      <c r="V65" s="37" t="inlineStr">
        <is>
          <t>MATCH (source cited: SAE J514-1 070120 / MS51525 / MS39324)</t>
        </is>
      </c>
      <c r="W65" s="37" t="inlineStr">
        <is>
          <t>BUILD</t>
        </is>
      </c>
      <c r="X65" s="37" t="inlineStr">
        <is>
          <t>Hex = Air-Way C4 column (per-part). Matched sizes in this topology corroborate the column.</t>
        </is>
      </c>
      <c r="Z65" s="45" t="inlineStr">
        <is>
          <t>Carbon Steel</t>
        </is>
      </c>
      <c r="AA65" s="45" t="inlineStr">
        <is>
          <t>ASTM A108 12L14</t>
        </is>
      </c>
      <c r="AB65" s="45" t="inlineStr">
        <is>
          <t>Trivalent Cr3 Zinc</t>
        </is>
      </c>
      <c r="AC65" s="45" t="inlineStr">
        <is>
          <t>ASTM B633 Type V/VI</t>
        </is>
      </c>
      <c r="AD65" s="46" t="n">
        <v>1500</v>
      </c>
      <c r="AE65" s="46" t="inlineStr">
        <is>
          <t>generic SAE table @ dash -32 (governing end)</t>
        </is>
      </c>
      <c r="AF65" s="46" t="n">
        <v>-65</v>
      </c>
      <c r="AG65" s="46" t="n">
        <v>400</v>
      </c>
      <c r="AH65" s="37" t="inlineStr">
        <is>
          <t>Ham-Let + hoseandfittings (pressure); Parker Cat.4300 (material); ASTM B633 (finish); see StandardsData</t>
        </is>
      </c>
    </row>
    <row r="66" ht="15" customHeight="1" s="35">
      <c r="A66" s="37" t="inlineStr">
        <is>
          <t>6400-32-24-O</t>
        </is>
      </c>
      <c r="B66" s="37" t="inlineStr">
        <is>
          <t>6400-32-24-O</t>
        </is>
      </c>
      <c r="C66" s="37" t="inlineStr">
        <is>
          <t>6400</t>
        </is>
      </c>
      <c r="D66" s="37" t="n">
        <v>89</v>
      </c>
      <c r="E66" s="37" t="inlineStr">
        <is>
          <t>Straight</t>
        </is>
      </c>
      <c r="F66" s="37" t="inlineStr">
        <is>
          <t>Straight Thread Connector, 2 1/2-12 x 1 7/8-12</t>
        </is>
      </c>
      <c r="G66" s="37" t="inlineStr">
        <is>
          <t>1 7/8-12</t>
        </is>
      </c>
      <c r="H66" s="37" t="inlineStr">
        <is>
          <t>2 1/2-12</t>
        </is>
      </c>
      <c r="I66" s="37" t="n"/>
      <c r="J66" s="37" t="inlineStr">
        <is>
          <t>SAE J1926-3</t>
        </is>
      </c>
      <c r="K66" s="37" t="inlineStr">
        <is>
          <t>SAE J514-1</t>
        </is>
      </c>
      <c r="L66" s="37" t="n">
        <v>2.94</v>
      </c>
      <c r="M66" s="37" t="n">
        <v>2.63</v>
      </c>
      <c r="N66" s="37" t="n">
        <v>1.78</v>
      </c>
      <c r="O66" s="37" t="n">
        <v>1.31</v>
      </c>
      <c r="P66" s="37" t="n"/>
      <c r="Q66" s="37" t="n"/>
      <c r="R66" s="44" t="n"/>
      <c r="S66" s="44" t="n">
        <v>2.63</v>
      </c>
      <c r="T66" s="37" t="n">
        <v>0</v>
      </c>
      <c r="U66" s="37" t="inlineStr">
        <is>
          <t>ASSUMED</t>
        </is>
      </c>
      <c r="V66" s="37" t="inlineStr">
        <is>
          <t>MATCH (source cited: SAE J514-1 070120 / MS51525 / MS39324)</t>
        </is>
      </c>
      <c r="W66" s="37" t="inlineStr">
        <is>
          <t>BUILD</t>
        </is>
      </c>
      <c r="X66" s="37" t="inlineStr">
        <is>
          <t>Hex = Air-Way C4 column (per-part). Matched sizes in this topology corroborate the column.</t>
        </is>
      </c>
      <c r="Z66" s="45" t="inlineStr">
        <is>
          <t>Carbon Steel</t>
        </is>
      </c>
      <c r="AA66" s="45" t="inlineStr">
        <is>
          <t>ASTM A108 12L14</t>
        </is>
      </c>
      <c r="AB66" s="45" t="inlineStr">
        <is>
          <t>Trivalent Cr3 Zinc</t>
        </is>
      </c>
      <c r="AC66" s="45" t="inlineStr">
        <is>
          <t>ASTM B633 Type V/VI</t>
        </is>
      </c>
      <c r="AD66" s="46" t="n">
        <v>1500</v>
      </c>
      <c r="AE66" s="46" t="inlineStr">
        <is>
          <t>generic SAE table @ dash -32 (governing end)</t>
        </is>
      </c>
      <c r="AF66" s="46" t="n">
        <v>-65</v>
      </c>
      <c r="AG66" s="46" t="n">
        <v>400</v>
      </c>
      <c r="AH66" s="37" t="inlineStr">
        <is>
          <t>Ham-Let + hoseandfittings (pressure); Parker Cat.4300 (material); ASTM B633 (finish); see StandardsData</t>
        </is>
      </c>
    </row>
    <row r="67" ht="15" customHeight="1" s="35">
      <c r="A67" s="37" t="inlineStr">
        <is>
          <t>6400-32-32-O</t>
        </is>
      </c>
      <c r="B67" s="37" t="inlineStr">
        <is>
          <t>6400-32-32-O</t>
        </is>
      </c>
      <c r="C67" s="37" t="inlineStr">
        <is>
          <t>6400</t>
        </is>
      </c>
      <c r="D67" s="37" t="n">
        <v>89</v>
      </c>
      <c r="E67" s="37" t="inlineStr">
        <is>
          <t>Straight</t>
        </is>
      </c>
      <c r="F67" s="37" t="inlineStr">
        <is>
          <t>Straight Thread Connector, 2 1/2-12 x 2 1/2-12</t>
        </is>
      </c>
      <c r="G67" s="37" t="inlineStr">
        <is>
          <t>2 1/2-12</t>
        </is>
      </c>
      <c r="H67" s="37" t="inlineStr">
        <is>
          <t>2 1/2-12</t>
        </is>
      </c>
      <c r="I67" s="37" t="n"/>
      <c r="J67" s="37" t="inlineStr">
        <is>
          <t>SAE J1926-3</t>
        </is>
      </c>
      <c r="K67" s="37" t="inlineStr">
        <is>
          <t>SAE J514-1</t>
        </is>
      </c>
      <c r="L67" s="37" t="n">
        <v>2.78</v>
      </c>
      <c r="M67" s="37" t="n">
        <v>2.75</v>
      </c>
      <c r="N67" s="37" t="n">
        <v>1.78</v>
      </c>
      <c r="O67" s="37" t="n">
        <v>1.78</v>
      </c>
      <c r="P67" s="37" t="n"/>
      <c r="Q67" s="37" t="n"/>
      <c r="R67" s="44" t="n"/>
      <c r="S67" s="45" t="n">
        <v>2.75</v>
      </c>
      <c r="T67" s="37" t="n">
        <v>0</v>
      </c>
      <c r="U67" s="37" t="inlineStr">
        <is>
          <t>VERIFIED</t>
        </is>
      </c>
      <c r="V67" s="37" t="inlineStr">
        <is>
          <t>MATCH (source cited: SAE J514-1 070120 / MS51525 / MS39324)</t>
        </is>
      </c>
      <c r="W67" s="37" t="inlineStr">
        <is>
          <t>BUILD</t>
        </is>
      </c>
      <c r="X67" s="37" t="inlineStr">
        <is>
          <t>Hex = Air-Way C4 column, CONFIRMED vs PressureConnections/Purvis.</t>
        </is>
      </c>
      <c r="Z67" s="45" t="inlineStr">
        <is>
          <t>Carbon Steel</t>
        </is>
      </c>
      <c r="AA67" s="45" t="inlineStr">
        <is>
          <t>ASTM A108 12L14</t>
        </is>
      </c>
      <c r="AB67" s="45" t="inlineStr">
        <is>
          <t>Trivalent Cr3 Zinc</t>
        </is>
      </c>
      <c r="AC67" s="45" t="inlineStr">
        <is>
          <t>ASTM B633 Type V/VI</t>
        </is>
      </c>
      <c r="AD67" s="46" t="n">
        <v>1500</v>
      </c>
      <c r="AE67" s="46" t="inlineStr">
        <is>
          <t>generic SAE table @ dash -32 (governing end)</t>
        </is>
      </c>
      <c r="AF67" s="46" t="n">
        <v>-65</v>
      </c>
      <c r="AG67" s="46" t="n">
        <v>400</v>
      </c>
      <c r="AH67" s="37" t="inlineStr">
        <is>
          <t>Ham-Let + hoseandfittings (pressure); Parker Cat.4300 (material); ASTM B633 (finish); see StandardsData</t>
        </is>
      </c>
    </row>
    <row r="68" ht="15" customHeight="1" s="35">
      <c r="A68" s="37" t="inlineStr">
        <is>
          <t>6801-03-03-NWO-FG</t>
        </is>
      </c>
      <c r="B68" s="37" t="inlineStr">
        <is>
          <t>6801-3-3 NWO-FG</t>
        </is>
      </c>
      <c r="C68" s="37" t="inlineStr">
        <is>
          <t>6801</t>
        </is>
      </c>
      <c r="D68" s="37" t="n">
        <v>134</v>
      </c>
      <c r="E68" s="37" t="inlineStr">
        <is>
          <t>90 deg</t>
        </is>
      </c>
      <c r="F68" s="37" t="inlineStr">
        <is>
          <t>90 deg Straight Thread Elbow, 3/8-24 x 3/8-24</t>
        </is>
      </c>
      <c r="G68" s="37" t="inlineStr">
        <is>
          <t>3/8-24</t>
        </is>
      </c>
      <c r="H68" s="37" t="inlineStr">
        <is>
          <t>3/8-24</t>
        </is>
      </c>
      <c r="I68" s="37" t="n"/>
      <c r="J68" s="37" t="inlineStr">
        <is>
          <t>SAE J1926-3</t>
        </is>
      </c>
      <c r="K68" s="37" t="inlineStr">
        <is>
          <t>SAE J514-1</t>
        </is>
      </c>
      <c r="L68" s="37" t="n">
        <v>0.83</v>
      </c>
      <c r="M68" s="37" t="n">
        <v>0.9399999999999999</v>
      </c>
      <c r="N68" s="37" t="n">
        <v>0.5</v>
      </c>
      <c r="O68" s="37" t="n">
        <v>0.44</v>
      </c>
      <c r="P68" s="37" t="n">
        <v>0.13</v>
      </c>
      <c r="Q68" s="37" t="n">
        <v>0.13</v>
      </c>
      <c r="R68" s="44" t="n">
        <v>0.44</v>
      </c>
      <c r="S68" s="44" t="n">
        <v>0.5</v>
      </c>
      <c r="T68" s="37" t="n">
        <v>90</v>
      </c>
      <c r="U68" s="37" t="inlineStr">
        <is>
          <t>ASSUMED</t>
        </is>
      </c>
      <c r="V68" s="37" t="inlineStr">
        <is>
          <t>MS51527 cross-check 2026-09-04: threads, both legs, both bores AGREE.</t>
        </is>
      </c>
      <c r="W68" s="37" t="inlineStr">
        <is>
          <t>BUILD</t>
        </is>
      </c>
      <c r="X68" s="37" t="inlineStr">
        <is>
          <t>Hex = Air-Way C4 column (per-part). Matched sizes in this topology corroborate the column.</t>
        </is>
      </c>
      <c r="Z68" s="45" t="inlineStr">
        <is>
          <t>Carbon Steel</t>
        </is>
      </c>
      <c r="AA68" s="45" t="inlineStr">
        <is>
          <t>ASTM A108 12L14</t>
        </is>
      </c>
      <c r="AB68" s="45" t="inlineStr">
        <is>
          <t>Trivalent Cr3 Zinc</t>
        </is>
      </c>
      <c r="AC68" s="45" t="inlineStr">
        <is>
          <t>ASTM B633 Type V/VI</t>
        </is>
      </c>
      <c r="AD68" s="46" t="n">
        <v>5000</v>
      </c>
      <c r="AE68" s="46" t="inlineStr">
        <is>
          <t>generic SAE table @ dash -3 (governing end)</t>
        </is>
      </c>
      <c r="AF68" s="46" t="n">
        <v>-65</v>
      </c>
      <c r="AG68" s="46" t="n">
        <v>400</v>
      </c>
      <c r="AH68" s="37" t="inlineStr">
        <is>
          <t>Ham-Let + hoseandfittings (pressure); Parker Cat.4300 (material); ASTM B633 (finish); see StandardsData</t>
        </is>
      </c>
    </row>
    <row r="69" ht="15" customHeight="1" s="35">
      <c r="A69" s="37" t="inlineStr">
        <is>
          <t>6801-03-05-NWO</t>
        </is>
      </c>
      <c r="B69" s="37" t="inlineStr">
        <is>
          <t>6801-3-5 NWO</t>
        </is>
      </c>
      <c r="C69" s="37" t="inlineStr">
        <is>
          <t>6801</t>
        </is>
      </c>
      <c r="D69" s="37" t="n">
        <v>134</v>
      </c>
      <c r="E69" s="37" t="inlineStr">
        <is>
          <t>90 deg</t>
        </is>
      </c>
      <c r="F69" s="37" t="inlineStr">
        <is>
          <t>90 deg Straight Thread Elbow, 3/8-24 x 1/2-20</t>
        </is>
      </c>
      <c r="G69" s="37" t="inlineStr">
        <is>
          <t>1/2-20</t>
        </is>
      </c>
      <c r="H69" s="37" t="inlineStr">
        <is>
          <t>3/8-24</t>
        </is>
      </c>
      <c r="I69" s="37" t="n"/>
      <c r="J69" s="37" t="inlineStr">
        <is>
          <t>SAE J1926-3</t>
        </is>
      </c>
      <c r="K69" s="37" t="inlineStr">
        <is>
          <t>SAE J514-1</t>
        </is>
      </c>
      <c r="L69" s="37" t="n">
        <v>0.89</v>
      </c>
      <c r="M69" s="37" t="n">
        <v>1.13</v>
      </c>
      <c r="N69" s="37" t="n">
        <v>0.5600000000000001</v>
      </c>
      <c r="O69" s="37" t="n">
        <v>0.5600000000000001</v>
      </c>
      <c r="P69" s="37" t="n">
        <v>0.13</v>
      </c>
      <c r="Q69" s="37" t="n">
        <v>0.23</v>
      </c>
      <c r="R69" s="44" t="n">
        <v>0.5600000000000001</v>
      </c>
      <c r="S69" s="44" t="n">
        <v>0.5600000000000001</v>
      </c>
      <c r="T69" s="37" t="n">
        <v>90</v>
      </c>
      <c r="U69" s="37" t="inlineStr">
        <is>
          <t>ASSUMED</t>
        </is>
      </c>
      <c r="V69" s="37" t="inlineStr">
        <is>
          <t>MS51527 covers matched-dash sizes only; Air-Way remains single source.</t>
        </is>
      </c>
      <c r="W69" s="37" t="inlineStr">
        <is>
          <t>BUILD</t>
        </is>
      </c>
      <c r="X69" s="37" t="inlineStr">
        <is>
          <t>Hex = Air-Way C4 column (per-part). Matched sizes in this topology corroborate the column.</t>
        </is>
      </c>
      <c r="Z69" s="45" t="inlineStr">
        <is>
          <t>Carbon Steel</t>
        </is>
      </c>
      <c r="AA69" s="45" t="inlineStr">
        <is>
          <t>ASTM A108 12L14</t>
        </is>
      </c>
      <c r="AB69" s="45" t="inlineStr">
        <is>
          <t>Trivalent Cr3 Zinc</t>
        </is>
      </c>
      <c r="AC69" s="45" t="inlineStr">
        <is>
          <t>ASTM B633 Type V/VI</t>
        </is>
      </c>
      <c r="AD69" s="46" t="n">
        <v>5000</v>
      </c>
      <c r="AE69" s="46" t="inlineStr">
        <is>
          <t>generic SAE table @ dash -5 (governing end)</t>
        </is>
      </c>
      <c r="AF69" s="46" t="n">
        <v>-65</v>
      </c>
      <c r="AG69" s="46" t="n">
        <v>400</v>
      </c>
      <c r="AH69" s="37" t="inlineStr">
        <is>
          <t>Ham-Let + hoseandfittings (pressure); Parker Cat.4300 (material); ASTM B633 (finish); see StandardsData</t>
        </is>
      </c>
    </row>
    <row r="70" ht="15" customHeight="1" s="35">
      <c r="A70" s="37" t="inlineStr">
        <is>
          <t>6801-04-02-NWO-FG</t>
        </is>
      </c>
      <c r="B70" s="37" t="inlineStr">
        <is>
          <t>6801-4-2 NWO-FG</t>
        </is>
      </c>
      <c r="C70" s="37" t="inlineStr">
        <is>
          <t>6801</t>
        </is>
      </c>
      <c r="D70" s="37" t="n">
        <v>134</v>
      </c>
      <c r="E70" s="37" t="inlineStr">
        <is>
          <t>90 deg</t>
        </is>
      </c>
      <c r="F70" s="37" t="inlineStr">
        <is>
          <t>90 deg Straight Thread Elbow, 7/16-20 x 5/16-24</t>
        </is>
      </c>
      <c r="G70" s="37" t="inlineStr">
        <is>
          <t>5/16-24</t>
        </is>
      </c>
      <c r="H70" s="37" t="inlineStr">
        <is>
          <t>7/16-20</t>
        </is>
      </c>
      <c r="I70" s="37" t="n"/>
      <c r="J70" s="37" t="inlineStr">
        <is>
          <t>SAE J1926-3</t>
        </is>
      </c>
      <c r="K70" s="37" t="inlineStr">
        <is>
          <t>SAE J514-1</t>
        </is>
      </c>
      <c r="L70" s="37" t="n">
        <v>0.89</v>
      </c>
      <c r="M70" s="37" t="n">
        <v>1.03</v>
      </c>
      <c r="N70" s="37" t="n">
        <v>0.44</v>
      </c>
      <c r="O70" s="37" t="n">
        <v>0.44</v>
      </c>
      <c r="P70" s="37" t="n">
        <v>0.17</v>
      </c>
      <c r="Q70" s="37" t="n">
        <v>0.06</v>
      </c>
      <c r="R70" s="44" t="n">
        <v>0.44</v>
      </c>
      <c r="S70" s="44" t="n">
        <v>0.44</v>
      </c>
      <c r="T70" s="37" t="n">
        <v>90</v>
      </c>
      <c r="U70" s="37" t="inlineStr">
        <is>
          <t>ASSUMED</t>
        </is>
      </c>
      <c r="V70" s="37" t="inlineStr">
        <is>
          <t>MS51527 covers matched-dash sizes only; Air-Way remains single source.</t>
        </is>
      </c>
      <c r="W70" s="37" t="inlineStr">
        <is>
          <t>BUILD</t>
        </is>
      </c>
      <c r="X70" s="37" t="inlineStr">
        <is>
          <t>Hex = Air-Way C4 column (per-part). Matched sizes in this topology corroborate the column.</t>
        </is>
      </c>
      <c r="Z70" s="45" t="inlineStr">
        <is>
          <t>Carbon Steel</t>
        </is>
      </c>
      <c r="AA70" s="45" t="inlineStr">
        <is>
          <t>ASTM A108 12L14</t>
        </is>
      </c>
      <c r="AB70" s="45" t="inlineStr">
        <is>
          <t>Trivalent Cr3 Zinc</t>
        </is>
      </c>
      <c r="AC70" s="45" t="inlineStr">
        <is>
          <t>ASTM B633 Type V/VI</t>
        </is>
      </c>
      <c r="AD70" s="46" t="n">
        <v>5000</v>
      </c>
      <c r="AE70" s="46" t="inlineStr">
        <is>
          <t>generic SAE table @ dash -4 (governing end)</t>
        </is>
      </c>
      <c r="AF70" s="46" t="n">
        <v>-65</v>
      </c>
      <c r="AG70" s="46" t="n">
        <v>400</v>
      </c>
      <c r="AH70" s="37" t="inlineStr">
        <is>
          <t>Ham-Let + hoseandfittings (pressure); Parker Cat.4300 (material); ASTM B633 (finish); see StandardsData</t>
        </is>
      </c>
    </row>
    <row r="71" ht="15" customHeight="1" s="35">
      <c r="A71" s="37" t="inlineStr">
        <is>
          <t>6801-04-02-NWO</t>
        </is>
      </c>
      <c r="B71" s="37" t="inlineStr">
        <is>
          <t>6801-4-2 NWO</t>
        </is>
      </c>
      <c r="C71" s="37" t="inlineStr">
        <is>
          <t>6801</t>
        </is>
      </c>
      <c r="D71" s="37" t="n">
        <v>134</v>
      </c>
      <c r="E71" s="37" t="inlineStr">
        <is>
          <t>90 deg</t>
        </is>
      </c>
      <c r="F71" s="37" t="inlineStr">
        <is>
          <t>90 deg Straight Thread Elbow, 7/16-20 x 5/16-24</t>
        </is>
      </c>
      <c r="G71" s="37" t="inlineStr">
        <is>
          <t>5/16-24</t>
        </is>
      </c>
      <c r="H71" s="37" t="inlineStr">
        <is>
          <t>7/16-20</t>
        </is>
      </c>
      <c r="I71" s="37" t="n"/>
      <c r="J71" s="37" t="inlineStr">
        <is>
          <t>SAE J1926-3</t>
        </is>
      </c>
      <c r="K71" s="37" t="inlineStr">
        <is>
          <t>SAE J514-1</t>
        </is>
      </c>
      <c r="L71" s="37" t="n">
        <v>0.89</v>
      </c>
      <c r="M71" s="37" t="n">
        <v>0.97</v>
      </c>
      <c r="N71" s="37" t="n">
        <v>0.44</v>
      </c>
      <c r="O71" s="37" t="n">
        <v>0.5</v>
      </c>
      <c r="P71" s="37" t="n">
        <v>0.17</v>
      </c>
      <c r="Q71" s="37" t="n">
        <v>0.06</v>
      </c>
      <c r="R71" s="44" t="n">
        <v>0.5</v>
      </c>
      <c r="S71" s="44" t="n">
        <v>0.44</v>
      </c>
      <c r="T71" s="37" t="n">
        <v>90</v>
      </c>
      <c r="U71" s="37" t="inlineStr">
        <is>
          <t>ASSUMED</t>
        </is>
      </c>
      <c r="V71" s="37" t="inlineStr">
        <is>
          <t>MS51527 covers matched-dash sizes only; Air-Way remains single source.</t>
        </is>
      </c>
      <c r="W71" s="37" t="inlineStr">
        <is>
          <t>BUILD</t>
        </is>
      </c>
      <c r="X71" s="37" t="inlineStr">
        <is>
          <t>Hex = Air-Way C4 column (per-part). Matched sizes in this topology corroborate the column.</t>
        </is>
      </c>
      <c r="Z71" s="45" t="inlineStr">
        <is>
          <t>Carbon Steel</t>
        </is>
      </c>
      <c r="AA71" s="45" t="inlineStr">
        <is>
          <t>ASTM A108 12L14</t>
        </is>
      </c>
      <c r="AB71" s="45" t="inlineStr">
        <is>
          <t>Trivalent Cr3 Zinc</t>
        </is>
      </c>
      <c r="AC71" s="45" t="inlineStr">
        <is>
          <t>ASTM B633 Type V/VI</t>
        </is>
      </c>
      <c r="AD71" s="46" t="n">
        <v>5000</v>
      </c>
      <c r="AE71" s="46" t="inlineStr">
        <is>
          <t>generic SAE table @ dash -4 (governing end)</t>
        </is>
      </c>
      <c r="AF71" s="46" t="n">
        <v>-65</v>
      </c>
      <c r="AG71" s="46" t="n">
        <v>400</v>
      </c>
      <c r="AH71" s="37" t="inlineStr">
        <is>
          <t>Ham-Let + hoseandfittings (pressure); Parker Cat.4300 (material); ASTM B633 (finish); see StandardsData</t>
        </is>
      </c>
    </row>
    <row r="72" ht="15" customHeight="1" s="35">
      <c r="A72" s="37" t="inlineStr">
        <is>
          <t>6801-04-03-NWO-FG</t>
        </is>
      </c>
      <c r="B72" s="37" t="inlineStr">
        <is>
          <t>6801-4-3 NWO-FG</t>
        </is>
      </c>
      <c r="C72" s="37" t="inlineStr">
        <is>
          <t>6801</t>
        </is>
      </c>
      <c r="D72" s="37" t="n">
        <v>134</v>
      </c>
      <c r="E72" s="37" t="inlineStr">
        <is>
          <t>90 deg</t>
        </is>
      </c>
      <c r="F72" s="37" t="inlineStr">
        <is>
          <t>90 deg Straight Thread Elbow, 7/16-20 x 3/8-24</t>
        </is>
      </c>
      <c r="G72" s="37" t="inlineStr">
        <is>
          <t>3/8-24</t>
        </is>
      </c>
      <c r="H72" s="37" t="inlineStr">
        <is>
          <t>7/16-20</t>
        </is>
      </c>
      <c r="I72" s="37" t="n"/>
      <c r="J72" s="37" t="inlineStr">
        <is>
          <t>SAE J1926-3</t>
        </is>
      </c>
      <c r="K72" s="37" t="inlineStr">
        <is>
          <t>SAE J514-1</t>
        </is>
      </c>
      <c r="L72" s="37" t="n">
        <v>0.89</v>
      </c>
      <c r="M72" s="37" t="n">
        <v>0.92</v>
      </c>
      <c r="N72" s="37" t="n">
        <v>0.5</v>
      </c>
      <c r="O72" s="37" t="n">
        <v>0.44</v>
      </c>
      <c r="P72" s="37" t="n">
        <v>0.17</v>
      </c>
      <c r="Q72" s="37" t="n">
        <v>0.13</v>
      </c>
      <c r="R72" s="44" t="n">
        <v>0.44</v>
      </c>
      <c r="S72" s="44" t="n">
        <v>0.5</v>
      </c>
      <c r="T72" s="37" t="n">
        <v>90</v>
      </c>
      <c r="U72" s="37" t="inlineStr">
        <is>
          <t>ASSUMED</t>
        </is>
      </c>
      <c r="V72" s="37" t="inlineStr">
        <is>
          <t>MS51527 covers matched-dash sizes only; Air-Way remains single source.</t>
        </is>
      </c>
      <c r="W72" s="37" t="inlineStr">
        <is>
          <t>BUILD</t>
        </is>
      </c>
      <c r="X72" s="37" t="inlineStr">
        <is>
          <t>Hex = Air-Way C4 column (per-part). Matched sizes in this topology corroborate the column.</t>
        </is>
      </c>
      <c r="Z72" s="45" t="inlineStr">
        <is>
          <t>Carbon Steel</t>
        </is>
      </c>
      <c r="AA72" s="45" t="inlineStr">
        <is>
          <t>ASTM A108 12L14</t>
        </is>
      </c>
      <c r="AB72" s="45" t="inlineStr">
        <is>
          <t>Trivalent Cr3 Zinc</t>
        </is>
      </c>
      <c r="AC72" s="45" t="inlineStr">
        <is>
          <t>ASTM B633 Type V/VI</t>
        </is>
      </c>
      <c r="AD72" s="46" t="n">
        <v>5000</v>
      </c>
      <c r="AE72" s="46" t="inlineStr">
        <is>
          <t>generic SAE table @ dash -4 (governing end)</t>
        </is>
      </c>
      <c r="AF72" s="46" t="n">
        <v>-65</v>
      </c>
      <c r="AG72" s="46" t="n">
        <v>400</v>
      </c>
      <c r="AH72" s="37" t="inlineStr">
        <is>
          <t>Ham-Let + hoseandfittings (pressure); Parker Cat.4300 (material); ASTM B633 (finish); see StandardsData</t>
        </is>
      </c>
    </row>
    <row r="73" ht="15" customHeight="1" s="35">
      <c r="A73" s="37" t="inlineStr">
        <is>
          <t>6801-04-03-NWO</t>
        </is>
      </c>
      <c r="B73" s="37" t="inlineStr">
        <is>
          <t>6801-4-3 NWO</t>
        </is>
      </c>
      <c r="C73" s="37" t="inlineStr">
        <is>
          <t>6801</t>
        </is>
      </c>
      <c r="D73" s="37" t="n">
        <v>134</v>
      </c>
      <c r="E73" s="37" t="inlineStr">
        <is>
          <t>90 deg</t>
        </is>
      </c>
      <c r="F73" s="37" t="inlineStr">
        <is>
          <t>90 deg Straight Thread Elbow, 7/16-20 x 3/8-24</t>
        </is>
      </c>
      <c r="G73" s="37" t="inlineStr">
        <is>
          <t>3/8-24</t>
        </is>
      </c>
      <c r="H73" s="37" t="inlineStr">
        <is>
          <t>7/16-20</t>
        </is>
      </c>
      <c r="I73" s="37" t="n"/>
      <c r="J73" s="37" t="inlineStr">
        <is>
          <t>SAE J1926-3</t>
        </is>
      </c>
      <c r="K73" s="37" t="inlineStr">
        <is>
          <t>SAE J514-1</t>
        </is>
      </c>
      <c r="L73" s="37" t="n">
        <v>0.89</v>
      </c>
      <c r="M73" s="37" t="n">
        <v>0.97</v>
      </c>
      <c r="N73" s="37" t="n">
        <v>0.5</v>
      </c>
      <c r="O73" s="37" t="n">
        <v>0.5</v>
      </c>
      <c r="P73" s="37" t="n">
        <v>0.17</v>
      </c>
      <c r="Q73" s="37" t="n">
        <v>0.13</v>
      </c>
      <c r="R73" s="44" t="n">
        <v>0.5</v>
      </c>
      <c r="S73" s="44" t="n">
        <v>0.5</v>
      </c>
      <c r="T73" s="37" t="n">
        <v>90</v>
      </c>
      <c r="U73" s="37" t="inlineStr">
        <is>
          <t>ASSUMED</t>
        </is>
      </c>
      <c r="V73" s="37" t="inlineStr">
        <is>
          <t>MS51527 covers matched-dash sizes only; Air-Way remains single source.</t>
        </is>
      </c>
      <c r="W73" s="37" t="inlineStr">
        <is>
          <t>BUILD</t>
        </is>
      </c>
      <c r="X73" s="37" t="inlineStr">
        <is>
          <t>Hex = Air-Way C4 column (per-part). Matched sizes in this topology corroborate the column.</t>
        </is>
      </c>
      <c r="Z73" s="45" t="inlineStr">
        <is>
          <t>Carbon Steel</t>
        </is>
      </c>
      <c r="AA73" s="45" t="inlineStr">
        <is>
          <t>ASTM A108 12L14</t>
        </is>
      </c>
      <c r="AB73" s="45" t="inlineStr">
        <is>
          <t>Trivalent Cr3 Zinc</t>
        </is>
      </c>
      <c r="AC73" s="45" t="inlineStr">
        <is>
          <t>ASTM B633 Type V/VI</t>
        </is>
      </c>
      <c r="AD73" s="46" t="n">
        <v>5000</v>
      </c>
      <c r="AE73" s="46" t="inlineStr">
        <is>
          <t>generic SAE table @ dash -4 (governing end)</t>
        </is>
      </c>
      <c r="AF73" s="46" t="n">
        <v>-65</v>
      </c>
      <c r="AG73" s="46" t="n">
        <v>400</v>
      </c>
      <c r="AH73" s="37" t="inlineStr">
        <is>
          <t>Ham-Let + hoseandfittings (pressure); Parker Cat.4300 (material); ASTM B633 (finish); see StandardsData</t>
        </is>
      </c>
    </row>
    <row r="74" ht="15" customHeight="1" s="35">
      <c r="A74" s="37" t="inlineStr">
        <is>
          <t>6801-04-04-NWO-FG</t>
        </is>
      </c>
      <c r="B74" s="37" t="inlineStr">
        <is>
          <t>6801-4-4 NWO-FG</t>
        </is>
      </c>
      <c r="C74" s="37" t="inlineStr">
        <is>
          <t>6801</t>
        </is>
      </c>
      <c r="D74" s="37" t="n">
        <v>134</v>
      </c>
      <c r="E74" s="37" t="inlineStr">
        <is>
          <t>90 deg</t>
        </is>
      </c>
      <c r="F74" s="37" t="inlineStr">
        <is>
          <t>90 deg Straight Thread Elbow, 7/16-20 x 7/16-20</t>
        </is>
      </c>
      <c r="G74" s="37" t="inlineStr">
        <is>
          <t>7/16-20</t>
        </is>
      </c>
      <c r="H74" s="37" t="inlineStr">
        <is>
          <t>7/16-20</t>
        </is>
      </c>
      <c r="I74" s="37" t="n"/>
      <c r="J74" s="37" t="inlineStr">
        <is>
          <t>SAE J1926-3</t>
        </is>
      </c>
      <c r="K74" s="37" t="inlineStr">
        <is>
          <t>SAE J514-1</t>
        </is>
      </c>
      <c r="L74" s="37" t="n">
        <v>0.89</v>
      </c>
      <c r="M74" s="37" t="n">
        <v>1.03</v>
      </c>
      <c r="N74" s="37" t="n">
        <v>0.5600000000000001</v>
      </c>
      <c r="O74" s="37" t="n">
        <v>0.44</v>
      </c>
      <c r="P74" s="37" t="n">
        <v>0.17</v>
      </c>
      <c r="Q74" s="37" t="n">
        <v>0.17</v>
      </c>
      <c r="R74" s="45" t="n">
        <v>0.44</v>
      </c>
      <c r="S74" s="45" t="n">
        <v>0.5600000000000001</v>
      </c>
      <c r="T74" s="37" t="n">
        <v>90</v>
      </c>
      <c r="U74" s="37" t="inlineStr">
        <is>
          <t>VERIFIED</t>
        </is>
      </c>
      <c r="V74" s="37" t="inlineStr">
        <is>
          <t>MS51527 cross-check 2026-09-04: threads, both legs, both bores AGREE.</t>
        </is>
      </c>
      <c r="W74" s="37" t="inlineStr">
        <is>
          <t>BUILD</t>
        </is>
      </c>
      <c r="X74" s="37" t="inlineStr">
        <is>
          <t>Hex = Air-Way C4 column, CONFIRMED vs PressureConnections/Purvis.</t>
        </is>
      </c>
      <c r="Z74" s="45" t="inlineStr">
        <is>
          <t>Carbon Steel</t>
        </is>
      </c>
      <c r="AA74" s="45" t="inlineStr">
        <is>
          <t>ASTM A108 12L14</t>
        </is>
      </c>
      <c r="AB74" s="45" t="inlineStr">
        <is>
          <t>Trivalent Cr3 Zinc</t>
        </is>
      </c>
      <c r="AC74" s="45" t="inlineStr">
        <is>
          <t>ASTM B633 Type V/VI</t>
        </is>
      </c>
      <c r="AD74" s="46" t="n">
        <v>5000</v>
      </c>
      <c r="AE74" s="46" t="inlineStr">
        <is>
          <t>generic SAE table @ dash -4 (governing end)</t>
        </is>
      </c>
      <c r="AF74" s="46" t="n">
        <v>-65</v>
      </c>
      <c r="AG74" s="46" t="n">
        <v>400</v>
      </c>
      <c r="AH74" s="37" t="inlineStr">
        <is>
          <t>Ham-Let + hoseandfittings (pressure); Parker Cat.4300 (material); ASTM B633 (finish); see StandardsData</t>
        </is>
      </c>
    </row>
    <row r="75" ht="15" customHeight="1" s="35">
      <c r="A75" s="37" t="inlineStr">
        <is>
          <t>6801-04-04-NWO</t>
        </is>
      </c>
      <c r="B75" s="37" t="inlineStr">
        <is>
          <t>6801-4-4 NWO</t>
        </is>
      </c>
      <c r="C75" s="37" t="inlineStr">
        <is>
          <t>6801</t>
        </is>
      </c>
      <c r="D75" s="37" t="n">
        <v>134</v>
      </c>
      <c r="E75" s="37" t="inlineStr">
        <is>
          <t>90 deg</t>
        </is>
      </c>
      <c r="F75" s="37" t="inlineStr">
        <is>
          <t>90 deg Straight Thread Elbow, 7/16-20 x 7/16-20</t>
        </is>
      </c>
      <c r="G75" s="37" t="inlineStr">
        <is>
          <t>7/16-20</t>
        </is>
      </c>
      <c r="H75" s="37" t="inlineStr">
        <is>
          <t>7/16-20</t>
        </is>
      </c>
      <c r="I75" s="37" t="n"/>
      <c r="J75" s="37" t="inlineStr">
        <is>
          <t>SAE J1926-3</t>
        </is>
      </c>
      <c r="K75" s="37" t="inlineStr">
        <is>
          <t>SAE J514-1</t>
        </is>
      </c>
      <c r="L75" s="37" t="n">
        <v>0.89</v>
      </c>
      <c r="M75" s="37" t="n">
        <v>1.03</v>
      </c>
      <c r="N75" s="37" t="n">
        <v>0.5600000000000001</v>
      </c>
      <c r="O75" s="37" t="n">
        <v>0.5</v>
      </c>
      <c r="P75" s="37" t="n">
        <v>0.17</v>
      </c>
      <c r="Q75" s="37" t="n">
        <v>0.17</v>
      </c>
      <c r="R75" s="45" t="n">
        <v>0.5</v>
      </c>
      <c r="S75" s="45" t="n">
        <v>0.5600000000000001</v>
      </c>
      <c r="T75" s="37" t="n">
        <v>90</v>
      </c>
      <c r="U75" s="37" t="inlineStr">
        <is>
          <t>VERIFIED</t>
        </is>
      </c>
      <c r="V75" s="37" t="inlineStr">
        <is>
          <t>MS51527 cross-check 2026-09-04: threads, both legs, both bores AGREE.</t>
        </is>
      </c>
      <c r="W75" s="37" t="inlineStr">
        <is>
          <t>BUILD</t>
        </is>
      </c>
      <c r="X75" s="37" t="inlineStr">
        <is>
          <t>Hex = Air-Way C4 column, CONFIRMED vs PressureConnections/Purvis.</t>
        </is>
      </c>
      <c r="Z75" s="45" t="inlineStr">
        <is>
          <t>Carbon Steel</t>
        </is>
      </c>
      <c r="AA75" s="45" t="inlineStr">
        <is>
          <t>ASTM A108 12L14</t>
        </is>
      </c>
      <c r="AB75" s="45" t="inlineStr">
        <is>
          <t>Trivalent Cr3 Zinc</t>
        </is>
      </c>
      <c r="AC75" s="45" t="inlineStr">
        <is>
          <t>ASTM B633 Type V/VI</t>
        </is>
      </c>
      <c r="AD75" s="46" t="n">
        <v>5000</v>
      </c>
      <c r="AE75" s="46" t="inlineStr">
        <is>
          <t>generic SAE table @ dash -4 (governing end)</t>
        </is>
      </c>
      <c r="AF75" s="46" t="n">
        <v>-65</v>
      </c>
      <c r="AG75" s="46" t="n">
        <v>400</v>
      </c>
      <c r="AH75" s="37" t="inlineStr">
        <is>
          <t>Ham-Let + hoseandfittings (pressure); Parker Cat.4300 (material); ASTM B633 (finish); see StandardsData</t>
        </is>
      </c>
    </row>
    <row r="76" ht="15" customHeight="1" s="35">
      <c r="A76" s="37" t="inlineStr">
        <is>
          <t>6801-04-05-NWO-FG</t>
        </is>
      </c>
      <c r="B76" s="37" t="inlineStr">
        <is>
          <t>6801-4-5 NWO-FG</t>
        </is>
      </c>
      <c r="C76" s="37" t="inlineStr">
        <is>
          <t>6801</t>
        </is>
      </c>
      <c r="D76" s="37" t="n">
        <v>134</v>
      </c>
      <c r="E76" s="37" t="inlineStr">
        <is>
          <t>90 deg</t>
        </is>
      </c>
      <c r="F76" s="37" t="inlineStr">
        <is>
          <t>90 deg Straight Thread Elbow, 7/16-20 x 1/2-20</t>
        </is>
      </c>
      <c r="G76" s="37" t="inlineStr">
        <is>
          <t>1/2-20</t>
        </is>
      </c>
      <c r="H76" s="37" t="inlineStr">
        <is>
          <t>7/16-20</t>
        </is>
      </c>
      <c r="I76" s="37" t="n"/>
      <c r="J76" s="37" t="inlineStr">
        <is>
          <t>SAE J1926-3</t>
        </is>
      </c>
      <c r="K76" s="37" t="inlineStr">
        <is>
          <t>SAE J514-1</t>
        </is>
      </c>
      <c r="L76" s="37" t="n">
        <v>0.95</v>
      </c>
      <c r="M76" s="37" t="n">
        <v>1.13</v>
      </c>
      <c r="N76" s="37" t="n">
        <v>0.63</v>
      </c>
      <c r="O76" s="37" t="n">
        <v>0.5600000000000001</v>
      </c>
      <c r="P76" s="37" t="n">
        <v>0.17</v>
      </c>
      <c r="Q76" s="37" t="n">
        <v>0.23</v>
      </c>
      <c r="R76" s="44" t="n">
        <v>0.5600000000000001</v>
      </c>
      <c r="S76" s="44" t="n">
        <v>0.63</v>
      </c>
      <c r="T76" s="37" t="n">
        <v>90</v>
      </c>
      <c r="U76" s="37" t="inlineStr">
        <is>
          <t>ASSUMED</t>
        </is>
      </c>
      <c r="V76" s="37" t="inlineStr">
        <is>
          <t>MS51527 covers matched-dash sizes only; Air-Way remains single source.</t>
        </is>
      </c>
      <c r="W76" s="37" t="inlineStr">
        <is>
          <t>BUILD</t>
        </is>
      </c>
      <c r="X76" s="37" t="inlineStr">
        <is>
          <t>Hex = Air-Way C4 column (per-part). Matched sizes in this topology corroborate the column.</t>
        </is>
      </c>
      <c r="Z76" s="45" t="inlineStr">
        <is>
          <t>Carbon Steel</t>
        </is>
      </c>
      <c r="AA76" s="45" t="inlineStr">
        <is>
          <t>ASTM A108 12L14</t>
        </is>
      </c>
      <c r="AB76" s="45" t="inlineStr">
        <is>
          <t>Trivalent Cr3 Zinc</t>
        </is>
      </c>
      <c r="AC76" s="45" t="inlineStr">
        <is>
          <t>ASTM B633 Type V/VI</t>
        </is>
      </c>
      <c r="AD76" s="46" t="n">
        <v>5000</v>
      </c>
      <c r="AE76" s="46" t="inlineStr">
        <is>
          <t>generic SAE table @ dash -5 (governing end)</t>
        </is>
      </c>
      <c r="AF76" s="46" t="n">
        <v>-65</v>
      </c>
      <c r="AG76" s="46" t="n">
        <v>400</v>
      </c>
      <c r="AH76" s="37" t="inlineStr">
        <is>
          <t>Ham-Let + hoseandfittings (pressure); Parker Cat.4300 (material); ASTM B633 (finish); see StandardsData</t>
        </is>
      </c>
    </row>
    <row r="77" ht="15" customHeight="1" s="35">
      <c r="A77" s="37" t="inlineStr">
        <is>
          <t>6801-04-05-NWO</t>
        </is>
      </c>
      <c r="B77" s="37" t="inlineStr">
        <is>
          <t>6801-4-5 NWO</t>
        </is>
      </c>
      <c r="C77" s="37" t="inlineStr">
        <is>
          <t>6801</t>
        </is>
      </c>
      <c r="D77" s="37" t="n">
        <v>134</v>
      </c>
      <c r="E77" s="37" t="inlineStr">
        <is>
          <t>90 deg</t>
        </is>
      </c>
      <c r="F77" s="37" t="inlineStr">
        <is>
          <t>90 deg Straight Thread Elbow, 7/16-20 x 1/2-20</t>
        </is>
      </c>
      <c r="G77" s="37" t="inlineStr">
        <is>
          <t>1/2-20</t>
        </is>
      </c>
      <c r="H77" s="37" t="inlineStr">
        <is>
          <t>7/16-20</t>
        </is>
      </c>
      <c r="I77" s="37" t="n"/>
      <c r="J77" s="37" t="inlineStr">
        <is>
          <t>SAE J1926-3</t>
        </is>
      </c>
      <c r="K77" s="37" t="inlineStr">
        <is>
          <t>SAE J514-1</t>
        </is>
      </c>
      <c r="L77" s="37" t="n">
        <v>0.92</v>
      </c>
      <c r="M77" s="37" t="n">
        <v>1.13</v>
      </c>
      <c r="N77" s="37" t="n">
        <v>0.63</v>
      </c>
      <c r="O77" s="37" t="n">
        <v>0.5600000000000001</v>
      </c>
      <c r="P77" s="37" t="n">
        <v>0.17</v>
      </c>
      <c r="Q77" s="37" t="n">
        <v>0.23</v>
      </c>
      <c r="R77" s="44" t="n">
        <v>0.5600000000000001</v>
      </c>
      <c r="S77" s="44" t="n">
        <v>0.63</v>
      </c>
      <c r="T77" s="37" t="n">
        <v>90</v>
      </c>
      <c r="U77" s="37" t="inlineStr">
        <is>
          <t>ASSUMED</t>
        </is>
      </c>
      <c r="V77" s="37" t="inlineStr">
        <is>
          <t>MS51527 covers matched-dash sizes only; Air-Way remains single source.</t>
        </is>
      </c>
      <c r="W77" s="37" t="inlineStr">
        <is>
          <t>BUILD</t>
        </is>
      </c>
      <c r="X77" s="37" t="inlineStr">
        <is>
          <t>Hex = Air-Way C4 column (per-part). Matched sizes in this topology corroborate the column.</t>
        </is>
      </c>
      <c r="Z77" s="45" t="inlineStr">
        <is>
          <t>Carbon Steel</t>
        </is>
      </c>
      <c r="AA77" s="45" t="inlineStr">
        <is>
          <t>ASTM A108 12L14</t>
        </is>
      </c>
      <c r="AB77" s="45" t="inlineStr">
        <is>
          <t>Trivalent Cr3 Zinc</t>
        </is>
      </c>
      <c r="AC77" s="45" t="inlineStr">
        <is>
          <t>ASTM B633 Type V/VI</t>
        </is>
      </c>
      <c r="AD77" s="46" t="n">
        <v>5000</v>
      </c>
      <c r="AE77" s="46" t="inlineStr">
        <is>
          <t>generic SAE table @ dash -5 (governing end)</t>
        </is>
      </c>
      <c r="AF77" s="46" t="n">
        <v>-65</v>
      </c>
      <c r="AG77" s="46" t="n">
        <v>400</v>
      </c>
      <c r="AH77" s="37" t="inlineStr">
        <is>
          <t>Ham-Let + hoseandfittings (pressure); Parker Cat.4300 (material); ASTM B633 (finish); see StandardsData</t>
        </is>
      </c>
    </row>
    <row r="78" ht="15" customHeight="1" s="35">
      <c r="A78" s="37" t="inlineStr">
        <is>
          <t>6801-04-06-NWO-FG</t>
        </is>
      </c>
      <c r="B78" s="37" t="inlineStr">
        <is>
          <t>6801-4-6 NWO-FG</t>
        </is>
      </c>
      <c r="C78" s="37" t="inlineStr">
        <is>
          <t>6801</t>
        </is>
      </c>
      <c r="D78" s="37" t="n">
        <v>134</v>
      </c>
      <c r="E78" s="37" t="inlineStr">
        <is>
          <t>90 deg</t>
        </is>
      </c>
      <c r="F78" s="37" t="inlineStr">
        <is>
          <t>90 deg Straight Thread Elbow, 7/16-20 x 9/16-18</t>
        </is>
      </c>
      <c r="G78" s="37" t="inlineStr">
        <is>
          <t>9/16-18</t>
        </is>
      </c>
      <c r="H78" s="37" t="inlineStr">
        <is>
          <t>7/16-20</t>
        </is>
      </c>
      <c r="I78" s="37" t="n"/>
      <c r="J78" s="37" t="inlineStr">
        <is>
          <t>SAE J1926-3</t>
        </is>
      </c>
      <c r="K78" s="37" t="inlineStr">
        <is>
          <t>SAE J514-1</t>
        </is>
      </c>
      <c r="L78" s="37" t="n">
        <v>1.05</v>
      </c>
      <c r="M78" s="37" t="n">
        <v>1.25</v>
      </c>
      <c r="N78" s="37" t="n">
        <v>0.6899999999999999</v>
      </c>
      <c r="O78" s="37" t="n">
        <v>0.5600000000000001</v>
      </c>
      <c r="P78" s="37" t="n">
        <v>0.17</v>
      </c>
      <c r="Q78" s="37" t="n">
        <v>0.3</v>
      </c>
      <c r="R78" s="44" t="n">
        <v>0.5600000000000001</v>
      </c>
      <c r="S78" s="44" t="n">
        <v>0.6899999999999999</v>
      </c>
      <c r="T78" s="37" t="n">
        <v>90</v>
      </c>
      <c r="U78" s="37" t="inlineStr">
        <is>
          <t>ASSUMED</t>
        </is>
      </c>
      <c r="V78" s="37" t="inlineStr">
        <is>
          <t>MS51527 covers matched-dash sizes only; Air-Way remains single source.</t>
        </is>
      </c>
      <c r="W78" s="37" t="inlineStr">
        <is>
          <t>BUILD</t>
        </is>
      </c>
      <c r="X78" s="37" t="inlineStr">
        <is>
          <t>Hex = Air-Way C4 column (per-part). Matched sizes in this topology corroborate the column.</t>
        </is>
      </c>
      <c r="Z78" s="45" t="inlineStr">
        <is>
          <t>Carbon Steel</t>
        </is>
      </c>
      <c r="AA78" s="45" t="inlineStr">
        <is>
          <t>ASTM A108 12L14</t>
        </is>
      </c>
      <c r="AB78" s="45" t="inlineStr">
        <is>
          <t>Trivalent Cr3 Zinc</t>
        </is>
      </c>
      <c r="AC78" s="45" t="inlineStr">
        <is>
          <t>ASTM B633 Type V/VI</t>
        </is>
      </c>
      <c r="AD78" s="46" t="n">
        <v>5000</v>
      </c>
      <c r="AE78" s="46" t="inlineStr">
        <is>
          <t>generic SAE table @ dash -6 (governing end)</t>
        </is>
      </c>
      <c r="AF78" s="46" t="n">
        <v>-65</v>
      </c>
      <c r="AG78" s="46" t="n">
        <v>400</v>
      </c>
      <c r="AH78" s="37" t="inlineStr">
        <is>
          <t>Ham-Let + hoseandfittings (pressure); Parker Cat.4300 (material); ASTM B633 (finish); see StandardsData</t>
        </is>
      </c>
    </row>
    <row r="79" ht="15" customHeight="1" s="35">
      <c r="A79" s="37" t="inlineStr">
        <is>
          <t>6801-04-06-NWO</t>
        </is>
      </c>
      <c r="B79" s="37" t="inlineStr">
        <is>
          <t>6801-4-6 NWO</t>
        </is>
      </c>
      <c r="C79" s="37" t="inlineStr">
        <is>
          <t>6801</t>
        </is>
      </c>
      <c r="D79" s="37" t="n">
        <v>134</v>
      </c>
      <c r="E79" s="37" t="inlineStr">
        <is>
          <t>90 deg</t>
        </is>
      </c>
      <c r="F79" s="37" t="inlineStr">
        <is>
          <t>90 deg Straight Thread Elbow, 7/16-20 x 9/16-18</t>
        </is>
      </c>
      <c r="G79" s="37" t="inlineStr">
        <is>
          <t>9/16-18</t>
        </is>
      </c>
      <c r="H79" s="37" t="inlineStr">
        <is>
          <t>7/16-20</t>
        </is>
      </c>
      <c r="I79" s="37" t="n"/>
      <c r="J79" s="37" t="inlineStr">
        <is>
          <t>SAE J1926-3</t>
        </is>
      </c>
      <c r="K79" s="37" t="inlineStr">
        <is>
          <t>SAE J514-1</t>
        </is>
      </c>
      <c r="L79" s="37" t="n">
        <v>0.95</v>
      </c>
      <c r="M79" s="37" t="n">
        <v>1.25</v>
      </c>
      <c r="N79" s="37" t="n">
        <v>0.6899999999999999</v>
      </c>
      <c r="O79" s="37" t="n">
        <v>0.63</v>
      </c>
      <c r="P79" s="37" t="n">
        <v>0.17</v>
      </c>
      <c r="Q79" s="37" t="n">
        <v>0.3</v>
      </c>
      <c r="R79" s="44" t="n">
        <v>0.63</v>
      </c>
      <c r="S79" s="44" t="n">
        <v>0.6899999999999999</v>
      </c>
      <c r="T79" s="37" t="n">
        <v>90</v>
      </c>
      <c r="U79" s="37" t="inlineStr">
        <is>
          <t>ASSUMED</t>
        </is>
      </c>
      <c r="V79" s="37" t="inlineStr">
        <is>
          <t>MS51527 covers matched-dash sizes only; Air-Way remains single source.</t>
        </is>
      </c>
      <c r="W79" s="37" t="inlineStr">
        <is>
          <t>BUILD</t>
        </is>
      </c>
      <c r="X79" s="37" t="inlineStr">
        <is>
          <t>Hex = Air-Way C4 column (per-part). Matched sizes in this topology corroborate the column.</t>
        </is>
      </c>
      <c r="Z79" s="45" t="inlineStr">
        <is>
          <t>Carbon Steel</t>
        </is>
      </c>
      <c r="AA79" s="45" t="inlineStr">
        <is>
          <t>ASTM A108 12L14</t>
        </is>
      </c>
      <c r="AB79" s="45" t="inlineStr">
        <is>
          <t>Trivalent Cr3 Zinc</t>
        </is>
      </c>
      <c r="AC79" s="45" t="inlineStr">
        <is>
          <t>ASTM B633 Type V/VI</t>
        </is>
      </c>
      <c r="AD79" s="46" t="n">
        <v>5000</v>
      </c>
      <c r="AE79" s="46" t="inlineStr">
        <is>
          <t>generic SAE table @ dash -6 (governing end)</t>
        </is>
      </c>
      <c r="AF79" s="46" t="n">
        <v>-65</v>
      </c>
      <c r="AG79" s="46" t="n">
        <v>400</v>
      </c>
      <c r="AH79" s="37" t="inlineStr">
        <is>
          <t>Ham-Let + hoseandfittings (pressure); Parker Cat.4300 (material); ASTM B633 (finish); see StandardsData</t>
        </is>
      </c>
    </row>
    <row r="80" ht="15" customHeight="1" s="35">
      <c r="A80" s="37" t="inlineStr">
        <is>
          <t>6801-04-08-NWO-FG</t>
        </is>
      </c>
      <c r="B80" s="37" t="inlineStr">
        <is>
          <t>6801-4-8 NWO-FG</t>
        </is>
      </c>
      <c r="C80" s="37" t="inlineStr">
        <is>
          <t>6801</t>
        </is>
      </c>
      <c r="D80" s="37" t="n">
        <v>134</v>
      </c>
      <c r="E80" s="37" t="inlineStr">
        <is>
          <t>90 deg</t>
        </is>
      </c>
      <c r="F80" s="37" t="inlineStr">
        <is>
          <t>90 deg Straight Thread Elbow, 7/16-20 x 3/4-16</t>
        </is>
      </c>
      <c r="G80" s="37" t="inlineStr">
        <is>
          <t>3/4-16</t>
        </is>
      </c>
      <c r="H80" s="37" t="inlineStr">
        <is>
          <t>7/16-20</t>
        </is>
      </c>
      <c r="I80" s="37" t="n"/>
      <c r="J80" s="37" t="inlineStr">
        <is>
          <t>SAE J1926-3</t>
        </is>
      </c>
      <c r="K80" s="37" t="inlineStr">
        <is>
          <t>SAE J514-1</t>
        </is>
      </c>
      <c r="L80" s="37" t="n">
        <v>1.12</v>
      </c>
      <c r="M80" s="37" t="n">
        <v>1.45</v>
      </c>
      <c r="N80" s="37" t="n">
        <v>0.88</v>
      </c>
      <c r="O80" s="37" t="n">
        <v>0.75</v>
      </c>
      <c r="P80" s="37" t="n">
        <v>0.17</v>
      </c>
      <c r="Q80" s="37" t="n">
        <v>0.39</v>
      </c>
      <c r="R80" s="44" t="n">
        <v>0.75</v>
      </c>
      <c r="S80" s="44" t="n">
        <v>0.88</v>
      </c>
      <c r="T80" s="37" t="n">
        <v>90</v>
      </c>
      <c r="U80" s="37" t="inlineStr">
        <is>
          <t>ASSUMED</t>
        </is>
      </c>
      <c r="V80" s="37" t="inlineStr">
        <is>
          <t>MS51527 covers matched-dash sizes only; Air-Way remains single source.</t>
        </is>
      </c>
      <c r="W80" s="37" t="inlineStr">
        <is>
          <t>BUILD</t>
        </is>
      </c>
      <c r="X80" s="37" t="inlineStr">
        <is>
          <t>Hex = Air-Way C4 column (per-part). Matched sizes in this topology corroborate the column.</t>
        </is>
      </c>
      <c r="Z80" s="45" t="inlineStr">
        <is>
          <t>Carbon Steel</t>
        </is>
      </c>
      <c r="AA80" s="45" t="inlineStr">
        <is>
          <t>ASTM A108 12L14</t>
        </is>
      </c>
      <c r="AB80" s="45" t="inlineStr">
        <is>
          <t>Trivalent Cr3 Zinc</t>
        </is>
      </c>
      <c r="AC80" s="45" t="inlineStr">
        <is>
          <t>ASTM B633 Type V/VI</t>
        </is>
      </c>
      <c r="AD80" s="46" t="n">
        <v>4500</v>
      </c>
      <c r="AE80" s="46" t="inlineStr">
        <is>
          <t>generic SAE table @ dash -8 (governing end)</t>
        </is>
      </c>
      <c r="AF80" s="46" t="n">
        <v>-65</v>
      </c>
      <c r="AG80" s="46" t="n">
        <v>400</v>
      </c>
      <c r="AH80" s="37" t="inlineStr">
        <is>
          <t>Ham-Let + hoseandfittings (pressure); Parker Cat.4300 (material); ASTM B633 (finish); see StandardsData</t>
        </is>
      </c>
    </row>
    <row r="81" ht="15" customHeight="1" s="35">
      <c r="A81" s="37" t="inlineStr">
        <is>
          <t>6801-04-08-NWO</t>
        </is>
      </c>
      <c r="B81" s="37" t="inlineStr">
        <is>
          <t>6801-4-8 NWO</t>
        </is>
      </c>
      <c r="C81" s="37" t="inlineStr">
        <is>
          <t>6801</t>
        </is>
      </c>
      <c r="D81" s="37" t="n">
        <v>134</v>
      </c>
      <c r="E81" s="37" t="inlineStr">
        <is>
          <t>90 deg</t>
        </is>
      </c>
      <c r="F81" s="37" t="inlineStr">
        <is>
          <t>90 deg Straight Thread Elbow, 7/16-20 x 3/4-16</t>
        </is>
      </c>
      <c r="G81" s="37" t="inlineStr">
        <is>
          <t>3/4-16</t>
        </is>
      </c>
      <c r="H81" s="37" t="inlineStr">
        <is>
          <t>7/16-20</t>
        </is>
      </c>
      <c r="I81" s="37" t="n"/>
      <c r="J81" s="37" t="inlineStr">
        <is>
          <t>SAE J1926-3</t>
        </is>
      </c>
      <c r="K81" s="37" t="inlineStr">
        <is>
          <t>SAE J514-1</t>
        </is>
      </c>
      <c r="L81" s="37" t="n">
        <v>1.05</v>
      </c>
      <c r="M81" s="37" t="n">
        <v>1.45</v>
      </c>
      <c r="N81" s="37" t="n">
        <v>0.88</v>
      </c>
      <c r="O81" s="37" t="n">
        <v>0.8100000000000001</v>
      </c>
      <c r="P81" s="37" t="n">
        <v>0.17</v>
      </c>
      <c r="Q81" s="37" t="n">
        <v>0.39</v>
      </c>
      <c r="R81" s="44" t="n">
        <v>0.8100000000000001</v>
      </c>
      <c r="S81" s="44" t="n">
        <v>0.88</v>
      </c>
      <c r="T81" s="37" t="n">
        <v>90</v>
      </c>
      <c r="U81" s="37" t="inlineStr">
        <is>
          <t>ASSUMED</t>
        </is>
      </c>
      <c r="V81" s="37" t="inlineStr">
        <is>
          <t>MS51527 covers matched-dash sizes only; Air-Way remains single source.</t>
        </is>
      </c>
      <c r="W81" s="37" t="inlineStr">
        <is>
          <t>BUILD</t>
        </is>
      </c>
      <c r="X81" s="37" t="inlineStr">
        <is>
          <t>Hex = Air-Way C4 column (per-part). Matched sizes in this topology corroborate the column.</t>
        </is>
      </c>
      <c r="Z81" s="45" t="inlineStr">
        <is>
          <t>Carbon Steel</t>
        </is>
      </c>
      <c r="AA81" s="45" t="inlineStr">
        <is>
          <t>ASTM A108 12L14</t>
        </is>
      </c>
      <c r="AB81" s="45" t="inlineStr">
        <is>
          <t>Trivalent Cr3 Zinc</t>
        </is>
      </c>
      <c r="AC81" s="45" t="inlineStr">
        <is>
          <t>ASTM B633 Type V/VI</t>
        </is>
      </c>
      <c r="AD81" s="46" t="n">
        <v>4500</v>
      </c>
      <c r="AE81" s="46" t="inlineStr">
        <is>
          <t>generic SAE table @ dash -8 (governing end)</t>
        </is>
      </c>
      <c r="AF81" s="46" t="n">
        <v>-65</v>
      </c>
      <c r="AG81" s="46" t="n">
        <v>400</v>
      </c>
      <c r="AH81" s="37" t="inlineStr">
        <is>
          <t>Ham-Let + hoseandfittings (pressure); Parker Cat.4300 (material); ASTM B633 (finish); see StandardsData</t>
        </is>
      </c>
    </row>
    <row r="82" ht="15" customHeight="1" s="35">
      <c r="A82" s="37" t="inlineStr">
        <is>
          <t>6801-04-10-NWO-FG</t>
        </is>
      </c>
      <c r="B82" s="37" t="inlineStr">
        <is>
          <t>6801-4-10 NWO-FG</t>
        </is>
      </c>
      <c r="C82" s="37" t="inlineStr">
        <is>
          <t>6801</t>
        </is>
      </c>
      <c r="D82" s="37" t="n">
        <v>134</v>
      </c>
      <c r="E82" s="37" t="inlineStr">
        <is>
          <t>90 deg</t>
        </is>
      </c>
      <c r="F82" s="37" t="inlineStr">
        <is>
          <t>90 deg Straight Thread Elbow, 7/16-20 x 7/8-14</t>
        </is>
      </c>
      <c r="G82" s="37" t="inlineStr">
        <is>
          <t>7/8-14</t>
        </is>
      </c>
      <c r="H82" s="37" t="inlineStr">
        <is>
          <t>7/16-20</t>
        </is>
      </c>
      <c r="I82" s="37" t="n"/>
      <c r="J82" s="37" t="inlineStr">
        <is>
          <t>SAE J1926-3</t>
        </is>
      </c>
      <c r="K82" s="37" t="inlineStr">
        <is>
          <t>SAE J514-1</t>
        </is>
      </c>
      <c r="L82" s="37" t="n">
        <v>1.21</v>
      </c>
      <c r="M82" s="37" t="n">
        <v>1.7</v>
      </c>
      <c r="N82" s="37" t="n">
        <v>1</v>
      </c>
      <c r="O82" s="37" t="n">
        <v>0.88</v>
      </c>
      <c r="P82" s="37" t="n">
        <v>0.17</v>
      </c>
      <c r="Q82" s="37" t="n">
        <v>0.48</v>
      </c>
      <c r="R82" s="44" t="n">
        <v>0.88</v>
      </c>
      <c r="S82" s="44" t="n">
        <v>1</v>
      </c>
      <c r="T82" s="37" t="n">
        <v>90</v>
      </c>
      <c r="U82" s="37" t="inlineStr">
        <is>
          <t>ASSUMED</t>
        </is>
      </c>
      <c r="V82" s="37" t="inlineStr">
        <is>
          <t>MS51527 covers matched-dash sizes only; Air-Way remains single source.</t>
        </is>
      </c>
      <c r="W82" s="37" t="inlineStr">
        <is>
          <t>BUILD</t>
        </is>
      </c>
      <c r="X82" s="37" t="inlineStr">
        <is>
          <t>Hex = Air-Way C4 column (per-part). Matched sizes in this topology corroborate the column.</t>
        </is>
      </c>
      <c r="Z82" s="45" t="inlineStr">
        <is>
          <t>Carbon Steel</t>
        </is>
      </c>
      <c r="AA82" s="45" t="inlineStr">
        <is>
          <t>ASTM A108 12L14</t>
        </is>
      </c>
      <c r="AB82" s="45" t="inlineStr">
        <is>
          <t>Trivalent Cr3 Zinc</t>
        </is>
      </c>
      <c r="AC82" s="45" t="inlineStr">
        <is>
          <t>ASTM B633 Type V/VI</t>
        </is>
      </c>
      <c r="AD82" s="46" t="n">
        <v>3500</v>
      </c>
      <c r="AE82" s="46" t="inlineStr">
        <is>
          <t>generic SAE table @ dash -10 (governing end)</t>
        </is>
      </c>
      <c r="AF82" s="46" t="n">
        <v>-65</v>
      </c>
      <c r="AG82" s="46" t="n">
        <v>400</v>
      </c>
      <c r="AH82" s="37" t="inlineStr">
        <is>
          <t>Ham-Let + hoseandfittings (pressure); Parker Cat.4300 (material); ASTM B633 (finish); see StandardsData</t>
        </is>
      </c>
    </row>
    <row r="83" ht="15" customHeight="1" s="35">
      <c r="A83" s="37" t="inlineStr">
        <is>
          <t>6801-04-10-NWO</t>
        </is>
      </c>
      <c r="B83" s="37" t="inlineStr">
        <is>
          <t>6801-4-10 NWO</t>
        </is>
      </c>
      <c r="C83" s="37" t="inlineStr">
        <is>
          <t>6801</t>
        </is>
      </c>
      <c r="D83" s="37" t="n">
        <v>134</v>
      </c>
      <c r="E83" s="37" t="inlineStr">
        <is>
          <t>90 deg</t>
        </is>
      </c>
      <c r="F83" s="37" t="inlineStr">
        <is>
          <t>90 deg Straight Thread Elbow, 7/16-20 x 7/8-14</t>
        </is>
      </c>
      <c r="G83" s="37" t="inlineStr">
        <is>
          <t>7/8-14</t>
        </is>
      </c>
      <c r="H83" s="37" t="inlineStr">
        <is>
          <t>7/16-20</t>
        </is>
      </c>
      <c r="I83" s="37" t="n"/>
      <c r="J83" s="37" t="inlineStr">
        <is>
          <t>SAE J1926-3</t>
        </is>
      </c>
      <c r="K83" s="37" t="inlineStr">
        <is>
          <t>SAE J514-1</t>
        </is>
      </c>
      <c r="L83" s="37" t="n">
        <v>1.11</v>
      </c>
      <c r="M83" s="37" t="n">
        <v>1.7</v>
      </c>
      <c r="N83" s="37" t="n">
        <v>1</v>
      </c>
      <c r="O83" s="37" t="n">
        <v>0.9399999999999999</v>
      </c>
      <c r="P83" s="37" t="n">
        <v>0.17</v>
      </c>
      <c r="Q83" s="37" t="n">
        <v>0.48</v>
      </c>
      <c r="R83" s="44" t="n">
        <v>0.9399999999999999</v>
      </c>
      <c r="S83" s="44" t="n">
        <v>1</v>
      </c>
      <c r="T83" s="37" t="n">
        <v>90</v>
      </c>
      <c r="U83" s="37" t="inlineStr">
        <is>
          <t>ASSUMED</t>
        </is>
      </c>
      <c r="V83" s="37" t="inlineStr">
        <is>
          <t>MS51527 covers matched-dash sizes only; Air-Way remains single source.</t>
        </is>
      </c>
      <c r="W83" s="37" t="inlineStr">
        <is>
          <t>BUILD</t>
        </is>
      </c>
      <c r="X83" s="37" t="inlineStr">
        <is>
          <t>Hex = Air-Way C4 column (per-part). Matched sizes in this topology corroborate the column.</t>
        </is>
      </c>
      <c r="Z83" s="45" t="inlineStr">
        <is>
          <t>Carbon Steel</t>
        </is>
      </c>
      <c r="AA83" s="45" t="inlineStr">
        <is>
          <t>ASTM A108 12L14</t>
        </is>
      </c>
      <c r="AB83" s="45" t="inlineStr">
        <is>
          <t>Trivalent Cr3 Zinc</t>
        </is>
      </c>
      <c r="AC83" s="45" t="inlineStr">
        <is>
          <t>ASTM B633 Type V/VI</t>
        </is>
      </c>
      <c r="AD83" s="46" t="n">
        <v>3500</v>
      </c>
      <c r="AE83" s="46" t="inlineStr">
        <is>
          <t>generic SAE table @ dash -10 (governing end)</t>
        </is>
      </c>
      <c r="AF83" s="46" t="n">
        <v>-65</v>
      </c>
      <c r="AG83" s="46" t="n">
        <v>400</v>
      </c>
      <c r="AH83" s="37" t="inlineStr">
        <is>
          <t>Ham-Let + hoseandfittings (pressure); Parker Cat.4300 (material); ASTM B633 (finish); see StandardsData</t>
        </is>
      </c>
    </row>
    <row r="84" ht="15" customHeight="1" s="35">
      <c r="A84" s="37" t="inlineStr">
        <is>
          <t>6801-05-04-NWO-FG</t>
        </is>
      </c>
      <c r="B84" s="37" t="inlineStr">
        <is>
          <t>6801-5-4 NWO-FG</t>
        </is>
      </c>
      <c r="C84" s="37" t="inlineStr">
        <is>
          <t>6801</t>
        </is>
      </c>
      <c r="D84" s="37" t="n">
        <v>134</v>
      </c>
      <c r="E84" s="37" t="inlineStr">
        <is>
          <t>90 deg</t>
        </is>
      </c>
      <c r="F84" s="37" t="inlineStr">
        <is>
          <t>90 deg Straight Thread Elbow, 1/2-20 x 7/16-20</t>
        </is>
      </c>
      <c r="G84" s="37" t="inlineStr">
        <is>
          <t>7/16-20</t>
        </is>
      </c>
      <c r="H84" s="37" t="inlineStr">
        <is>
          <t>1/2-20</t>
        </is>
      </c>
      <c r="I84" s="37" t="n"/>
      <c r="J84" s="37" t="inlineStr">
        <is>
          <t>SAE J1926-3</t>
        </is>
      </c>
      <c r="K84" s="37" t="inlineStr">
        <is>
          <t>SAE J514-1</t>
        </is>
      </c>
      <c r="L84" s="37" t="n">
        <v>0.95</v>
      </c>
      <c r="M84" s="37" t="n">
        <v>1.13</v>
      </c>
      <c r="N84" s="37" t="n">
        <v>0.5600000000000001</v>
      </c>
      <c r="O84" s="37" t="n">
        <v>0.5600000000000001</v>
      </c>
      <c r="P84" s="37" t="n">
        <v>0.23</v>
      </c>
      <c r="Q84" s="37" t="n">
        <v>0.17</v>
      </c>
      <c r="R84" s="44" t="n">
        <v>0.5600000000000001</v>
      </c>
      <c r="S84" s="44" t="n">
        <v>0.5600000000000001</v>
      </c>
      <c r="T84" s="37" t="n">
        <v>90</v>
      </c>
      <c r="U84" s="37" t="inlineStr">
        <is>
          <t>ASSUMED</t>
        </is>
      </c>
      <c r="V84" s="37" t="inlineStr">
        <is>
          <t>MS51527 covers matched-dash sizes only; Air-Way remains single source.</t>
        </is>
      </c>
      <c r="W84" s="37" t="inlineStr">
        <is>
          <t>BUILD</t>
        </is>
      </c>
      <c r="X84" s="37" t="inlineStr">
        <is>
          <t>Hex = Air-Way C4 column (per-part). Matched sizes in this topology corroborate the column.</t>
        </is>
      </c>
      <c r="Z84" s="45" t="inlineStr">
        <is>
          <t>Carbon Steel</t>
        </is>
      </c>
      <c r="AA84" s="45" t="inlineStr">
        <is>
          <t>ASTM A108 12L14</t>
        </is>
      </c>
      <c r="AB84" s="45" t="inlineStr">
        <is>
          <t>Trivalent Cr3 Zinc</t>
        </is>
      </c>
      <c r="AC84" s="45" t="inlineStr">
        <is>
          <t>ASTM B633 Type V/VI</t>
        </is>
      </c>
      <c r="AD84" s="46" t="n">
        <v>5000</v>
      </c>
      <c r="AE84" s="46" t="inlineStr">
        <is>
          <t>generic SAE table @ dash -5 (governing end)</t>
        </is>
      </c>
      <c r="AF84" s="46" t="n">
        <v>-65</v>
      </c>
      <c r="AG84" s="46" t="n">
        <v>400</v>
      </c>
      <c r="AH84" s="37" t="inlineStr">
        <is>
          <t>Ham-Let + hoseandfittings (pressure); Parker Cat.4300 (material); ASTM B633 (finish); see StandardsData</t>
        </is>
      </c>
    </row>
    <row r="85" ht="15" customHeight="1" s="35">
      <c r="A85" s="37" t="inlineStr">
        <is>
          <t>6801-05-04-NWO</t>
        </is>
      </c>
      <c r="B85" s="37" t="inlineStr">
        <is>
          <t>6801-5-4 NWO</t>
        </is>
      </c>
      <c r="C85" s="37" t="inlineStr">
        <is>
          <t>6801</t>
        </is>
      </c>
      <c r="D85" s="37" t="n">
        <v>134</v>
      </c>
      <c r="E85" s="37" t="inlineStr">
        <is>
          <t>90 deg</t>
        </is>
      </c>
      <c r="F85" s="37" t="inlineStr">
        <is>
          <t>90 deg Straight Thread Elbow, 1/2-20 x 7/16-20</t>
        </is>
      </c>
      <c r="G85" s="37" t="inlineStr">
        <is>
          <t>7/16-20</t>
        </is>
      </c>
      <c r="H85" s="37" t="inlineStr">
        <is>
          <t>1/2-20</t>
        </is>
      </c>
      <c r="I85" s="37" t="n"/>
      <c r="J85" s="37" t="inlineStr">
        <is>
          <t>SAE J1926-3</t>
        </is>
      </c>
      <c r="K85" s="37" t="inlineStr">
        <is>
          <t>SAE J514-1</t>
        </is>
      </c>
      <c r="L85" s="37" t="n">
        <v>0.95</v>
      </c>
      <c r="M85" s="37" t="n">
        <v>1.06</v>
      </c>
      <c r="N85" s="37" t="n">
        <v>0.5600000000000001</v>
      </c>
      <c r="O85" s="37" t="n">
        <v>0.5600000000000001</v>
      </c>
      <c r="P85" s="37" t="n">
        <v>0.23</v>
      </c>
      <c r="Q85" s="37" t="n">
        <v>0.17</v>
      </c>
      <c r="R85" s="44" t="n">
        <v>0.5600000000000001</v>
      </c>
      <c r="S85" s="44" t="n">
        <v>0.5600000000000001</v>
      </c>
      <c r="T85" s="37" t="n">
        <v>90</v>
      </c>
      <c r="U85" s="37" t="inlineStr">
        <is>
          <t>ASSUMED</t>
        </is>
      </c>
      <c r="V85" s="37" t="inlineStr">
        <is>
          <t>MS51527 covers matched-dash sizes only; Air-Way remains single source.</t>
        </is>
      </c>
      <c r="W85" s="37" t="inlineStr">
        <is>
          <t>BUILD</t>
        </is>
      </c>
      <c r="X85" s="37" t="inlineStr">
        <is>
          <t>Hex = Air-Way C4 column (per-part). Matched sizes in this topology corroborate the column.</t>
        </is>
      </c>
      <c r="Z85" s="45" t="inlineStr">
        <is>
          <t>Carbon Steel</t>
        </is>
      </c>
      <c r="AA85" s="45" t="inlineStr">
        <is>
          <t>ASTM A108 12L14</t>
        </is>
      </c>
      <c r="AB85" s="45" t="inlineStr">
        <is>
          <t>Trivalent Cr3 Zinc</t>
        </is>
      </c>
      <c r="AC85" s="45" t="inlineStr">
        <is>
          <t>ASTM B633 Type V/VI</t>
        </is>
      </c>
      <c r="AD85" s="46" t="n">
        <v>5000</v>
      </c>
      <c r="AE85" s="46" t="inlineStr">
        <is>
          <t>generic SAE table @ dash -5 (governing end)</t>
        </is>
      </c>
      <c r="AF85" s="46" t="n">
        <v>-65</v>
      </c>
      <c r="AG85" s="46" t="n">
        <v>400</v>
      </c>
      <c r="AH85" s="37" t="inlineStr">
        <is>
          <t>Ham-Let + hoseandfittings (pressure); Parker Cat.4300 (material); ASTM B633 (finish); see StandardsData</t>
        </is>
      </c>
    </row>
    <row r="86" ht="15" customHeight="1" s="35">
      <c r="A86" s="37" t="inlineStr">
        <is>
          <t>6801-05-05-NWO-FG</t>
        </is>
      </c>
      <c r="B86" s="37" t="inlineStr">
        <is>
          <t>6801-5-5 NWO-FG</t>
        </is>
      </c>
      <c r="C86" s="37" t="inlineStr">
        <is>
          <t>6801</t>
        </is>
      </c>
      <c r="D86" s="37" t="n">
        <v>134</v>
      </c>
      <c r="E86" s="37" t="inlineStr">
        <is>
          <t>90 deg</t>
        </is>
      </c>
      <c r="F86" s="37" t="inlineStr">
        <is>
          <t>90 deg Straight Thread Elbow, 1/2-20 x 1/2-20</t>
        </is>
      </c>
      <c r="G86" s="37" t="inlineStr">
        <is>
          <t>1/2-20</t>
        </is>
      </c>
      <c r="H86" s="37" t="inlineStr">
        <is>
          <t>1/2-20</t>
        </is>
      </c>
      <c r="I86" s="37" t="n"/>
      <c r="J86" s="37" t="inlineStr">
        <is>
          <t>SAE J1926-3</t>
        </is>
      </c>
      <c r="K86" s="37" t="inlineStr">
        <is>
          <t>SAE J514-1</t>
        </is>
      </c>
      <c r="L86" s="37" t="n">
        <v>0.95</v>
      </c>
      <c r="M86" s="37" t="n">
        <v>1.13</v>
      </c>
      <c r="N86" s="37" t="n">
        <v>0.63</v>
      </c>
      <c r="O86" s="37" t="n">
        <v>0.5600000000000001</v>
      </c>
      <c r="P86" s="37" t="n">
        <v>0.23</v>
      </c>
      <c r="Q86" s="37" t="n">
        <v>0.23</v>
      </c>
      <c r="R86" s="44" t="n">
        <v>0.5600000000000001</v>
      </c>
      <c r="S86" s="44" t="n">
        <v>0.63</v>
      </c>
      <c r="T86" s="37" t="n">
        <v>90</v>
      </c>
      <c r="U86" s="37" t="inlineStr">
        <is>
          <t>VERIFIED</t>
        </is>
      </c>
      <c r="V86" s="37" t="inlineStr">
        <is>
          <t>RESOLVED 2-1: boss leg M7=1.13 (Air-Way+Brennan drawing; MS51527 1.090 was a misread). 2026-09-05 Brennan product-drawing tiebreak</t>
        </is>
      </c>
      <c r="W86" s="37" t="inlineStr">
        <is>
          <t>BUILD</t>
        </is>
      </c>
      <c r="X86" s="37" t="inlineStr">
        <is>
          <t>Hex = Air-Way C4 column (per-part). Matched sizes in this topology corroborate the column. | MS51527 DIVERGES on legB (AW M=0.95,M7=1.13,D1=0.23,D2=0.23 vs MS M3=0.95,M4=1.09,D=0.234). Blocked pending decision.</t>
        </is>
      </c>
      <c r="Z86" s="45" t="inlineStr">
        <is>
          <t>Carbon Steel</t>
        </is>
      </c>
      <c r="AA86" s="45" t="inlineStr">
        <is>
          <t>ASTM A108 12L14</t>
        </is>
      </c>
      <c r="AB86" s="45" t="inlineStr">
        <is>
          <t>Trivalent Cr3 Zinc</t>
        </is>
      </c>
      <c r="AC86" s="45" t="inlineStr">
        <is>
          <t>ASTM B633 Type V/VI</t>
        </is>
      </c>
      <c r="AD86" s="46" t="n">
        <v>5000</v>
      </c>
      <c r="AE86" s="46" t="inlineStr">
        <is>
          <t>generic SAE table @ dash -5 (governing end)</t>
        </is>
      </c>
      <c r="AF86" s="46" t="n">
        <v>-65</v>
      </c>
      <c r="AG86" s="46" t="n">
        <v>400</v>
      </c>
      <c r="AH86" s="37" t="inlineStr">
        <is>
          <t>Ham-Let + hoseandfittings (pressure); Parker Cat.4300 (material); ASTM B633 (finish); see StandardsData</t>
        </is>
      </c>
    </row>
    <row r="87" ht="15" customHeight="1" s="35">
      <c r="A87" s="37" t="inlineStr">
        <is>
          <t>6801-05-06-NWO-FG</t>
        </is>
      </c>
      <c r="B87" s="37" t="inlineStr">
        <is>
          <t>6801-5-6 NWO-FG</t>
        </is>
      </c>
      <c r="C87" s="37" t="inlineStr">
        <is>
          <t>6801</t>
        </is>
      </c>
      <c r="D87" s="37" t="n">
        <v>134</v>
      </c>
      <c r="E87" s="37" t="inlineStr">
        <is>
          <t>90 deg</t>
        </is>
      </c>
      <c r="F87" s="37" t="inlineStr">
        <is>
          <t>90 deg Straight Thread Elbow, 1/2-20 x 9/16-18</t>
        </is>
      </c>
      <c r="G87" s="37" t="inlineStr">
        <is>
          <t>9/16-18</t>
        </is>
      </c>
      <c r="H87" s="37" t="inlineStr">
        <is>
          <t>1/2-20</t>
        </is>
      </c>
      <c r="I87" s="37" t="n"/>
      <c r="J87" s="37" t="inlineStr">
        <is>
          <t>SAE J1926-3</t>
        </is>
      </c>
      <c r="K87" s="37" t="inlineStr">
        <is>
          <t>SAE J514-1</t>
        </is>
      </c>
      <c r="L87" s="37" t="n">
        <v>1.05</v>
      </c>
      <c r="M87" s="37" t="n">
        <v>1.25</v>
      </c>
      <c r="N87" s="37" t="n">
        <v>0.6899999999999999</v>
      </c>
      <c r="O87" s="37" t="n">
        <v>0.5600000000000001</v>
      </c>
      <c r="P87" s="37" t="n">
        <v>0.23</v>
      </c>
      <c r="Q87" s="37" t="n">
        <v>0.3</v>
      </c>
      <c r="R87" s="44" t="n">
        <v>0.5600000000000001</v>
      </c>
      <c r="S87" s="44" t="n">
        <v>0.6899999999999999</v>
      </c>
      <c r="T87" s="37" t="n">
        <v>90</v>
      </c>
      <c r="U87" s="37" t="inlineStr">
        <is>
          <t>ASSUMED</t>
        </is>
      </c>
      <c r="V87" s="37" t="inlineStr">
        <is>
          <t>MS51527 covers matched-dash sizes only; Air-Way remains single source.</t>
        </is>
      </c>
      <c r="W87" s="37" t="inlineStr">
        <is>
          <t>BUILD</t>
        </is>
      </c>
      <c r="X87" s="37" t="inlineStr">
        <is>
          <t>Hex = Air-Way C4 column (per-part). Matched sizes in this topology corroborate the column.</t>
        </is>
      </c>
      <c r="Z87" s="45" t="inlineStr">
        <is>
          <t>Carbon Steel</t>
        </is>
      </c>
      <c r="AA87" s="45" t="inlineStr">
        <is>
          <t>ASTM A108 12L14</t>
        </is>
      </c>
      <c r="AB87" s="45" t="inlineStr">
        <is>
          <t>Trivalent Cr3 Zinc</t>
        </is>
      </c>
      <c r="AC87" s="45" t="inlineStr">
        <is>
          <t>ASTM B633 Type V/VI</t>
        </is>
      </c>
      <c r="AD87" s="46" t="n">
        <v>5000</v>
      </c>
      <c r="AE87" s="46" t="inlineStr">
        <is>
          <t>generic SAE table @ dash -6 (governing end)</t>
        </is>
      </c>
      <c r="AF87" s="46" t="n">
        <v>-65</v>
      </c>
      <c r="AG87" s="46" t="n">
        <v>400</v>
      </c>
      <c r="AH87" s="37" t="inlineStr">
        <is>
          <t>Ham-Let + hoseandfittings (pressure); Parker Cat.4300 (material); ASTM B633 (finish); see StandardsData</t>
        </is>
      </c>
    </row>
    <row r="88" ht="15" customHeight="1" s="35">
      <c r="A88" s="37" t="inlineStr">
        <is>
          <t>6801-05-05-NWO</t>
        </is>
      </c>
      <c r="B88" s="37" t="inlineStr">
        <is>
          <t>6801-5-5 NWO</t>
        </is>
      </c>
      <c r="C88" s="37" t="inlineStr">
        <is>
          <t>6801</t>
        </is>
      </c>
      <c r="D88" s="37" t="n">
        <v>134</v>
      </c>
      <c r="E88" s="37" t="inlineStr">
        <is>
          <t>90 deg</t>
        </is>
      </c>
      <c r="F88" s="37" t="inlineStr">
        <is>
          <t>90 deg Straight Thread Elbow, 1/2-20 x 1/2-20</t>
        </is>
      </c>
      <c r="G88" s="37" t="inlineStr">
        <is>
          <t>1/2-20</t>
        </is>
      </c>
      <c r="H88" s="37" t="inlineStr">
        <is>
          <t>1/2-20</t>
        </is>
      </c>
      <c r="I88" s="37" t="n"/>
      <c r="J88" s="37" t="inlineStr">
        <is>
          <t>SAE J1926-3</t>
        </is>
      </c>
      <c r="K88" s="37" t="inlineStr">
        <is>
          <t>SAE J514-1</t>
        </is>
      </c>
      <c r="L88" s="37" t="n">
        <v>0.95</v>
      </c>
      <c r="M88" s="37" t="n">
        <v>1.13</v>
      </c>
      <c r="N88" s="37" t="n">
        <v>0.63</v>
      </c>
      <c r="O88" s="37" t="n">
        <v>0.5600000000000001</v>
      </c>
      <c r="P88" s="37" t="n">
        <v>0.23</v>
      </c>
      <c r="Q88" s="37" t="n">
        <v>0.23</v>
      </c>
      <c r="R88" s="44" t="n">
        <v>0.5600000000000001</v>
      </c>
      <c r="S88" s="44" t="n">
        <v>0.63</v>
      </c>
      <c r="T88" s="37" t="n">
        <v>90</v>
      </c>
      <c r="U88" s="37" t="inlineStr">
        <is>
          <t>VERIFIED</t>
        </is>
      </c>
      <c r="V88" s="37" t="inlineStr">
        <is>
          <t>RESOLVED 2-1: boss leg M7=1.13 (Air-Way+Brennan drawing; MS51527 1.090 was a misread). 2026-09-05 Brennan product-drawing tiebreak</t>
        </is>
      </c>
      <c r="W88" s="37" t="inlineStr">
        <is>
          <t>BUILD</t>
        </is>
      </c>
      <c r="X88" s="37" t="inlineStr">
        <is>
          <t>Hex = Air-Way C4 column (per-part). Matched sizes in this topology corroborate the column. | MS51527 DIVERGES on legB (AW M=0.95,M7=1.13,D1=0.23,D2=0.23 vs MS M3=0.95,M4=1.09,D=0.234). Blocked pending decision.</t>
        </is>
      </c>
      <c r="Z88" s="45" t="inlineStr">
        <is>
          <t>Carbon Steel</t>
        </is>
      </c>
      <c r="AA88" s="45" t="inlineStr">
        <is>
          <t>ASTM A108 12L14</t>
        </is>
      </c>
      <c r="AB88" s="45" t="inlineStr">
        <is>
          <t>Trivalent Cr3 Zinc</t>
        </is>
      </c>
      <c r="AC88" s="45" t="inlineStr">
        <is>
          <t>ASTM B633 Type V/VI</t>
        </is>
      </c>
      <c r="AD88" s="46" t="n">
        <v>5000</v>
      </c>
      <c r="AE88" s="46" t="inlineStr">
        <is>
          <t>generic SAE table @ dash -5 (governing end)</t>
        </is>
      </c>
      <c r="AF88" s="46" t="n">
        <v>-65</v>
      </c>
      <c r="AG88" s="46" t="n">
        <v>400</v>
      </c>
      <c r="AH88" s="37" t="inlineStr">
        <is>
          <t>Ham-Let + hoseandfittings (pressure); Parker Cat.4300 (material); ASTM B633 (finish); see StandardsData</t>
        </is>
      </c>
    </row>
    <row r="89" ht="15" customHeight="1" s="35">
      <c r="A89" s="37" t="inlineStr">
        <is>
          <t>6801-05-06-NWO</t>
        </is>
      </c>
      <c r="B89" s="37" t="inlineStr">
        <is>
          <t>6801-5-6 NWO</t>
        </is>
      </c>
      <c r="C89" s="37" t="inlineStr">
        <is>
          <t>6801</t>
        </is>
      </c>
      <c r="D89" s="37" t="n">
        <v>134</v>
      </c>
      <c r="E89" s="37" t="inlineStr">
        <is>
          <t>90 deg</t>
        </is>
      </c>
      <c r="F89" s="37" t="inlineStr">
        <is>
          <t>90 deg Straight Thread Elbow, 1/2-20 x 9/16-18</t>
        </is>
      </c>
      <c r="G89" s="37" t="inlineStr">
        <is>
          <t>9/16-18</t>
        </is>
      </c>
      <c r="H89" s="37" t="inlineStr">
        <is>
          <t>1/2-20</t>
        </is>
      </c>
      <c r="I89" s="37" t="n"/>
      <c r="J89" s="37" t="inlineStr">
        <is>
          <t>SAE J1926-3</t>
        </is>
      </c>
      <c r="K89" s="37" t="inlineStr">
        <is>
          <t>SAE J514-1</t>
        </is>
      </c>
      <c r="L89" s="37" t="n">
        <v>0.98</v>
      </c>
      <c r="M89" s="37" t="n">
        <v>1.25</v>
      </c>
      <c r="N89" s="37" t="n">
        <v>0.6899999999999999</v>
      </c>
      <c r="O89" s="37" t="n">
        <v>0.63</v>
      </c>
      <c r="P89" s="37" t="n">
        <v>0.23</v>
      </c>
      <c r="Q89" s="37" t="n">
        <v>0.3</v>
      </c>
      <c r="R89" s="44" t="n">
        <v>0.63</v>
      </c>
      <c r="S89" s="44" t="n">
        <v>0.6899999999999999</v>
      </c>
      <c r="T89" s="37" t="n">
        <v>90</v>
      </c>
      <c r="U89" s="37" t="inlineStr">
        <is>
          <t>ASSUMED</t>
        </is>
      </c>
      <c r="V89" s="37" t="inlineStr">
        <is>
          <t>MS51527 covers matched-dash sizes only; Air-Way remains single source.</t>
        </is>
      </c>
      <c r="W89" s="37" t="inlineStr">
        <is>
          <t>BUILD</t>
        </is>
      </c>
      <c r="X89" s="37" t="inlineStr">
        <is>
          <t>Hex = Air-Way C4 column (per-part). Matched sizes in this topology corroborate the column.</t>
        </is>
      </c>
      <c r="Z89" s="45" t="inlineStr">
        <is>
          <t>Carbon Steel</t>
        </is>
      </c>
      <c r="AA89" s="45" t="inlineStr">
        <is>
          <t>ASTM A108 12L14</t>
        </is>
      </c>
      <c r="AB89" s="45" t="inlineStr">
        <is>
          <t>Trivalent Cr3 Zinc</t>
        </is>
      </c>
      <c r="AC89" s="45" t="inlineStr">
        <is>
          <t>ASTM B633 Type V/VI</t>
        </is>
      </c>
      <c r="AD89" s="46" t="n">
        <v>5000</v>
      </c>
      <c r="AE89" s="46" t="inlineStr">
        <is>
          <t>generic SAE table @ dash -6 (governing end)</t>
        </is>
      </c>
      <c r="AF89" s="46" t="n">
        <v>-65</v>
      </c>
      <c r="AG89" s="46" t="n">
        <v>400</v>
      </c>
      <c r="AH89" s="37" t="inlineStr">
        <is>
          <t>Ham-Let + hoseandfittings (pressure); Parker Cat.4300 (material); ASTM B633 (finish); see StandardsData</t>
        </is>
      </c>
    </row>
    <row r="90" ht="15" customHeight="1" s="35">
      <c r="A90" s="37" t="inlineStr">
        <is>
          <t>6801-05-08-NWO</t>
        </is>
      </c>
      <c r="B90" s="37" t="inlineStr">
        <is>
          <t>6801-5-8 NWO</t>
        </is>
      </c>
      <c r="C90" s="37" t="inlineStr">
        <is>
          <t>6801</t>
        </is>
      </c>
      <c r="D90" s="37" t="n">
        <v>134</v>
      </c>
      <c r="E90" s="37" t="inlineStr">
        <is>
          <t>90 deg</t>
        </is>
      </c>
      <c r="F90" s="37" t="inlineStr">
        <is>
          <t>90 deg Straight Thread Elbow, 1/2-20 x 3/4-16</t>
        </is>
      </c>
      <c r="G90" s="37" t="inlineStr">
        <is>
          <t>3/4-16</t>
        </is>
      </c>
      <c r="H90" s="37" t="inlineStr">
        <is>
          <t>1/2-20</t>
        </is>
      </c>
      <c r="I90" s="37" t="n"/>
      <c r="J90" s="37" t="inlineStr">
        <is>
          <t>SAE J1926-3</t>
        </is>
      </c>
      <c r="K90" s="37" t="inlineStr">
        <is>
          <t>SAE J514-1</t>
        </is>
      </c>
      <c r="L90" s="37" t="n">
        <v>1.08</v>
      </c>
      <c r="M90" s="37" t="n">
        <v>1.45</v>
      </c>
      <c r="N90" s="37" t="n">
        <v>0.88</v>
      </c>
      <c r="O90" s="37" t="n">
        <v>0.8100000000000001</v>
      </c>
      <c r="P90" s="37" t="n">
        <v>0.23</v>
      </c>
      <c r="Q90" s="37" t="n">
        <v>0.39</v>
      </c>
      <c r="R90" s="44" t="n">
        <v>0.8100000000000001</v>
      </c>
      <c r="S90" s="44" t="n">
        <v>0.88</v>
      </c>
      <c r="T90" s="37" t="n">
        <v>90</v>
      </c>
      <c r="U90" s="37" t="inlineStr">
        <is>
          <t>ASSUMED</t>
        </is>
      </c>
      <c r="V90" s="37" t="inlineStr">
        <is>
          <t>MS51527 covers matched-dash sizes only; Air-Way remains single source.</t>
        </is>
      </c>
      <c r="W90" s="37" t="inlineStr">
        <is>
          <t>BUILD</t>
        </is>
      </c>
      <c r="X90" s="37" t="inlineStr">
        <is>
          <t>Hex = Air-Way C4 column (per-part). Matched sizes in this topology corroborate the column.</t>
        </is>
      </c>
      <c r="Z90" s="45" t="inlineStr">
        <is>
          <t>Carbon Steel</t>
        </is>
      </c>
      <c r="AA90" s="45" t="inlineStr">
        <is>
          <t>ASTM A108 12L14</t>
        </is>
      </c>
      <c r="AB90" s="45" t="inlineStr">
        <is>
          <t>Trivalent Cr3 Zinc</t>
        </is>
      </c>
      <c r="AC90" s="45" t="inlineStr">
        <is>
          <t>ASTM B633 Type V/VI</t>
        </is>
      </c>
      <c r="AD90" s="46" t="n">
        <v>4500</v>
      </c>
      <c r="AE90" s="46" t="inlineStr">
        <is>
          <t>generic SAE table @ dash -8 (governing end)</t>
        </is>
      </c>
      <c r="AF90" s="46" t="n">
        <v>-65</v>
      </c>
      <c r="AG90" s="46" t="n">
        <v>400</v>
      </c>
      <c r="AH90" s="37" t="inlineStr">
        <is>
          <t>Ham-Let + hoseandfittings (pressure); Parker Cat.4300 (material); ASTM B633 (finish); see StandardsData</t>
        </is>
      </c>
    </row>
    <row r="91" ht="15" customHeight="1" s="35">
      <c r="A91" s="37" t="inlineStr">
        <is>
          <t>6801-06-04-NWO-FG</t>
        </is>
      </c>
      <c r="B91" s="37" t="inlineStr">
        <is>
          <t>6801-6-4 NWO-FG</t>
        </is>
      </c>
      <c r="C91" s="37" t="inlineStr">
        <is>
          <t>6801</t>
        </is>
      </c>
      <c r="D91" s="37" t="n">
        <v>134</v>
      </c>
      <c r="E91" s="37" t="inlineStr">
        <is>
          <t>90 deg</t>
        </is>
      </c>
      <c r="F91" s="37" t="inlineStr">
        <is>
          <t>90 deg Straight Thread Elbow, 9/16-18 x 7/16-20</t>
        </is>
      </c>
      <c r="G91" s="37" t="inlineStr">
        <is>
          <t>7/16-20</t>
        </is>
      </c>
      <c r="H91" s="37" t="inlineStr">
        <is>
          <t>9/16-18</t>
        </is>
      </c>
      <c r="I91" s="37" t="n"/>
      <c r="J91" s="37" t="inlineStr">
        <is>
          <t>SAE J1926-3</t>
        </is>
      </c>
      <c r="K91" s="37" t="inlineStr">
        <is>
          <t>SAE J514-1</t>
        </is>
      </c>
      <c r="L91" s="37" t="n">
        <v>1.06</v>
      </c>
      <c r="M91" s="37" t="n">
        <v>1.19</v>
      </c>
      <c r="N91" s="37" t="n">
        <v>0.5600000000000001</v>
      </c>
      <c r="O91" s="37" t="n">
        <v>0.5600000000000001</v>
      </c>
      <c r="P91" s="37" t="n">
        <v>0.3</v>
      </c>
      <c r="Q91" s="37" t="n">
        <v>0.17</v>
      </c>
      <c r="R91" s="44" t="n">
        <v>0.5600000000000001</v>
      </c>
      <c r="S91" s="44" t="n">
        <v>0.5600000000000001</v>
      </c>
      <c r="T91" s="37" t="n">
        <v>90</v>
      </c>
      <c r="U91" s="37" t="inlineStr">
        <is>
          <t>ASSUMED</t>
        </is>
      </c>
      <c r="V91" s="37" t="inlineStr">
        <is>
          <t>MS51527 covers matched-dash sizes only; Air-Way remains single source.</t>
        </is>
      </c>
      <c r="W91" s="37" t="inlineStr">
        <is>
          <t>BUILD</t>
        </is>
      </c>
      <c r="X91" s="37" t="inlineStr">
        <is>
          <t>Hex = Air-Way C4 column (per-part). Matched sizes in this topology corroborate the column.</t>
        </is>
      </c>
      <c r="Z91" s="45" t="inlineStr">
        <is>
          <t>Carbon Steel</t>
        </is>
      </c>
      <c r="AA91" s="45" t="inlineStr">
        <is>
          <t>ASTM A108 12L14</t>
        </is>
      </c>
      <c r="AB91" s="45" t="inlineStr">
        <is>
          <t>Trivalent Cr3 Zinc</t>
        </is>
      </c>
      <c r="AC91" s="45" t="inlineStr">
        <is>
          <t>ASTM B633 Type V/VI</t>
        </is>
      </c>
      <c r="AD91" s="46" t="n">
        <v>5000</v>
      </c>
      <c r="AE91" s="46" t="inlineStr">
        <is>
          <t>generic SAE table @ dash -6 (governing end)</t>
        </is>
      </c>
      <c r="AF91" s="46" t="n">
        <v>-65</v>
      </c>
      <c r="AG91" s="46" t="n">
        <v>400</v>
      </c>
      <c r="AH91" s="37" t="inlineStr">
        <is>
          <t>Ham-Let + hoseandfittings (pressure); Parker Cat.4300 (material); ASTM B633 (finish); see StandardsData</t>
        </is>
      </c>
    </row>
    <row r="92" ht="15" customHeight="1" s="35">
      <c r="A92" s="37" t="inlineStr">
        <is>
          <t>6801-06-04-NWO</t>
        </is>
      </c>
      <c r="B92" s="37" t="inlineStr">
        <is>
          <t>6801-6-4 NWO</t>
        </is>
      </c>
      <c r="C92" s="37" t="inlineStr">
        <is>
          <t>6801</t>
        </is>
      </c>
      <c r="D92" s="37" t="n">
        <v>134</v>
      </c>
      <c r="E92" s="37" t="inlineStr">
        <is>
          <t>90 deg</t>
        </is>
      </c>
      <c r="F92" s="37" t="inlineStr">
        <is>
          <t>90 deg Straight Thread Elbow, 9/16-18 x 7/16-20</t>
        </is>
      </c>
      <c r="G92" s="37" t="inlineStr">
        <is>
          <t>7/16-20</t>
        </is>
      </c>
      <c r="H92" s="37" t="inlineStr">
        <is>
          <t>9/16-18</t>
        </is>
      </c>
      <c r="I92" s="37" t="n"/>
      <c r="J92" s="37" t="inlineStr">
        <is>
          <t>SAE J1926-3</t>
        </is>
      </c>
      <c r="K92" s="37" t="inlineStr">
        <is>
          <t>SAE J514-1</t>
        </is>
      </c>
      <c r="L92" s="37" t="n">
        <v>1.08</v>
      </c>
      <c r="M92" s="37" t="n">
        <v>1.09</v>
      </c>
      <c r="N92" s="37" t="n">
        <v>0.5600000000000001</v>
      </c>
      <c r="O92" s="37" t="n">
        <v>0.63</v>
      </c>
      <c r="P92" s="37" t="n">
        <v>0.3</v>
      </c>
      <c r="Q92" s="37" t="n">
        <v>0.17</v>
      </c>
      <c r="R92" s="44" t="n">
        <v>0.63</v>
      </c>
      <c r="S92" s="44" t="n">
        <v>0.5600000000000001</v>
      </c>
      <c r="T92" s="37" t="n">
        <v>90</v>
      </c>
      <c r="U92" s="37" t="inlineStr">
        <is>
          <t>ASSUMED</t>
        </is>
      </c>
      <c r="V92" s="37" t="inlineStr">
        <is>
          <t>MS51527 covers matched-dash sizes only; Air-Way remains single source.</t>
        </is>
      </c>
      <c r="W92" s="37" t="inlineStr">
        <is>
          <t>BUILD</t>
        </is>
      </c>
      <c r="X92" s="37" t="inlineStr">
        <is>
          <t>Hex = Air-Way C4 column (per-part). Matched sizes in this topology corroborate the column.</t>
        </is>
      </c>
      <c r="Z92" s="45" t="inlineStr">
        <is>
          <t>Carbon Steel</t>
        </is>
      </c>
      <c r="AA92" s="45" t="inlineStr">
        <is>
          <t>ASTM A108 12L14</t>
        </is>
      </c>
      <c r="AB92" s="45" t="inlineStr">
        <is>
          <t>Trivalent Cr3 Zinc</t>
        </is>
      </c>
      <c r="AC92" s="45" t="inlineStr">
        <is>
          <t>ASTM B633 Type V/VI</t>
        </is>
      </c>
      <c r="AD92" s="46" t="n">
        <v>5000</v>
      </c>
      <c r="AE92" s="46" t="inlineStr">
        <is>
          <t>generic SAE table @ dash -6 (governing end)</t>
        </is>
      </c>
      <c r="AF92" s="46" t="n">
        <v>-65</v>
      </c>
      <c r="AG92" s="46" t="n">
        <v>400</v>
      </c>
      <c r="AH92" s="37" t="inlineStr">
        <is>
          <t>Ham-Let + hoseandfittings (pressure); Parker Cat.4300 (material); ASTM B633 (finish); see StandardsData</t>
        </is>
      </c>
    </row>
    <row r="93" ht="15" customHeight="1" s="35">
      <c r="A93" s="37" t="inlineStr">
        <is>
          <t>6801-06-05-NWO-FG</t>
        </is>
      </c>
      <c r="B93" s="37" t="inlineStr">
        <is>
          <t>6801-6-5 NWO-FG</t>
        </is>
      </c>
      <c r="C93" s="37" t="inlineStr">
        <is>
          <t>6801</t>
        </is>
      </c>
      <c r="D93" s="37" t="n">
        <v>134</v>
      </c>
      <c r="E93" s="37" t="inlineStr">
        <is>
          <t>90 deg</t>
        </is>
      </c>
      <c r="F93" s="37" t="inlineStr">
        <is>
          <t>90 deg Straight Thread Elbow, 9/16-18 x 1/2-20</t>
        </is>
      </c>
      <c r="G93" s="37" t="inlineStr">
        <is>
          <t>1/2-20</t>
        </is>
      </c>
      <c r="H93" s="37" t="inlineStr">
        <is>
          <t>9/16-18</t>
        </is>
      </c>
      <c r="I93" s="37" t="n"/>
      <c r="J93" s="37" t="inlineStr">
        <is>
          <t>SAE J1926-3</t>
        </is>
      </c>
      <c r="K93" s="37" t="inlineStr">
        <is>
          <t>SAE J514-1</t>
        </is>
      </c>
      <c r="L93" s="37" t="n">
        <v>1.06</v>
      </c>
      <c r="M93" s="37" t="n">
        <v>1.19</v>
      </c>
      <c r="N93" s="37" t="n">
        <v>0.63</v>
      </c>
      <c r="O93" s="37" t="n">
        <v>0.5600000000000001</v>
      </c>
      <c r="P93" s="37" t="n">
        <v>0.3</v>
      </c>
      <c r="Q93" s="37" t="n">
        <v>0.23</v>
      </c>
      <c r="R93" s="44" t="n">
        <v>0.5600000000000001</v>
      </c>
      <c r="S93" s="44" t="n">
        <v>0.63</v>
      </c>
      <c r="T93" s="37" t="n">
        <v>90</v>
      </c>
      <c r="U93" s="37" t="inlineStr">
        <is>
          <t>ASSUMED</t>
        </is>
      </c>
      <c r="V93" s="37" t="inlineStr">
        <is>
          <t>MS51527 covers matched-dash sizes only; Air-Way remains single source.</t>
        </is>
      </c>
      <c r="W93" s="37" t="inlineStr">
        <is>
          <t>BUILD</t>
        </is>
      </c>
      <c r="X93" s="37" t="inlineStr">
        <is>
          <t>Hex = Air-Way C4 column (per-part). Matched sizes in this topology corroborate the column.</t>
        </is>
      </c>
      <c r="Z93" s="45" t="inlineStr">
        <is>
          <t>Carbon Steel</t>
        </is>
      </c>
      <c r="AA93" s="45" t="inlineStr">
        <is>
          <t>ASTM A108 12L14</t>
        </is>
      </c>
      <c r="AB93" s="45" t="inlineStr">
        <is>
          <t>Trivalent Cr3 Zinc</t>
        </is>
      </c>
      <c r="AC93" s="45" t="inlineStr">
        <is>
          <t>ASTM B633 Type V/VI</t>
        </is>
      </c>
      <c r="AD93" s="46" t="n">
        <v>5000</v>
      </c>
      <c r="AE93" s="46" t="inlineStr">
        <is>
          <t>generic SAE table @ dash -6 (governing end)</t>
        </is>
      </c>
      <c r="AF93" s="46" t="n">
        <v>-65</v>
      </c>
      <c r="AG93" s="46" t="n">
        <v>400</v>
      </c>
      <c r="AH93" s="37" t="inlineStr">
        <is>
          <t>Ham-Let + hoseandfittings (pressure); Parker Cat.4300 (material); ASTM B633 (finish); see StandardsData</t>
        </is>
      </c>
    </row>
    <row r="94" ht="15" customHeight="1" s="35">
      <c r="A94" s="37" t="inlineStr">
        <is>
          <t>6801-06-05-NWO</t>
        </is>
      </c>
      <c r="B94" s="37" t="inlineStr">
        <is>
          <t>6801-6-5 NWO</t>
        </is>
      </c>
      <c r="C94" s="37" t="inlineStr">
        <is>
          <t>6801</t>
        </is>
      </c>
      <c r="D94" s="37" t="n">
        <v>134</v>
      </c>
      <c r="E94" s="37" t="inlineStr">
        <is>
          <t>90 deg</t>
        </is>
      </c>
      <c r="F94" s="37" t="inlineStr">
        <is>
          <t>90 deg Straight Thread Elbow, 9/16-18 x 1/2-20</t>
        </is>
      </c>
      <c r="G94" s="37" t="inlineStr">
        <is>
          <t>1/2-20</t>
        </is>
      </c>
      <c r="H94" s="37" t="inlineStr">
        <is>
          <t>9/16-18</t>
        </is>
      </c>
      <c r="I94" s="37" t="n"/>
      <c r="J94" s="37" t="inlineStr">
        <is>
          <t>SAE J1926-3</t>
        </is>
      </c>
      <c r="K94" s="37" t="inlineStr">
        <is>
          <t>SAE J514-1</t>
        </is>
      </c>
      <c r="L94" s="37" t="n">
        <v>1.08</v>
      </c>
      <c r="M94" s="37" t="n">
        <v>1.16</v>
      </c>
      <c r="N94" s="37" t="n">
        <v>0.63</v>
      </c>
      <c r="O94" s="37" t="n">
        <v>0.63</v>
      </c>
      <c r="P94" s="37" t="n">
        <v>0.3</v>
      </c>
      <c r="Q94" s="37" t="n">
        <v>0.23</v>
      </c>
      <c r="R94" s="44" t="n">
        <v>0.63</v>
      </c>
      <c r="S94" s="44" t="n">
        <v>0.63</v>
      </c>
      <c r="T94" s="37" t="n">
        <v>90</v>
      </c>
      <c r="U94" s="37" t="inlineStr">
        <is>
          <t>ASSUMED</t>
        </is>
      </c>
      <c r="V94" s="37" t="inlineStr">
        <is>
          <t>MS51527 covers matched-dash sizes only; Air-Way remains single source.</t>
        </is>
      </c>
      <c r="W94" s="37" t="inlineStr">
        <is>
          <t>BUILD</t>
        </is>
      </c>
      <c r="X94" s="37" t="inlineStr">
        <is>
          <t>Hex = Air-Way C4 column (per-part). Matched sizes in this topology corroborate the column.</t>
        </is>
      </c>
      <c r="Z94" s="45" t="inlineStr">
        <is>
          <t>Carbon Steel</t>
        </is>
      </c>
      <c r="AA94" s="45" t="inlineStr">
        <is>
          <t>ASTM A108 12L14</t>
        </is>
      </c>
      <c r="AB94" s="45" t="inlineStr">
        <is>
          <t>Trivalent Cr3 Zinc</t>
        </is>
      </c>
      <c r="AC94" s="45" t="inlineStr">
        <is>
          <t>ASTM B633 Type V/VI</t>
        </is>
      </c>
      <c r="AD94" s="46" t="n">
        <v>5000</v>
      </c>
      <c r="AE94" s="46" t="inlineStr">
        <is>
          <t>generic SAE table @ dash -6 (governing end)</t>
        </is>
      </c>
      <c r="AF94" s="46" t="n">
        <v>-65</v>
      </c>
      <c r="AG94" s="46" t="n">
        <v>400</v>
      </c>
      <c r="AH94" s="37" t="inlineStr">
        <is>
          <t>Ham-Let + hoseandfittings (pressure); Parker Cat.4300 (material); ASTM B633 (finish); see StandardsData</t>
        </is>
      </c>
    </row>
    <row r="95" ht="15" customHeight="1" s="35">
      <c r="A95" s="37" t="inlineStr">
        <is>
          <t>6801-06-06-NWO-FG</t>
        </is>
      </c>
      <c r="B95" s="37" t="inlineStr">
        <is>
          <t>6801-6-6 NWO-FG</t>
        </is>
      </c>
      <c r="C95" s="37" t="inlineStr">
        <is>
          <t>6801</t>
        </is>
      </c>
      <c r="D95" s="37" t="n">
        <v>134</v>
      </c>
      <c r="E95" s="37" t="inlineStr">
        <is>
          <t>90 deg</t>
        </is>
      </c>
      <c r="F95" s="37" t="inlineStr">
        <is>
          <t>90 deg Straight Thread Elbow, 9/16-18 x 9/16-18</t>
        </is>
      </c>
      <c r="G95" s="37" t="inlineStr">
        <is>
          <t>9/16-18</t>
        </is>
      </c>
      <c r="H95" s="37" t="inlineStr">
        <is>
          <t>9/16-18</t>
        </is>
      </c>
      <c r="I95" s="37" t="n"/>
      <c r="J95" s="37" t="inlineStr">
        <is>
          <t>SAE J1926-3</t>
        </is>
      </c>
      <c r="K95" s="37" t="inlineStr">
        <is>
          <t>SAE J514-1</t>
        </is>
      </c>
      <c r="L95" s="37" t="n">
        <v>1.06</v>
      </c>
      <c r="M95" s="37" t="n">
        <v>1.25</v>
      </c>
      <c r="N95" s="37" t="n">
        <v>0.6899999999999999</v>
      </c>
      <c r="O95" s="37" t="n">
        <v>0.5600000000000001</v>
      </c>
      <c r="P95" s="37" t="n">
        <v>0.3</v>
      </c>
      <c r="Q95" s="37" t="n">
        <v>0.3</v>
      </c>
      <c r="R95" s="45" t="n">
        <v>0.5600000000000001</v>
      </c>
      <c r="S95" s="45" t="n">
        <v>0.6899999999999999</v>
      </c>
      <c r="T95" s="37" t="n">
        <v>90</v>
      </c>
      <c r="U95" s="37" t="inlineStr">
        <is>
          <t>VERIFIED</t>
        </is>
      </c>
      <c r="V95" s="37" t="inlineStr">
        <is>
          <t>MS51527 cross-check 2026-09-04: threads, both legs, both bores AGREE.</t>
        </is>
      </c>
      <c r="W95" s="37" t="inlineStr">
        <is>
          <t>BUILD</t>
        </is>
      </c>
      <c r="X95" s="37" t="inlineStr">
        <is>
          <t>Hex = Air-Way C4 column, CONFIRMED vs PressureConnections/Purvis.</t>
        </is>
      </c>
      <c r="Z95" s="45" t="inlineStr">
        <is>
          <t>Carbon Steel</t>
        </is>
      </c>
      <c r="AA95" s="45" t="inlineStr">
        <is>
          <t>ASTM A108 12L14</t>
        </is>
      </c>
      <c r="AB95" s="45" t="inlineStr">
        <is>
          <t>Trivalent Cr3 Zinc</t>
        </is>
      </c>
      <c r="AC95" s="45" t="inlineStr">
        <is>
          <t>ASTM B633 Type V/VI</t>
        </is>
      </c>
      <c r="AD95" s="46" t="n">
        <v>5000</v>
      </c>
      <c r="AE95" s="46" t="inlineStr">
        <is>
          <t>generic SAE table @ dash -6 (governing end)</t>
        </is>
      </c>
      <c r="AF95" s="46" t="n">
        <v>-65</v>
      </c>
      <c r="AG95" s="46" t="n">
        <v>400</v>
      </c>
      <c r="AH95" s="37" t="inlineStr">
        <is>
          <t>Ham-Let + hoseandfittings (pressure); Parker Cat.4300 (material); ASTM B633 (finish); see StandardsData</t>
        </is>
      </c>
    </row>
    <row r="96" ht="15" customHeight="1" s="35">
      <c r="A96" s="37" t="inlineStr">
        <is>
          <t>6801-06-06-NWO</t>
        </is>
      </c>
      <c r="B96" s="37" t="inlineStr">
        <is>
          <t>6801-6-6 NWO</t>
        </is>
      </c>
      <c r="C96" s="37" t="inlineStr">
        <is>
          <t>6801</t>
        </is>
      </c>
      <c r="D96" s="37" t="n">
        <v>134</v>
      </c>
      <c r="E96" s="37" t="inlineStr">
        <is>
          <t>90 deg</t>
        </is>
      </c>
      <c r="F96" s="37" t="inlineStr">
        <is>
          <t>90 deg Straight Thread Elbow, 9/16-18 x 9/16-18</t>
        </is>
      </c>
      <c r="G96" s="37" t="inlineStr">
        <is>
          <t>9/16-18</t>
        </is>
      </c>
      <c r="H96" s="37" t="inlineStr">
        <is>
          <t>9/16-18</t>
        </is>
      </c>
      <c r="I96" s="37" t="n"/>
      <c r="J96" s="37" t="inlineStr">
        <is>
          <t>SAE J1926-3</t>
        </is>
      </c>
      <c r="K96" s="37" t="inlineStr">
        <is>
          <t>SAE J514-1</t>
        </is>
      </c>
      <c r="L96" s="37" t="n">
        <v>1.06</v>
      </c>
      <c r="M96" s="37" t="n">
        <v>1.25</v>
      </c>
      <c r="N96" s="37" t="n">
        <v>0.6899999999999999</v>
      </c>
      <c r="O96" s="37" t="n">
        <v>0.63</v>
      </c>
      <c r="P96" s="37" t="n">
        <v>0.3</v>
      </c>
      <c r="Q96" s="37" t="n">
        <v>0.3</v>
      </c>
      <c r="R96" s="45" t="n">
        <v>0.63</v>
      </c>
      <c r="S96" s="45" t="n">
        <v>0.6899999999999999</v>
      </c>
      <c r="T96" s="37" t="n">
        <v>90</v>
      </c>
      <c r="U96" s="37" t="inlineStr">
        <is>
          <t>VERIFIED</t>
        </is>
      </c>
      <c r="V96" s="37" t="inlineStr">
        <is>
          <t>MS51527 cross-check 2026-09-04: threads, both legs, both bores AGREE.</t>
        </is>
      </c>
      <c r="W96" s="37" t="inlineStr">
        <is>
          <t>BUILD</t>
        </is>
      </c>
      <c r="X96" s="37" t="inlineStr">
        <is>
          <t>Hex = Air-Way C4 column, CONFIRMED vs PressureConnections/Purvis.</t>
        </is>
      </c>
      <c r="Z96" s="45" t="inlineStr">
        <is>
          <t>Carbon Steel</t>
        </is>
      </c>
      <c r="AA96" s="45" t="inlineStr">
        <is>
          <t>ASTM A108 12L14</t>
        </is>
      </c>
      <c r="AB96" s="45" t="inlineStr">
        <is>
          <t>Trivalent Cr3 Zinc</t>
        </is>
      </c>
      <c r="AC96" s="45" t="inlineStr">
        <is>
          <t>ASTM B633 Type V/VI</t>
        </is>
      </c>
      <c r="AD96" s="46" t="n">
        <v>5000</v>
      </c>
      <c r="AE96" s="46" t="inlineStr">
        <is>
          <t>generic SAE table @ dash -6 (governing end)</t>
        </is>
      </c>
      <c r="AF96" s="46" t="n">
        <v>-65</v>
      </c>
      <c r="AG96" s="46" t="n">
        <v>400</v>
      </c>
      <c r="AH96" s="37" t="inlineStr">
        <is>
          <t>Ham-Let + hoseandfittings (pressure); Parker Cat.4300 (material); ASTM B633 (finish); see StandardsData</t>
        </is>
      </c>
    </row>
    <row r="97" ht="15" customHeight="1" s="35">
      <c r="A97" s="37" t="inlineStr">
        <is>
          <t>6801-06-08-NWO-FG</t>
        </is>
      </c>
      <c r="B97" s="37" t="inlineStr">
        <is>
          <t>6801-6-8 NWO-FG</t>
        </is>
      </c>
      <c r="C97" s="37" t="inlineStr">
        <is>
          <t>6801</t>
        </is>
      </c>
      <c r="D97" s="37" t="n">
        <v>134</v>
      </c>
      <c r="E97" s="37" t="inlineStr">
        <is>
          <t>90 deg</t>
        </is>
      </c>
      <c r="F97" s="37" t="inlineStr">
        <is>
          <t>90 deg Straight Thread Elbow, 9/16-18 x 3/4-16</t>
        </is>
      </c>
      <c r="G97" s="37" t="inlineStr">
        <is>
          <t>3/4-16</t>
        </is>
      </c>
      <c r="H97" s="37" t="inlineStr">
        <is>
          <t>9/16-18</t>
        </is>
      </c>
      <c r="I97" s="37" t="n"/>
      <c r="J97" s="37" t="inlineStr">
        <is>
          <t>SAE J1926-3</t>
        </is>
      </c>
      <c r="K97" s="37" t="inlineStr">
        <is>
          <t>SAE J514-1</t>
        </is>
      </c>
      <c r="L97" s="37" t="n">
        <v>1.14</v>
      </c>
      <c r="M97" s="37" t="n">
        <v>1.45</v>
      </c>
      <c r="N97" s="37" t="n">
        <v>0.88</v>
      </c>
      <c r="O97" s="37" t="n">
        <v>0.75</v>
      </c>
      <c r="P97" s="37" t="n">
        <v>0.3</v>
      </c>
      <c r="Q97" s="37" t="n">
        <v>0.39</v>
      </c>
      <c r="R97" s="44" t="n">
        <v>0.75</v>
      </c>
      <c r="S97" s="44" t="n">
        <v>0.88</v>
      </c>
      <c r="T97" s="37" t="n">
        <v>90</v>
      </c>
      <c r="U97" s="37" t="inlineStr">
        <is>
          <t>ASSUMED</t>
        </is>
      </c>
      <c r="V97" s="37" t="inlineStr">
        <is>
          <t>MS51527 covers matched-dash sizes only; Air-Way remains single source.</t>
        </is>
      </c>
      <c r="W97" s="37" t="inlineStr">
        <is>
          <t>BUILD</t>
        </is>
      </c>
      <c r="X97" s="37" t="inlineStr">
        <is>
          <t>Hex = Air-Way C4 column (per-part). Matched sizes in this topology corroborate the column.</t>
        </is>
      </c>
      <c r="Z97" s="45" t="inlineStr">
        <is>
          <t>Carbon Steel</t>
        </is>
      </c>
      <c r="AA97" s="45" t="inlineStr">
        <is>
          <t>ASTM A108 12L14</t>
        </is>
      </c>
      <c r="AB97" s="45" t="inlineStr">
        <is>
          <t>Trivalent Cr3 Zinc</t>
        </is>
      </c>
      <c r="AC97" s="45" t="inlineStr">
        <is>
          <t>ASTM B633 Type V/VI</t>
        </is>
      </c>
      <c r="AD97" s="46" t="n">
        <v>4500</v>
      </c>
      <c r="AE97" s="46" t="inlineStr">
        <is>
          <t>generic SAE table @ dash -8 (governing end)</t>
        </is>
      </c>
      <c r="AF97" s="46" t="n">
        <v>-65</v>
      </c>
      <c r="AG97" s="46" t="n">
        <v>400</v>
      </c>
      <c r="AH97" s="37" t="inlineStr">
        <is>
          <t>Ham-Let + hoseandfittings (pressure); Parker Cat.4300 (material); ASTM B633 (finish); see StandardsData</t>
        </is>
      </c>
    </row>
    <row r="98" ht="15" customHeight="1" s="35">
      <c r="A98" s="37" t="inlineStr">
        <is>
          <t>6801-06-08-NWO</t>
        </is>
      </c>
      <c r="B98" s="37" t="inlineStr">
        <is>
          <t>6801-6-8 NWO</t>
        </is>
      </c>
      <c r="C98" s="37" t="inlineStr">
        <is>
          <t>6801</t>
        </is>
      </c>
      <c r="D98" s="37" t="n">
        <v>134</v>
      </c>
      <c r="E98" s="37" t="inlineStr">
        <is>
          <t>90 deg</t>
        </is>
      </c>
      <c r="F98" s="37" t="inlineStr">
        <is>
          <t>90 deg Straight Thread Elbow, 9/16-18 x 3/4-16</t>
        </is>
      </c>
      <c r="G98" s="37" t="inlineStr">
        <is>
          <t>3/4-16</t>
        </is>
      </c>
      <c r="H98" s="37" t="inlineStr">
        <is>
          <t>9/16-18</t>
        </is>
      </c>
      <c r="I98" s="37" t="n"/>
      <c r="J98" s="37" t="inlineStr">
        <is>
          <t>SAE J1926-3</t>
        </is>
      </c>
      <c r="K98" s="37" t="inlineStr">
        <is>
          <t>SAE J514-1</t>
        </is>
      </c>
      <c r="L98" s="37" t="n">
        <v>1.15</v>
      </c>
      <c r="M98" s="37" t="n">
        <v>1.45</v>
      </c>
      <c r="N98" s="37" t="n">
        <v>0.88</v>
      </c>
      <c r="O98" s="37" t="n">
        <v>0.8100000000000001</v>
      </c>
      <c r="P98" s="37" t="n">
        <v>0.3</v>
      </c>
      <c r="Q98" s="37" t="n">
        <v>0.39</v>
      </c>
      <c r="R98" s="44" t="n">
        <v>0.8100000000000001</v>
      </c>
      <c r="S98" s="44" t="n">
        <v>0.88</v>
      </c>
      <c r="T98" s="37" t="n">
        <v>90</v>
      </c>
      <c r="U98" s="37" t="inlineStr">
        <is>
          <t>ASSUMED</t>
        </is>
      </c>
      <c r="V98" s="37" t="inlineStr">
        <is>
          <t>MS51527 covers matched-dash sizes only; Air-Way remains single source.</t>
        </is>
      </c>
      <c r="W98" s="37" t="inlineStr">
        <is>
          <t>BUILD</t>
        </is>
      </c>
      <c r="X98" s="37" t="inlineStr">
        <is>
          <t>Hex = Air-Way C4 column (per-part). Matched sizes in this topology corroborate the column.</t>
        </is>
      </c>
      <c r="Z98" s="45" t="inlineStr">
        <is>
          <t>Carbon Steel</t>
        </is>
      </c>
      <c r="AA98" s="45" t="inlineStr">
        <is>
          <t>ASTM A108 12L14</t>
        </is>
      </c>
      <c r="AB98" s="45" t="inlineStr">
        <is>
          <t>Trivalent Cr3 Zinc</t>
        </is>
      </c>
      <c r="AC98" s="45" t="inlineStr">
        <is>
          <t>ASTM B633 Type V/VI</t>
        </is>
      </c>
      <c r="AD98" s="46" t="n">
        <v>4500</v>
      </c>
      <c r="AE98" s="46" t="inlineStr">
        <is>
          <t>generic SAE table @ dash -8 (governing end)</t>
        </is>
      </c>
      <c r="AF98" s="46" t="n">
        <v>-65</v>
      </c>
      <c r="AG98" s="46" t="n">
        <v>400</v>
      </c>
      <c r="AH98" s="37" t="inlineStr">
        <is>
          <t>Ham-Let + hoseandfittings (pressure); Parker Cat.4300 (material); ASTM B633 (finish); see StandardsData</t>
        </is>
      </c>
    </row>
    <row r="99" ht="15" customHeight="1" s="35">
      <c r="A99" s="37" t="inlineStr">
        <is>
          <t>6801-06-10-NWO-FG</t>
        </is>
      </c>
      <c r="B99" s="37" t="inlineStr">
        <is>
          <t>6801-6-10 NWO-FG</t>
        </is>
      </c>
      <c r="C99" s="37" t="inlineStr">
        <is>
          <t>6801</t>
        </is>
      </c>
      <c r="D99" s="37" t="n">
        <v>134</v>
      </c>
      <c r="E99" s="37" t="inlineStr">
        <is>
          <t>90 deg</t>
        </is>
      </c>
      <c r="F99" s="37" t="inlineStr">
        <is>
          <t>90 deg Straight Thread Elbow, 9/16-18 x 7/8-14</t>
        </is>
      </c>
      <c r="G99" s="37" t="inlineStr">
        <is>
          <t>7/8-14</t>
        </is>
      </c>
      <c r="H99" s="37" t="inlineStr">
        <is>
          <t>9/16-18</t>
        </is>
      </c>
      <c r="I99" s="37" t="n"/>
      <c r="J99" s="37" t="inlineStr">
        <is>
          <t>SAE J1926-3</t>
        </is>
      </c>
      <c r="K99" s="37" t="inlineStr">
        <is>
          <t>SAE J514-1</t>
        </is>
      </c>
      <c r="L99" s="37" t="n">
        <v>1.22</v>
      </c>
      <c r="M99" s="37" t="n">
        <v>1.7</v>
      </c>
      <c r="N99" s="37" t="n">
        <v>1</v>
      </c>
      <c r="O99" s="37" t="n">
        <v>0.88</v>
      </c>
      <c r="P99" s="37" t="n">
        <v>0.3</v>
      </c>
      <c r="Q99" s="37" t="n">
        <v>0.48</v>
      </c>
      <c r="R99" s="44" t="n">
        <v>0.88</v>
      </c>
      <c r="S99" s="44" t="n">
        <v>1</v>
      </c>
      <c r="T99" s="37" t="n">
        <v>90</v>
      </c>
      <c r="U99" s="37" t="inlineStr">
        <is>
          <t>ASSUMED</t>
        </is>
      </c>
      <c r="V99" s="37" t="inlineStr">
        <is>
          <t>MS51527 covers matched-dash sizes only; Air-Way remains single source.</t>
        </is>
      </c>
      <c r="W99" s="37" t="inlineStr">
        <is>
          <t>BUILD</t>
        </is>
      </c>
      <c r="X99" s="37" t="inlineStr">
        <is>
          <t>Hex = Air-Way C4 column (per-part). Matched sizes in this topology corroborate the column.</t>
        </is>
      </c>
      <c r="Z99" s="45" t="inlineStr">
        <is>
          <t>Carbon Steel</t>
        </is>
      </c>
      <c r="AA99" s="45" t="inlineStr">
        <is>
          <t>ASTM A108 12L14</t>
        </is>
      </c>
      <c r="AB99" s="45" t="inlineStr">
        <is>
          <t>Trivalent Cr3 Zinc</t>
        </is>
      </c>
      <c r="AC99" s="45" t="inlineStr">
        <is>
          <t>ASTM B633 Type V/VI</t>
        </is>
      </c>
      <c r="AD99" s="46" t="n">
        <v>3500</v>
      </c>
      <c r="AE99" s="46" t="inlineStr">
        <is>
          <t>generic SAE table @ dash -10 (governing end)</t>
        </is>
      </c>
      <c r="AF99" s="46" t="n">
        <v>-65</v>
      </c>
      <c r="AG99" s="46" t="n">
        <v>400</v>
      </c>
      <c r="AH99" s="37" t="inlineStr">
        <is>
          <t>Ham-Let + hoseandfittings (pressure); Parker Cat.4300 (material); ASTM B633 (finish); see StandardsData</t>
        </is>
      </c>
    </row>
    <row r="100" ht="15" customHeight="1" s="35">
      <c r="A100" s="37" t="inlineStr">
        <is>
          <t>6801-06-10-NWO</t>
        </is>
      </c>
      <c r="B100" s="37" t="inlineStr">
        <is>
          <t>6801-6-10 NWO</t>
        </is>
      </c>
      <c r="C100" s="37" t="inlineStr">
        <is>
          <t>6801</t>
        </is>
      </c>
      <c r="D100" s="37" t="n">
        <v>134</v>
      </c>
      <c r="E100" s="37" t="inlineStr">
        <is>
          <t>90 deg</t>
        </is>
      </c>
      <c r="F100" s="37" t="inlineStr">
        <is>
          <t>90 deg Straight Thread Elbow, 9/16-18 x 7/8-14</t>
        </is>
      </c>
      <c r="G100" s="37" t="inlineStr">
        <is>
          <t>7/8-14</t>
        </is>
      </c>
      <c r="H100" s="37" t="inlineStr">
        <is>
          <t>9/16-18</t>
        </is>
      </c>
      <c r="I100" s="37" t="n"/>
      <c r="J100" s="37" t="inlineStr">
        <is>
          <t>SAE J1926-3</t>
        </is>
      </c>
      <c r="K100" s="37" t="inlineStr">
        <is>
          <t>SAE J514-1</t>
        </is>
      </c>
      <c r="L100" s="37" t="n">
        <v>1.22</v>
      </c>
      <c r="M100" s="37" t="n">
        <v>1.7</v>
      </c>
      <c r="N100" s="37" t="n">
        <v>1</v>
      </c>
      <c r="O100" s="37" t="n">
        <v>0.9399999999999999</v>
      </c>
      <c r="P100" s="37" t="n">
        <v>0.3</v>
      </c>
      <c r="Q100" s="37" t="n">
        <v>0.48</v>
      </c>
      <c r="R100" s="44" t="n">
        <v>0.9399999999999999</v>
      </c>
      <c r="S100" s="44" t="n">
        <v>1</v>
      </c>
      <c r="T100" s="37" t="n">
        <v>90</v>
      </c>
      <c r="U100" s="37" t="inlineStr">
        <is>
          <t>ASSUMED</t>
        </is>
      </c>
      <c r="V100" s="37" t="inlineStr">
        <is>
          <t>MS51527 covers matched-dash sizes only; Air-Way remains single source.</t>
        </is>
      </c>
      <c r="W100" s="37" t="inlineStr">
        <is>
          <t>BUILD</t>
        </is>
      </c>
      <c r="X100" s="37" t="inlineStr">
        <is>
          <t>Hex = Air-Way C4 column (per-part). Matched sizes in this topology corroborate the column.</t>
        </is>
      </c>
      <c r="Z100" s="45" t="inlineStr">
        <is>
          <t>Carbon Steel</t>
        </is>
      </c>
      <c r="AA100" s="45" t="inlineStr">
        <is>
          <t>ASTM A108 12L14</t>
        </is>
      </c>
      <c r="AB100" s="45" t="inlineStr">
        <is>
          <t>Trivalent Cr3 Zinc</t>
        </is>
      </c>
      <c r="AC100" s="45" t="inlineStr">
        <is>
          <t>ASTM B633 Type V/VI</t>
        </is>
      </c>
      <c r="AD100" s="46" t="n">
        <v>3500</v>
      </c>
      <c r="AE100" s="46" t="inlineStr">
        <is>
          <t>generic SAE table @ dash -10 (governing end)</t>
        </is>
      </c>
      <c r="AF100" s="46" t="n">
        <v>-65</v>
      </c>
      <c r="AG100" s="46" t="n">
        <v>400</v>
      </c>
      <c r="AH100" s="37" t="inlineStr">
        <is>
          <t>Ham-Let + hoseandfittings (pressure); Parker Cat.4300 (material); ASTM B633 (finish); see StandardsData</t>
        </is>
      </c>
    </row>
    <row r="101" ht="15" customHeight="1" s="35">
      <c r="A101" s="37" t="inlineStr">
        <is>
          <t>6801-06-12-NWO-FG</t>
        </is>
      </c>
      <c r="B101" s="37" t="inlineStr">
        <is>
          <t>6801-6-12 NWO-FG</t>
        </is>
      </c>
      <c r="C101" s="37" t="inlineStr">
        <is>
          <t>6801</t>
        </is>
      </c>
      <c r="D101" s="37" t="n">
        <v>134</v>
      </c>
      <c r="E101" s="37" t="inlineStr">
        <is>
          <t>90 deg</t>
        </is>
      </c>
      <c r="F101" s="37" t="inlineStr">
        <is>
          <t>90 deg Straight Thread Elbow, 9/16-18 x 1 1/16-12</t>
        </is>
      </c>
      <c r="G101" s="37" t="inlineStr">
        <is>
          <t>1 1/16-12</t>
        </is>
      </c>
      <c r="H101" s="37" t="inlineStr">
        <is>
          <t>9/16-18</t>
        </is>
      </c>
      <c r="I101" s="37" t="n"/>
      <c r="J101" s="37" t="inlineStr">
        <is>
          <t>SAE J1926-3</t>
        </is>
      </c>
      <c r="K101" s="37" t="inlineStr">
        <is>
          <t>SAE J514-1</t>
        </is>
      </c>
      <c r="L101" s="37" t="n">
        <v>1.31</v>
      </c>
      <c r="M101" s="37" t="n">
        <v>1.94</v>
      </c>
      <c r="N101" s="37" t="n">
        <v>1.25</v>
      </c>
      <c r="O101" s="37" t="n">
        <v>1.06</v>
      </c>
      <c r="P101" s="37" t="n">
        <v>0.3</v>
      </c>
      <c r="Q101" s="37" t="n">
        <v>0.61</v>
      </c>
      <c r="R101" s="44" t="n">
        <v>1.06</v>
      </c>
      <c r="S101" s="44" t="n">
        <v>1.25</v>
      </c>
      <c r="T101" s="37" t="n">
        <v>90</v>
      </c>
      <c r="U101" s="37" t="inlineStr">
        <is>
          <t>ASSUMED</t>
        </is>
      </c>
      <c r="V101" s="37" t="inlineStr">
        <is>
          <t>MS51527 covers matched-dash sizes only; Air-Way remains single source.</t>
        </is>
      </c>
      <c r="W101" s="37" t="inlineStr">
        <is>
          <t>BUILD</t>
        </is>
      </c>
      <c r="X101" s="37" t="inlineStr">
        <is>
          <t>Hex = Air-Way C4 column (per-part). Matched sizes in this topology corroborate the column.</t>
        </is>
      </c>
      <c r="Z101" s="45" t="inlineStr">
        <is>
          <t>Carbon Steel</t>
        </is>
      </c>
      <c r="AA101" s="45" t="inlineStr">
        <is>
          <t>ASTM A108 12L14</t>
        </is>
      </c>
      <c r="AB101" s="45" t="inlineStr">
        <is>
          <t>Trivalent Cr3 Zinc</t>
        </is>
      </c>
      <c r="AC101" s="45" t="inlineStr">
        <is>
          <t>ASTM B633 Type V/VI</t>
        </is>
      </c>
      <c r="AD101" s="46" t="n">
        <v>3500</v>
      </c>
      <c r="AE101" s="46" t="inlineStr">
        <is>
          <t>generic SAE table @ dash -12 (governing end)</t>
        </is>
      </c>
      <c r="AF101" s="46" t="n">
        <v>-65</v>
      </c>
      <c r="AG101" s="46" t="n">
        <v>400</v>
      </c>
      <c r="AH101" s="37" t="inlineStr">
        <is>
          <t>Ham-Let + hoseandfittings (pressure); Parker Cat.4300 (material); ASTM B633 (finish); see StandardsData</t>
        </is>
      </c>
    </row>
    <row r="102" ht="15" customHeight="1" s="35">
      <c r="A102" s="37" t="inlineStr">
        <is>
          <t>6801-06-12-NWO</t>
        </is>
      </c>
      <c r="B102" s="37" t="inlineStr">
        <is>
          <t>6801-6-12 NWO</t>
        </is>
      </c>
      <c r="C102" s="37" t="inlineStr">
        <is>
          <t>6801</t>
        </is>
      </c>
      <c r="D102" s="37" t="n">
        <v>134</v>
      </c>
      <c r="E102" s="37" t="inlineStr">
        <is>
          <t>90 deg</t>
        </is>
      </c>
      <c r="F102" s="37" t="inlineStr">
        <is>
          <t>90 deg Straight Thread Elbow, 9/16-18 x 1 1/16-12</t>
        </is>
      </c>
      <c r="G102" s="37" t="inlineStr">
        <is>
          <t>1 1/16-12</t>
        </is>
      </c>
      <c r="H102" s="37" t="inlineStr">
        <is>
          <t>9/16-18</t>
        </is>
      </c>
      <c r="I102" s="37" t="n"/>
      <c r="J102" s="37" t="inlineStr">
        <is>
          <t>SAE J1926-3</t>
        </is>
      </c>
      <c r="K102" s="37" t="inlineStr">
        <is>
          <t>SAE J514-1</t>
        </is>
      </c>
      <c r="L102" s="37" t="n">
        <v>1.31</v>
      </c>
      <c r="M102" s="37" t="n">
        <v>1.94</v>
      </c>
      <c r="N102" s="37" t="n">
        <v>1.25</v>
      </c>
      <c r="O102" s="37" t="n">
        <v>1.13</v>
      </c>
      <c r="P102" s="37" t="n">
        <v>0.3</v>
      </c>
      <c r="Q102" s="37" t="n">
        <v>0.61</v>
      </c>
      <c r="R102" s="44" t="n">
        <v>1.13</v>
      </c>
      <c r="S102" s="44" t="n">
        <v>1.25</v>
      </c>
      <c r="T102" s="37" t="n">
        <v>90</v>
      </c>
      <c r="U102" s="37" t="inlineStr">
        <is>
          <t>ASSUMED</t>
        </is>
      </c>
      <c r="V102" s="37" t="inlineStr">
        <is>
          <t>MS51527 covers matched-dash sizes only; Air-Way remains single source.</t>
        </is>
      </c>
      <c r="W102" s="37" t="inlineStr">
        <is>
          <t>BUILD</t>
        </is>
      </c>
      <c r="X102" s="37" t="inlineStr">
        <is>
          <t>Hex = Air-Way C4 column (per-part). Matched sizes in this topology corroborate the column.</t>
        </is>
      </c>
      <c r="Z102" s="45" t="inlineStr">
        <is>
          <t>Carbon Steel</t>
        </is>
      </c>
      <c r="AA102" s="45" t="inlineStr">
        <is>
          <t>ASTM A108 12L14</t>
        </is>
      </c>
      <c r="AB102" s="45" t="inlineStr">
        <is>
          <t>Trivalent Cr3 Zinc</t>
        </is>
      </c>
      <c r="AC102" s="45" t="inlineStr">
        <is>
          <t>ASTM B633 Type V/VI</t>
        </is>
      </c>
      <c r="AD102" s="46" t="n">
        <v>3500</v>
      </c>
      <c r="AE102" s="46" t="inlineStr">
        <is>
          <t>generic SAE table @ dash -12 (governing end)</t>
        </is>
      </c>
      <c r="AF102" s="46" t="n">
        <v>-65</v>
      </c>
      <c r="AG102" s="46" t="n">
        <v>400</v>
      </c>
      <c r="AH102" s="37" t="inlineStr">
        <is>
          <t>Ham-Let + hoseandfittings (pressure); Parker Cat.4300 (material); ASTM B633 (finish); see StandardsData</t>
        </is>
      </c>
    </row>
    <row r="103" ht="15" customHeight="1" s="35">
      <c r="A103" s="37" t="inlineStr">
        <is>
          <t>6801-08-04-NWO</t>
        </is>
      </c>
      <c r="B103" s="37" t="inlineStr">
        <is>
          <t>6801-8-4 NWO</t>
        </is>
      </c>
      <c r="C103" s="37" t="inlineStr">
        <is>
          <t>6801</t>
        </is>
      </c>
      <c r="D103" s="37" t="n">
        <v>134</v>
      </c>
      <c r="E103" s="37" t="inlineStr">
        <is>
          <t>90 deg</t>
        </is>
      </c>
      <c r="F103" s="37" t="inlineStr">
        <is>
          <t>90 deg Straight Thread Elbow, 3/4-16 x 7/16-20</t>
        </is>
      </c>
      <c r="G103" s="37" t="inlineStr">
        <is>
          <t>7/16-20</t>
        </is>
      </c>
      <c r="H103" s="37" t="inlineStr">
        <is>
          <t>3/4-16</t>
        </is>
      </c>
      <c r="I103" s="37" t="n"/>
      <c r="J103" s="37" t="inlineStr">
        <is>
          <t>SAE J1926-3</t>
        </is>
      </c>
      <c r="K103" s="37" t="inlineStr">
        <is>
          <t>SAE J514-1</t>
        </is>
      </c>
      <c r="L103" s="37" t="n">
        <v>1.25</v>
      </c>
      <c r="M103" s="37" t="n">
        <v>1.18</v>
      </c>
      <c r="N103" s="37" t="n">
        <v>0.5600000000000001</v>
      </c>
      <c r="O103" s="37" t="n">
        <v>0.8100000000000001</v>
      </c>
      <c r="P103" s="37" t="n">
        <v>0.39</v>
      </c>
      <c r="Q103" s="37" t="n">
        <v>0.17</v>
      </c>
      <c r="R103" s="44" t="n">
        <v>0.8100000000000001</v>
      </c>
      <c r="S103" s="44" t="n">
        <v>0.5600000000000001</v>
      </c>
      <c r="T103" s="37" t="n">
        <v>90</v>
      </c>
      <c r="U103" s="37" t="inlineStr">
        <is>
          <t>ASSUMED</t>
        </is>
      </c>
      <c r="V103" s="37" t="inlineStr">
        <is>
          <t>MS51527 covers matched-dash sizes only; Air-Way remains single source.</t>
        </is>
      </c>
      <c r="W103" s="37" t="inlineStr">
        <is>
          <t>BUILD</t>
        </is>
      </c>
      <c r="X103" s="37" t="inlineStr">
        <is>
          <t>Hex = Air-Way C4 column (per-part). Matched sizes in this topology corroborate the column.</t>
        </is>
      </c>
      <c r="Z103" s="45" t="inlineStr">
        <is>
          <t>Carbon Steel</t>
        </is>
      </c>
      <c r="AA103" s="45" t="inlineStr">
        <is>
          <t>ASTM A108 12L14</t>
        </is>
      </c>
      <c r="AB103" s="45" t="inlineStr">
        <is>
          <t>Trivalent Cr3 Zinc</t>
        </is>
      </c>
      <c r="AC103" s="45" t="inlineStr">
        <is>
          <t>ASTM B633 Type V/VI</t>
        </is>
      </c>
      <c r="AD103" s="46" t="n">
        <v>4500</v>
      </c>
      <c r="AE103" s="46" t="inlineStr">
        <is>
          <t>generic SAE table @ dash -8 (governing end)</t>
        </is>
      </c>
      <c r="AF103" s="46" t="n">
        <v>-65</v>
      </c>
      <c r="AG103" s="46" t="n">
        <v>400</v>
      </c>
      <c r="AH103" s="37" t="inlineStr">
        <is>
          <t>Ham-Let + hoseandfittings (pressure); Parker Cat.4300 (material); ASTM B633 (finish); see StandardsData</t>
        </is>
      </c>
    </row>
    <row r="104" ht="15" customHeight="1" s="35">
      <c r="A104" s="37" t="inlineStr">
        <is>
          <t>6801-08-05-NWO</t>
        </is>
      </c>
      <c r="B104" s="37" t="inlineStr">
        <is>
          <t>6801-8-5 NWO</t>
        </is>
      </c>
      <c r="C104" s="37" t="inlineStr">
        <is>
          <t>6801</t>
        </is>
      </c>
      <c r="D104" s="37" t="n">
        <v>134</v>
      </c>
      <c r="E104" s="37" t="inlineStr">
        <is>
          <t>90 deg</t>
        </is>
      </c>
      <c r="F104" s="37" t="inlineStr">
        <is>
          <t>90 deg Straight Thread Elbow, 3/4-16 x 1/2-20</t>
        </is>
      </c>
      <c r="G104" s="37" t="inlineStr">
        <is>
          <t>1/2-20</t>
        </is>
      </c>
      <c r="H104" s="37" t="inlineStr">
        <is>
          <t>3/4-16</t>
        </is>
      </c>
      <c r="I104" s="37" t="n"/>
      <c r="J104" s="37" t="inlineStr">
        <is>
          <t>SAE J1926-3</t>
        </is>
      </c>
      <c r="K104" s="37" t="inlineStr">
        <is>
          <t>SAE J514-1</t>
        </is>
      </c>
      <c r="L104" s="37" t="n">
        <v>1.25</v>
      </c>
      <c r="M104" s="37" t="n">
        <v>1.25</v>
      </c>
      <c r="N104" s="37" t="n">
        <v>0.63</v>
      </c>
      <c r="O104" s="37" t="n">
        <v>0.8100000000000001</v>
      </c>
      <c r="P104" s="37" t="n">
        <v>0.39</v>
      </c>
      <c r="Q104" s="37" t="n">
        <v>0.23</v>
      </c>
      <c r="R104" s="44" t="n">
        <v>0.8100000000000001</v>
      </c>
      <c r="S104" s="44" t="n">
        <v>0.63</v>
      </c>
      <c r="T104" s="37" t="n">
        <v>90</v>
      </c>
      <c r="U104" s="37" t="inlineStr">
        <is>
          <t>ASSUMED</t>
        </is>
      </c>
      <c r="V104" s="37" t="inlineStr">
        <is>
          <t>MS51527 covers matched-dash sizes only; Air-Way remains single source.</t>
        </is>
      </c>
      <c r="W104" s="37" t="inlineStr">
        <is>
          <t>BUILD</t>
        </is>
      </c>
      <c r="X104" s="37" t="inlineStr">
        <is>
          <t>Hex = Air-Way C4 column (per-part). Matched sizes in this topology corroborate the column.</t>
        </is>
      </c>
      <c r="Z104" s="45" t="inlineStr">
        <is>
          <t>Carbon Steel</t>
        </is>
      </c>
      <c r="AA104" s="45" t="inlineStr">
        <is>
          <t>ASTM A108 12L14</t>
        </is>
      </c>
      <c r="AB104" s="45" t="inlineStr">
        <is>
          <t>Trivalent Cr3 Zinc</t>
        </is>
      </c>
      <c r="AC104" s="45" t="inlineStr">
        <is>
          <t>ASTM B633 Type V/VI</t>
        </is>
      </c>
      <c r="AD104" s="46" t="n">
        <v>4500</v>
      </c>
      <c r="AE104" s="46" t="inlineStr">
        <is>
          <t>generic SAE table @ dash -8 (governing end)</t>
        </is>
      </c>
      <c r="AF104" s="46" t="n">
        <v>-65</v>
      </c>
      <c r="AG104" s="46" t="n">
        <v>400</v>
      </c>
      <c r="AH104" s="37" t="inlineStr">
        <is>
          <t>Ham-Let + hoseandfittings (pressure); Parker Cat.4300 (material); ASTM B633 (finish); see StandardsData</t>
        </is>
      </c>
    </row>
    <row r="105" ht="15" customHeight="1" s="35">
      <c r="A105" s="37" t="inlineStr">
        <is>
          <t>6801-08-06-NWO-FG</t>
        </is>
      </c>
      <c r="B105" s="37" t="inlineStr">
        <is>
          <t>6801-8-6 NWO-FG</t>
        </is>
      </c>
      <c r="C105" s="37" t="inlineStr">
        <is>
          <t>6801</t>
        </is>
      </c>
      <c r="D105" s="37" t="n">
        <v>134</v>
      </c>
      <c r="E105" s="37" t="inlineStr">
        <is>
          <t>90 deg</t>
        </is>
      </c>
      <c r="F105" s="37" t="inlineStr">
        <is>
          <t>90 deg Straight Thread Elbow, 3/4-16 x 9/16-18</t>
        </is>
      </c>
      <c r="G105" s="37" t="inlineStr">
        <is>
          <t>9/16-18</t>
        </is>
      </c>
      <c r="H105" s="37" t="inlineStr">
        <is>
          <t>3/4-16</t>
        </is>
      </c>
      <c r="I105" s="37" t="n"/>
      <c r="J105" s="37" t="inlineStr">
        <is>
          <t>SAE J1926-3</t>
        </is>
      </c>
      <c r="K105" s="37" t="inlineStr">
        <is>
          <t>SAE J514-1</t>
        </is>
      </c>
      <c r="L105" s="37" t="n">
        <v>1.25</v>
      </c>
      <c r="M105" s="37" t="n">
        <v>1.32</v>
      </c>
      <c r="N105" s="37" t="n">
        <v>0.6899999999999999</v>
      </c>
      <c r="O105" s="37" t="n">
        <v>0.75</v>
      </c>
      <c r="P105" s="37" t="n">
        <v>0.39</v>
      </c>
      <c r="Q105" s="37" t="n">
        <v>0.3</v>
      </c>
      <c r="R105" s="44" t="n">
        <v>0.75</v>
      </c>
      <c r="S105" s="44" t="n">
        <v>0.6899999999999999</v>
      </c>
      <c r="T105" s="37" t="n">
        <v>90</v>
      </c>
      <c r="U105" s="37" t="inlineStr">
        <is>
          <t>ASSUMED</t>
        </is>
      </c>
      <c r="V105" s="37" t="inlineStr">
        <is>
          <t>MS51527 covers matched-dash sizes only; Air-Way remains single source.</t>
        </is>
      </c>
      <c r="W105" s="37" t="inlineStr">
        <is>
          <t>BUILD</t>
        </is>
      </c>
      <c r="X105" s="37" t="inlineStr">
        <is>
          <t>Hex = Air-Way C4 column (per-part). Matched sizes in this topology corroborate the column.</t>
        </is>
      </c>
      <c r="Z105" s="45" t="inlineStr">
        <is>
          <t>Carbon Steel</t>
        </is>
      </c>
      <c r="AA105" s="45" t="inlineStr">
        <is>
          <t>ASTM A108 12L14</t>
        </is>
      </c>
      <c r="AB105" s="45" t="inlineStr">
        <is>
          <t>Trivalent Cr3 Zinc</t>
        </is>
      </c>
      <c r="AC105" s="45" t="inlineStr">
        <is>
          <t>ASTM B633 Type V/VI</t>
        </is>
      </c>
      <c r="AD105" s="46" t="n">
        <v>4500</v>
      </c>
      <c r="AE105" s="46" t="inlineStr">
        <is>
          <t>generic SAE table @ dash -8 (governing end)</t>
        </is>
      </c>
      <c r="AF105" s="46" t="n">
        <v>-65</v>
      </c>
      <c r="AG105" s="46" t="n">
        <v>400</v>
      </c>
      <c r="AH105" s="37" t="inlineStr">
        <is>
          <t>Ham-Let + hoseandfittings (pressure); Parker Cat.4300 (material); ASTM B633 (finish); see StandardsData</t>
        </is>
      </c>
    </row>
    <row r="106" ht="15" customHeight="1" s="35">
      <c r="A106" s="37" t="inlineStr">
        <is>
          <t>6801-08-06-NWO</t>
        </is>
      </c>
      <c r="B106" s="37" t="inlineStr">
        <is>
          <t>6801-8-6 NWO</t>
        </is>
      </c>
      <c r="C106" s="37" t="inlineStr">
        <is>
          <t>6801</t>
        </is>
      </c>
      <c r="D106" s="37" t="n">
        <v>134</v>
      </c>
      <c r="E106" s="37" t="inlineStr">
        <is>
          <t>90 deg</t>
        </is>
      </c>
      <c r="F106" s="37" t="inlineStr">
        <is>
          <t>90 deg Straight Thread Elbow, 3/4-16 x 9/16-18</t>
        </is>
      </c>
      <c r="G106" s="37" t="inlineStr">
        <is>
          <t>9/16-18</t>
        </is>
      </c>
      <c r="H106" s="37" t="inlineStr">
        <is>
          <t>3/4-16</t>
        </is>
      </c>
      <c r="I106" s="37" t="n"/>
      <c r="J106" s="37" t="inlineStr">
        <is>
          <t>SAE J1926-3</t>
        </is>
      </c>
      <c r="K106" s="37" t="inlineStr">
        <is>
          <t>SAE J514-1</t>
        </is>
      </c>
      <c r="L106" s="37" t="n">
        <v>1.25</v>
      </c>
      <c r="M106" s="37" t="n">
        <v>1.34</v>
      </c>
      <c r="N106" s="37" t="n">
        <v>0.6899999999999999</v>
      </c>
      <c r="O106" s="37" t="n">
        <v>0.8100000000000001</v>
      </c>
      <c r="P106" s="37" t="n">
        <v>0.39</v>
      </c>
      <c r="Q106" s="37" t="n">
        <v>0.3</v>
      </c>
      <c r="R106" s="44" t="n">
        <v>0.8100000000000001</v>
      </c>
      <c r="S106" s="44" t="n">
        <v>0.6899999999999999</v>
      </c>
      <c r="T106" s="37" t="n">
        <v>90</v>
      </c>
      <c r="U106" s="37" t="inlineStr">
        <is>
          <t>ASSUMED</t>
        </is>
      </c>
      <c r="V106" s="37" t="inlineStr">
        <is>
          <t>MS51527 covers matched-dash sizes only; Air-Way remains single source.</t>
        </is>
      </c>
      <c r="W106" s="37" t="inlineStr">
        <is>
          <t>BUILD</t>
        </is>
      </c>
      <c r="X106" s="37" t="inlineStr">
        <is>
          <t>Hex = Air-Way C4 column (per-part). Matched sizes in this topology corroborate the column.</t>
        </is>
      </c>
      <c r="Z106" s="45" t="inlineStr">
        <is>
          <t>Carbon Steel</t>
        </is>
      </c>
      <c r="AA106" s="45" t="inlineStr">
        <is>
          <t>ASTM A108 12L14</t>
        </is>
      </c>
      <c r="AB106" s="45" t="inlineStr">
        <is>
          <t>Trivalent Cr3 Zinc</t>
        </is>
      </c>
      <c r="AC106" s="45" t="inlineStr">
        <is>
          <t>ASTM B633 Type V/VI</t>
        </is>
      </c>
      <c r="AD106" s="46" t="n">
        <v>4500</v>
      </c>
      <c r="AE106" s="46" t="inlineStr">
        <is>
          <t>generic SAE table @ dash -8 (governing end)</t>
        </is>
      </c>
      <c r="AF106" s="46" t="n">
        <v>-65</v>
      </c>
      <c r="AG106" s="46" t="n">
        <v>400</v>
      </c>
      <c r="AH106" s="37" t="inlineStr">
        <is>
          <t>Ham-Let + hoseandfittings (pressure); Parker Cat.4300 (material); ASTM B633 (finish); see StandardsData</t>
        </is>
      </c>
    </row>
    <row r="107" ht="15" customHeight="1" s="35">
      <c r="A107" s="37" t="inlineStr">
        <is>
          <t>6801-08-08-NWO-FG</t>
        </is>
      </c>
      <c r="B107" s="37" t="inlineStr">
        <is>
          <t>6801-8-8 NWO-FG</t>
        </is>
      </c>
      <c r="C107" s="37" t="inlineStr">
        <is>
          <t>6801</t>
        </is>
      </c>
      <c r="D107" s="37" t="n">
        <v>134</v>
      </c>
      <c r="E107" s="37" t="inlineStr">
        <is>
          <t>90 deg</t>
        </is>
      </c>
      <c r="F107" s="37" t="inlineStr">
        <is>
          <t>90 deg Straight Thread Elbow, 3/4-16 x 3/4-16</t>
        </is>
      </c>
      <c r="G107" s="37" t="inlineStr">
        <is>
          <t>3/4-16</t>
        </is>
      </c>
      <c r="H107" s="37" t="inlineStr">
        <is>
          <t>3/4-16</t>
        </is>
      </c>
      <c r="I107" s="37" t="n"/>
      <c r="J107" s="37" t="inlineStr">
        <is>
          <t>SAE J1926-3</t>
        </is>
      </c>
      <c r="K107" s="37" t="inlineStr">
        <is>
          <t>SAE J514-1</t>
        </is>
      </c>
      <c r="L107" s="37" t="n">
        <v>1.25</v>
      </c>
      <c r="M107" s="37" t="n">
        <v>1.45</v>
      </c>
      <c r="N107" s="37" t="n">
        <v>0.88</v>
      </c>
      <c r="O107" s="37" t="n">
        <v>0.75</v>
      </c>
      <c r="P107" s="37" t="n">
        <v>0.39</v>
      </c>
      <c r="Q107" s="37" t="n">
        <v>0.39</v>
      </c>
      <c r="R107" s="45" t="n">
        <v>0.75</v>
      </c>
      <c r="S107" s="45" t="n">
        <v>0.88</v>
      </c>
      <c r="T107" s="37" t="n">
        <v>90</v>
      </c>
      <c r="U107" s="37" t="inlineStr">
        <is>
          <t>VERIFIED</t>
        </is>
      </c>
      <c r="V107" s="37" t="inlineStr">
        <is>
          <t>MS51527 cross-check 2026-09-04: threads, both legs, both bores AGREE.</t>
        </is>
      </c>
      <c r="W107" s="37" t="inlineStr">
        <is>
          <t>BUILD</t>
        </is>
      </c>
      <c r="X107" s="37" t="inlineStr">
        <is>
          <t>Hex = Air-Way C4 column, CONFIRMED vs PressureConnections/Purvis.</t>
        </is>
      </c>
      <c r="Z107" s="45" t="inlineStr">
        <is>
          <t>Carbon Steel</t>
        </is>
      </c>
      <c r="AA107" s="45" t="inlineStr">
        <is>
          <t>ASTM A108 12L14</t>
        </is>
      </c>
      <c r="AB107" s="45" t="inlineStr">
        <is>
          <t>Trivalent Cr3 Zinc</t>
        </is>
      </c>
      <c r="AC107" s="45" t="inlineStr">
        <is>
          <t>ASTM B633 Type V/VI</t>
        </is>
      </c>
      <c r="AD107" s="46" t="n">
        <v>4500</v>
      </c>
      <c r="AE107" s="46" t="inlineStr">
        <is>
          <t>generic SAE table @ dash -8 (governing end)</t>
        </is>
      </c>
      <c r="AF107" s="46" t="n">
        <v>-65</v>
      </c>
      <c r="AG107" s="46" t="n">
        <v>400</v>
      </c>
      <c r="AH107" s="37" t="inlineStr">
        <is>
          <t>Ham-Let + hoseandfittings (pressure); Parker Cat.4300 (material); ASTM B633 (finish); see StandardsData</t>
        </is>
      </c>
    </row>
    <row r="108" ht="15" customHeight="1" s="35">
      <c r="A108" s="37" t="inlineStr">
        <is>
          <t>6801-08-08-NWO</t>
        </is>
      </c>
      <c r="B108" s="37" t="inlineStr">
        <is>
          <t>6801-8-8 NWO</t>
        </is>
      </c>
      <c r="C108" s="37" t="inlineStr">
        <is>
          <t>6801</t>
        </is>
      </c>
      <c r="D108" s="37" t="n">
        <v>134</v>
      </c>
      <c r="E108" s="37" t="inlineStr">
        <is>
          <t>90 deg</t>
        </is>
      </c>
      <c r="F108" s="37" t="inlineStr">
        <is>
          <t>90 deg Straight Thread Elbow, 3/4-16 x 3/4-16</t>
        </is>
      </c>
      <c r="G108" s="37" t="inlineStr">
        <is>
          <t>3/4-16</t>
        </is>
      </c>
      <c r="H108" s="37" t="inlineStr">
        <is>
          <t>3/4-16</t>
        </is>
      </c>
      <c r="I108" s="37" t="n"/>
      <c r="J108" s="37" t="inlineStr">
        <is>
          <t>SAE J1926-3</t>
        </is>
      </c>
      <c r="K108" s="37" t="inlineStr">
        <is>
          <t>SAE J514-1</t>
        </is>
      </c>
      <c r="L108" s="37" t="n">
        <v>1.25</v>
      </c>
      <c r="M108" s="37" t="n">
        <v>1.45</v>
      </c>
      <c r="N108" s="37" t="n">
        <v>0.88</v>
      </c>
      <c r="O108" s="37" t="n">
        <v>0.8100000000000001</v>
      </c>
      <c r="P108" s="37" t="n">
        <v>0.39</v>
      </c>
      <c r="Q108" s="37" t="n">
        <v>0.39</v>
      </c>
      <c r="R108" s="45" t="n">
        <v>0.8100000000000001</v>
      </c>
      <c r="S108" s="45" t="n">
        <v>0.88</v>
      </c>
      <c r="T108" s="37" t="n">
        <v>90</v>
      </c>
      <c r="U108" s="37" t="inlineStr">
        <is>
          <t>VERIFIED</t>
        </is>
      </c>
      <c r="V108" s="37" t="inlineStr">
        <is>
          <t>MS51527 cross-check 2026-09-04: threads, both legs, both bores AGREE.</t>
        </is>
      </c>
      <c r="W108" s="37" t="inlineStr">
        <is>
          <t>BUILD</t>
        </is>
      </c>
      <c r="X108" s="37" t="inlineStr">
        <is>
          <t>Hex = Air-Way C4 column, CONFIRMED vs PressureConnections/Purvis.</t>
        </is>
      </c>
      <c r="Z108" s="45" t="inlineStr">
        <is>
          <t>Carbon Steel</t>
        </is>
      </c>
      <c r="AA108" s="45" t="inlineStr">
        <is>
          <t>ASTM A108 12L14</t>
        </is>
      </c>
      <c r="AB108" s="45" t="inlineStr">
        <is>
          <t>Trivalent Cr3 Zinc</t>
        </is>
      </c>
      <c r="AC108" s="45" t="inlineStr">
        <is>
          <t>ASTM B633 Type V/VI</t>
        </is>
      </c>
      <c r="AD108" s="46" t="n">
        <v>4500</v>
      </c>
      <c r="AE108" s="46" t="inlineStr">
        <is>
          <t>generic SAE table @ dash -8 (governing end)</t>
        </is>
      </c>
      <c r="AF108" s="46" t="n">
        <v>-65</v>
      </c>
      <c r="AG108" s="46" t="n">
        <v>400</v>
      </c>
      <c r="AH108" s="37" t="inlineStr">
        <is>
          <t>Ham-Let + hoseandfittings (pressure); Parker Cat.4300 (material); ASTM B633 (finish); see StandardsData</t>
        </is>
      </c>
    </row>
    <row r="109" ht="15" customHeight="1" s="35">
      <c r="A109" s="37" t="inlineStr">
        <is>
          <t>6801-08-10-NWO-FG</t>
        </is>
      </c>
      <c r="B109" s="37" t="inlineStr">
        <is>
          <t>6801-8-10 NWO-FG</t>
        </is>
      </c>
      <c r="C109" s="37" t="inlineStr">
        <is>
          <t>6801</t>
        </is>
      </c>
      <c r="D109" s="37" t="n">
        <v>134</v>
      </c>
      <c r="E109" s="37" t="inlineStr">
        <is>
          <t>90 deg</t>
        </is>
      </c>
      <c r="F109" s="37" t="inlineStr">
        <is>
          <t>90 deg Straight Thread Elbow, 3/4-16 x 7/8-14</t>
        </is>
      </c>
      <c r="G109" s="37" t="inlineStr">
        <is>
          <t>7/8-14</t>
        </is>
      </c>
      <c r="H109" s="37" t="inlineStr">
        <is>
          <t>3/4-16</t>
        </is>
      </c>
      <c r="I109" s="37" t="n"/>
      <c r="J109" s="37" t="inlineStr">
        <is>
          <t>SAE J1926-3</t>
        </is>
      </c>
      <c r="K109" s="37" t="inlineStr">
        <is>
          <t>SAE J514-1</t>
        </is>
      </c>
      <c r="L109" s="37" t="n">
        <v>1.33</v>
      </c>
      <c r="M109" s="37" t="n">
        <v>1.7</v>
      </c>
      <c r="N109" s="37" t="n">
        <v>1</v>
      </c>
      <c r="O109" s="37" t="n">
        <v>0.88</v>
      </c>
      <c r="P109" s="37" t="n">
        <v>0.39</v>
      </c>
      <c r="Q109" s="37" t="n">
        <v>0.48</v>
      </c>
      <c r="R109" s="44" t="n">
        <v>0.88</v>
      </c>
      <c r="S109" s="44" t="n">
        <v>1</v>
      </c>
      <c r="T109" s="37" t="n">
        <v>90</v>
      </c>
      <c r="U109" s="37" t="inlineStr">
        <is>
          <t>ASSUMED</t>
        </is>
      </c>
      <c r="V109" s="37" t="inlineStr">
        <is>
          <t>MS51527 covers matched-dash sizes only; Air-Way remains single source.</t>
        </is>
      </c>
      <c r="W109" s="37" t="inlineStr">
        <is>
          <t>BUILD</t>
        </is>
      </c>
      <c r="X109" s="37" t="inlineStr">
        <is>
          <t>Hex = Air-Way C4 column (per-part). Matched sizes in this topology corroborate the column.</t>
        </is>
      </c>
      <c r="Z109" s="45" t="inlineStr">
        <is>
          <t>Carbon Steel</t>
        </is>
      </c>
      <c r="AA109" s="45" t="inlineStr">
        <is>
          <t>ASTM A108 12L14</t>
        </is>
      </c>
      <c r="AB109" s="45" t="inlineStr">
        <is>
          <t>Trivalent Cr3 Zinc</t>
        </is>
      </c>
      <c r="AC109" s="45" t="inlineStr">
        <is>
          <t>ASTM B633 Type V/VI</t>
        </is>
      </c>
      <c r="AD109" s="46" t="n">
        <v>3500</v>
      </c>
      <c r="AE109" s="46" t="inlineStr">
        <is>
          <t>generic SAE table @ dash -10 (governing end)</t>
        </is>
      </c>
      <c r="AF109" s="46" t="n">
        <v>-65</v>
      </c>
      <c r="AG109" s="46" t="n">
        <v>400</v>
      </c>
      <c r="AH109" s="37" t="inlineStr">
        <is>
          <t>Ham-Let + hoseandfittings (pressure); Parker Cat.4300 (material); ASTM B633 (finish); see StandardsData</t>
        </is>
      </c>
    </row>
    <row r="110" ht="15" customHeight="1" s="35">
      <c r="A110" s="37" t="inlineStr">
        <is>
          <t>6801-08-10-NWO</t>
        </is>
      </c>
      <c r="B110" s="37" t="inlineStr">
        <is>
          <t>6801-8-10 NWO</t>
        </is>
      </c>
      <c r="C110" s="37" t="inlineStr">
        <is>
          <t>6801</t>
        </is>
      </c>
      <c r="D110" s="37" t="n">
        <v>134</v>
      </c>
      <c r="E110" s="37" t="inlineStr">
        <is>
          <t>90 deg</t>
        </is>
      </c>
      <c r="F110" s="37" t="inlineStr">
        <is>
          <t>90 deg Straight Thread Elbow, 3/4-16 x 7/8-14</t>
        </is>
      </c>
      <c r="G110" s="37" t="inlineStr">
        <is>
          <t>7/8-14</t>
        </is>
      </c>
      <c r="H110" s="37" t="inlineStr">
        <is>
          <t>3/4-16</t>
        </is>
      </c>
      <c r="I110" s="37" t="n"/>
      <c r="J110" s="37" t="inlineStr">
        <is>
          <t>SAE J1926-3</t>
        </is>
      </c>
      <c r="K110" s="37" t="inlineStr">
        <is>
          <t>SAE J514-1</t>
        </is>
      </c>
      <c r="L110" s="37" t="n">
        <v>1.31</v>
      </c>
      <c r="M110" s="37" t="n">
        <v>1.7</v>
      </c>
      <c r="N110" s="37" t="n">
        <v>1</v>
      </c>
      <c r="O110" s="37" t="n">
        <v>0.9399999999999999</v>
      </c>
      <c r="P110" s="37" t="n">
        <v>0.39</v>
      </c>
      <c r="Q110" s="37" t="n">
        <v>0.48</v>
      </c>
      <c r="R110" s="44" t="n">
        <v>0.9399999999999999</v>
      </c>
      <c r="S110" s="44" t="n">
        <v>1</v>
      </c>
      <c r="T110" s="37" t="n">
        <v>90</v>
      </c>
      <c r="U110" s="37" t="inlineStr">
        <is>
          <t>ASSUMED</t>
        </is>
      </c>
      <c r="V110" s="37" t="inlineStr">
        <is>
          <t>MS51527 covers matched-dash sizes only; Air-Way remains single source.</t>
        </is>
      </c>
      <c r="W110" s="37" t="inlineStr">
        <is>
          <t>BUILD</t>
        </is>
      </c>
      <c r="X110" s="37" t="inlineStr">
        <is>
          <t>Hex = Air-Way C4 column (per-part). Matched sizes in this topology corroborate the column.</t>
        </is>
      </c>
      <c r="Z110" s="45" t="inlineStr">
        <is>
          <t>Carbon Steel</t>
        </is>
      </c>
      <c r="AA110" s="45" t="inlineStr">
        <is>
          <t>ASTM A108 12L14</t>
        </is>
      </c>
      <c r="AB110" s="45" t="inlineStr">
        <is>
          <t>Trivalent Cr3 Zinc</t>
        </is>
      </c>
      <c r="AC110" s="45" t="inlineStr">
        <is>
          <t>ASTM B633 Type V/VI</t>
        </is>
      </c>
      <c r="AD110" s="46" t="n">
        <v>3500</v>
      </c>
      <c r="AE110" s="46" t="inlineStr">
        <is>
          <t>generic SAE table @ dash -10 (governing end)</t>
        </is>
      </c>
      <c r="AF110" s="46" t="n">
        <v>-65</v>
      </c>
      <c r="AG110" s="46" t="n">
        <v>400</v>
      </c>
      <c r="AH110" s="37" t="inlineStr">
        <is>
          <t>Ham-Let + hoseandfittings (pressure); Parker Cat.4300 (material); ASTM B633 (finish); see StandardsData</t>
        </is>
      </c>
    </row>
    <row r="111" ht="15" customHeight="1" s="35">
      <c r="A111" s="37" t="inlineStr">
        <is>
          <t>6801-08-12-NWO</t>
        </is>
      </c>
      <c r="B111" s="37" t="inlineStr">
        <is>
          <t>6801-8-12 NWO</t>
        </is>
      </c>
      <c r="C111" s="37" t="inlineStr">
        <is>
          <t>6801</t>
        </is>
      </c>
      <c r="D111" s="37" t="n">
        <v>134</v>
      </c>
      <c r="E111" s="37" t="inlineStr">
        <is>
          <t>90 deg</t>
        </is>
      </c>
      <c r="F111" s="37" t="inlineStr">
        <is>
          <t>90 deg Straight Thread Elbow, 3/4-16 x 1 1/16-12</t>
        </is>
      </c>
      <c r="G111" s="37" t="inlineStr">
        <is>
          <t>1 1/16-12</t>
        </is>
      </c>
      <c r="H111" s="37" t="inlineStr">
        <is>
          <t>3/4-16</t>
        </is>
      </c>
      <c r="I111" s="37" t="n"/>
      <c r="J111" s="37" t="inlineStr">
        <is>
          <t>SAE J1926-3</t>
        </is>
      </c>
      <c r="K111" s="37" t="inlineStr">
        <is>
          <t>SAE J514-1</t>
        </is>
      </c>
      <c r="L111" s="37" t="n">
        <v>1.4</v>
      </c>
      <c r="M111" s="37" t="n">
        <v>1.94</v>
      </c>
      <c r="N111" s="37" t="n">
        <v>1.25</v>
      </c>
      <c r="O111" s="37" t="n">
        <v>1.13</v>
      </c>
      <c r="P111" s="37" t="n">
        <v>0.39</v>
      </c>
      <c r="Q111" s="37" t="n">
        <v>0.61</v>
      </c>
      <c r="R111" s="44" t="n">
        <v>1.13</v>
      </c>
      <c r="S111" s="44" t="n">
        <v>1.25</v>
      </c>
      <c r="T111" s="37" t="n">
        <v>90</v>
      </c>
      <c r="U111" s="37" t="inlineStr">
        <is>
          <t>ASSUMED</t>
        </is>
      </c>
      <c r="V111" s="37" t="inlineStr">
        <is>
          <t>MS51527 covers matched-dash sizes only; Air-Way remains single source.</t>
        </is>
      </c>
      <c r="W111" s="37" t="inlineStr">
        <is>
          <t>BUILD</t>
        </is>
      </c>
      <c r="X111" s="37" t="inlineStr">
        <is>
          <t>Hex = Air-Way C4 column (per-part). Matched sizes in this topology corroborate the column.</t>
        </is>
      </c>
      <c r="Z111" s="45" t="inlineStr">
        <is>
          <t>Carbon Steel</t>
        </is>
      </c>
      <c r="AA111" s="45" t="inlineStr">
        <is>
          <t>ASTM A108 12L14</t>
        </is>
      </c>
      <c r="AB111" s="45" t="inlineStr">
        <is>
          <t>Trivalent Cr3 Zinc</t>
        </is>
      </c>
      <c r="AC111" s="45" t="inlineStr">
        <is>
          <t>ASTM B633 Type V/VI</t>
        </is>
      </c>
      <c r="AD111" s="46" t="n">
        <v>3500</v>
      </c>
      <c r="AE111" s="46" t="inlineStr">
        <is>
          <t>generic SAE table @ dash -12 (governing end)</t>
        </is>
      </c>
      <c r="AF111" s="46" t="n">
        <v>-65</v>
      </c>
      <c r="AG111" s="46" t="n">
        <v>400</v>
      </c>
      <c r="AH111" s="37" t="inlineStr">
        <is>
          <t>Ham-Let + hoseandfittings (pressure); Parker Cat.4300 (material); ASTM B633 (finish); see StandardsData</t>
        </is>
      </c>
    </row>
    <row r="112" ht="15" customHeight="1" s="35">
      <c r="A112" s="37" t="inlineStr">
        <is>
          <t>6801-08-14-NWO</t>
        </is>
      </c>
      <c r="B112" s="37" t="inlineStr">
        <is>
          <t>6801-8-14 NWO</t>
        </is>
      </c>
      <c r="C112" s="37" t="inlineStr">
        <is>
          <t>6801</t>
        </is>
      </c>
      <c r="D112" s="37" t="n">
        <v>134</v>
      </c>
      <c r="E112" s="37" t="inlineStr">
        <is>
          <t>90 deg</t>
        </is>
      </c>
      <c r="F112" s="37" t="inlineStr">
        <is>
          <t>90 deg Straight Thread Elbow, 3/4-16 x 1 3/16-12</t>
        </is>
      </c>
      <c r="G112" s="37" t="inlineStr">
        <is>
          <t>1 3/16-12</t>
        </is>
      </c>
      <c r="H112" s="37" t="inlineStr">
        <is>
          <t>3/4-16</t>
        </is>
      </c>
      <c r="I112" s="37" t="n"/>
      <c r="J112" s="37" t="inlineStr">
        <is>
          <t>SAE J1926-3</t>
        </is>
      </c>
      <c r="K112" s="37" t="inlineStr">
        <is>
          <t>SAE J514-1</t>
        </is>
      </c>
      <c r="L112" s="37" t="n">
        <v>1.47</v>
      </c>
      <c r="M112" s="37" t="n">
        <v>2</v>
      </c>
      <c r="N112" s="37" t="n">
        <v>1.38</v>
      </c>
      <c r="O112" s="37" t="n">
        <v>1.25</v>
      </c>
      <c r="P112" s="37" t="n">
        <v>0.39</v>
      </c>
      <c r="Q112" s="37" t="n">
        <v>0.72</v>
      </c>
      <c r="R112" s="44" t="n">
        <v>1.25</v>
      </c>
      <c r="S112" s="44" t="n">
        <v>1.38</v>
      </c>
      <c r="T112" s="37" t="n">
        <v>90</v>
      </c>
      <c r="U112" s="37" t="inlineStr">
        <is>
          <t>ASSUMED</t>
        </is>
      </c>
      <c r="V112" s="37" t="inlineStr">
        <is>
          <t>MS51527 covers matched-dash sizes only; Air-Way remains single source.</t>
        </is>
      </c>
      <c r="W112" s="37" t="inlineStr">
        <is>
          <t>BUILD</t>
        </is>
      </c>
      <c r="X112" s="37" t="inlineStr">
        <is>
          <t>Hex = Air-Way C4 column (per-part). Matched sizes in this topology corroborate the column.</t>
        </is>
      </c>
      <c r="Z112" s="45" t="inlineStr">
        <is>
          <t>Carbon Steel</t>
        </is>
      </c>
      <c r="AA112" s="45" t="inlineStr">
        <is>
          <t>ASTM A108 12L14</t>
        </is>
      </c>
      <c r="AB112" s="45" t="inlineStr">
        <is>
          <t>Trivalent Cr3 Zinc</t>
        </is>
      </c>
      <c r="AC112" s="45" t="inlineStr">
        <is>
          <t>ASTM B633 Type V/VI</t>
        </is>
      </c>
      <c r="AD112" s="46" t="n">
        <v>3000</v>
      </c>
      <c r="AE112" s="46" t="inlineStr">
        <is>
          <t>generic SAE table @ dash -14 (governing end)</t>
        </is>
      </c>
      <c r="AF112" s="46" t="n">
        <v>-65</v>
      </c>
      <c r="AG112" s="46" t="n">
        <v>400</v>
      </c>
      <c r="AH112" s="37" t="inlineStr">
        <is>
          <t>Ham-Let + hoseandfittings (pressure); Parker Cat.4300 (material); ASTM B633 (finish); see StandardsData</t>
        </is>
      </c>
    </row>
    <row r="113" ht="15" customHeight="1" s="35">
      <c r="A113" s="37" t="inlineStr">
        <is>
          <t>6801-08-16-NWO</t>
        </is>
      </c>
      <c r="B113" s="37" t="inlineStr">
        <is>
          <t>6801-8-16 NWO</t>
        </is>
      </c>
      <c r="C113" s="37" t="inlineStr">
        <is>
          <t>6801</t>
        </is>
      </c>
      <c r="D113" s="37" t="n">
        <v>134</v>
      </c>
      <c r="E113" s="37" t="inlineStr">
        <is>
          <t>90 deg</t>
        </is>
      </c>
      <c r="F113" s="37" t="inlineStr">
        <is>
          <t>90 deg Straight Thread Elbow, 3/4-16 x 1 5/16-12</t>
        </is>
      </c>
      <c r="G113" s="37" t="inlineStr">
        <is>
          <t>1 5/16-12</t>
        </is>
      </c>
      <c r="H113" s="37" t="inlineStr">
        <is>
          <t>3/4-16</t>
        </is>
      </c>
      <c r="I113" s="37" t="n"/>
      <c r="J113" s="37" t="inlineStr">
        <is>
          <t>SAE J1926-3</t>
        </is>
      </c>
      <c r="K113" s="37" t="inlineStr">
        <is>
          <t>SAE J514-1</t>
        </is>
      </c>
      <c r="L113" s="37" t="n">
        <v>1.53</v>
      </c>
      <c r="M113" s="37" t="n">
        <v>2.05</v>
      </c>
      <c r="N113" s="37" t="n">
        <v>1.5</v>
      </c>
      <c r="O113" s="37" t="n">
        <v>1.38</v>
      </c>
      <c r="P113" s="37" t="n">
        <v>0.39</v>
      </c>
      <c r="Q113" s="37" t="n">
        <v>0.84</v>
      </c>
      <c r="R113" s="44" t="n">
        <v>1.38</v>
      </c>
      <c r="S113" s="44" t="n">
        <v>1.5</v>
      </c>
      <c r="T113" s="37" t="n">
        <v>90</v>
      </c>
      <c r="U113" s="37" t="inlineStr">
        <is>
          <t>ASSUMED</t>
        </is>
      </c>
      <c r="V113" s="37" t="inlineStr">
        <is>
          <t>MS51527 covers matched-dash sizes only; Air-Way remains single source.</t>
        </is>
      </c>
      <c r="W113" s="37" t="inlineStr">
        <is>
          <t>BUILD</t>
        </is>
      </c>
      <c r="X113" s="37" t="inlineStr">
        <is>
          <t>Hex = Air-Way C4 column (per-part). Matched sizes in this topology corroborate the column.</t>
        </is>
      </c>
      <c r="Z113" s="45" t="inlineStr">
        <is>
          <t>Carbon Steel</t>
        </is>
      </c>
      <c r="AA113" s="45" t="inlineStr">
        <is>
          <t>ASTM A108 12L14</t>
        </is>
      </c>
      <c r="AB113" s="45" t="inlineStr">
        <is>
          <t>Trivalent Cr3 Zinc</t>
        </is>
      </c>
      <c r="AC113" s="45" t="inlineStr">
        <is>
          <t>ASTM B633 Type V/VI</t>
        </is>
      </c>
      <c r="AD113" s="46" t="n">
        <v>3000</v>
      </c>
      <c r="AE113" s="46" t="inlineStr">
        <is>
          <t>generic SAE table @ dash -16 (governing end)</t>
        </is>
      </c>
      <c r="AF113" s="46" t="n">
        <v>-65</v>
      </c>
      <c r="AG113" s="46" t="n">
        <v>400</v>
      </c>
      <c r="AH113" s="37" t="inlineStr">
        <is>
          <t>Ham-Let + hoseandfittings (pressure); Parker Cat.4300 (material); ASTM B633 (finish); see StandardsData</t>
        </is>
      </c>
    </row>
    <row r="114" ht="15" customHeight="1" s="35">
      <c r="A114" s="37" t="inlineStr">
        <is>
          <t>6801-10-08-NWO-FG</t>
        </is>
      </c>
      <c r="B114" s="37" t="inlineStr">
        <is>
          <t>6801-10-8 NWO-FG</t>
        </is>
      </c>
      <c r="C114" s="37" t="inlineStr">
        <is>
          <t>6801</t>
        </is>
      </c>
      <c r="D114" s="37" t="n">
        <v>134</v>
      </c>
      <c r="E114" s="37" t="inlineStr">
        <is>
          <t>90 deg</t>
        </is>
      </c>
      <c r="F114" s="37" t="inlineStr">
        <is>
          <t>90 deg Straight Thread Elbow, 7/8-14 x 3/4-16</t>
        </is>
      </c>
      <c r="G114" s="37" t="inlineStr">
        <is>
          <t>3/4-16</t>
        </is>
      </c>
      <c r="H114" s="37" t="inlineStr">
        <is>
          <t>7/8-14</t>
        </is>
      </c>
      <c r="I114" s="37" t="n"/>
      <c r="J114" s="37" t="inlineStr">
        <is>
          <t>SAE J1926-3</t>
        </is>
      </c>
      <c r="K114" s="37" t="inlineStr">
        <is>
          <t>SAE J514-1</t>
        </is>
      </c>
      <c r="L114" s="37" t="n">
        <v>1.45</v>
      </c>
      <c r="M114" s="37" t="n">
        <v>1.6</v>
      </c>
      <c r="N114" s="37" t="n">
        <v>0.88</v>
      </c>
      <c r="O114" s="37" t="n">
        <v>0.88</v>
      </c>
      <c r="P114" s="37" t="n">
        <v>0.48</v>
      </c>
      <c r="Q114" s="37" t="n">
        <v>0.39</v>
      </c>
      <c r="R114" s="44" t="n">
        <v>0.88</v>
      </c>
      <c r="S114" s="44" t="n">
        <v>0.88</v>
      </c>
      <c r="T114" s="37" t="n">
        <v>90</v>
      </c>
      <c r="U114" s="37" t="inlineStr">
        <is>
          <t>ASSUMED</t>
        </is>
      </c>
      <c r="V114" s="37" t="inlineStr">
        <is>
          <t>MS51527 covers matched-dash sizes only; Air-Way remains single source.</t>
        </is>
      </c>
      <c r="W114" s="37" t="inlineStr">
        <is>
          <t>BUILD</t>
        </is>
      </c>
      <c r="X114" s="37" t="inlineStr">
        <is>
          <t>Hex = Air-Way C4 column (per-part). Matched sizes in this topology corroborate the column.</t>
        </is>
      </c>
      <c r="Z114" s="45" t="inlineStr">
        <is>
          <t>Carbon Steel</t>
        </is>
      </c>
      <c r="AA114" s="45" t="inlineStr">
        <is>
          <t>ASTM A108 12L14</t>
        </is>
      </c>
      <c r="AB114" s="45" t="inlineStr">
        <is>
          <t>Trivalent Cr3 Zinc</t>
        </is>
      </c>
      <c r="AC114" s="45" t="inlineStr">
        <is>
          <t>ASTM B633 Type V/VI</t>
        </is>
      </c>
      <c r="AD114" s="46" t="n">
        <v>3500</v>
      </c>
      <c r="AE114" s="46" t="inlineStr">
        <is>
          <t>generic SAE table @ dash -10 (governing end)</t>
        </is>
      </c>
      <c r="AF114" s="46" t="n">
        <v>-65</v>
      </c>
      <c r="AG114" s="46" t="n">
        <v>400</v>
      </c>
      <c r="AH114" s="37" t="inlineStr">
        <is>
          <t>Ham-Let + hoseandfittings (pressure); Parker Cat.4300 (material); ASTM B633 (finish); see StandardsData</t>
        </is>
      </c>
    </row>
    <row r="115" ht="15" customHeight="1" s="35">
      <c r="A115" s="37" t="inlineStr">
        <is>
          <t>6801-10-08-NWO</t>
        </is>
      </c>
      <c r="B115" s="37" t="inlineStr">
        <is>
          <t>6801-10-8 NWO</t>
        </is>
      </c>
      <c r="C115" s="37" t="inlineStr">
        <is>
          <t>6801</t>
        </is>
      </c>
      <c r="D115" s="37" t="n">
        <v>134</v>
      </c>
      <c r="E115" s="37" t="inlineStr">
        <is>
          <t>90 deg</t>
        </is>
      </c>
      <c r="F115" s="37" t="inlineStr">
        <is>
          <t>90 deg Straight Thread Elbow, 7/8-14 x 3/4-16</t>
        </is>
      </c>
      <c r="G115" s="37" t="inlineStr">
        <is>
          <t>3/4-16</t>
        </is>
      </c>
      <c r="H115" s="37" t="inlineStr">
        <is>
          <t>7/8-14</t>
        </is>
      </c>
      <c r="I115" s="37" t="n"/>
      <c r="J115" s="37" t="inlineStr">
        <is>
          <t>SAE J1926-3</t>
        </is>
      </c>
      <c r="K115" s="37" t="inlineStr">
        <is>
          <t>SAE J514-1</t>
        </is>
      </c>
      <c r="L115" s="37" t="n">
        <v>1.45</v>
      </c>
      <c r="M115" s="37" t="n">
        <v>1.51</v>
      </c>
      <c r="N115" s="37" t="n">
        <v>0.88</v>
      </c>
      <c r="O115" s="37" t="n">
        <v>0.9399999999999999</v>
      </c>
      <c r="P115" s="37" t="n">
        <v>0.48</v>
      </c>
      <c r="Q115" s="37" t="n">
        <v>0.39</v>
      </c>
      <c r="R115" s="44" t="n">
        <v>0.9399999999999999</v>
      </c>
      <c r="S115" s="44" t="n">
        <v>0.88</v>
      </c>
      <c r="T115" s="37" t="n">
        <v>90</v>
      </c>
      <c r="U115" s="37" t="inlineStr">
        <is>
          <t>ASSUMED</t>
        </is>
      </c>
      <c r="V115" s="37" t="inlineStr">
        <is>
          <t>MS51527 covers matched-dash sizes only; Air-Way remains single source.</t>
        </is>
      </c>
      <c r="W115" s="37" t="inlineStr">
        <is>
          <t>BUILD</t>
        </is>
      </c>
      <c r="X115" s="37" t="inlineStr">
        <is>
          <t>Hex = Air-Way C4 column (per-part). Matched sizes in this topology corroborate the column.</t>
        </is>
      </c>
      <c r="Z115" s="45" t="inlineStr">
        <is>
          <t>Carbon Steel</t>
        </is>
      </c>
      <c r="AA115" s="45" t="inlineStr">
        <is>
          <t>ASTM A108 12L14</t>
        </is>
      </c>
      <c r="AB115" s="45" t="inlineStr">
        <is>
          <t>Trivalent Cr3 Zinc</t>
        </is>
      </c>
      <c r="AC115" s="45" t="inlineStr">
        <is>
          <t>ASTM B633 Type V/VI</t>
        </is>
      </c>
      <c r="AD115" s="46" t="n">
        <v>3500</v>
      </c>
      <c r="AE115" s="46" t="inlineStr">
        <is>
          <t>generic SAE table @ dash -10 (governing end)</t>
        </is>
      </c>
      <c r="AF115" s="46" t="n">
        <v>-65</v>
      </c>
      <c r="AG115" s="46" t="n">
        <v>400</v>
      </c>
      <c r="AH115" s="37" t="inlineStr">
        <is>
          <t>Ham-Let + hoseandfittings (pressure); Parker Cat.4300 (material); ASTM B633 (finish); see StandardsData</t>
        </is>
      </c>
    </row>
    <row r="116" ht="15" customHeight="1" s="35">
      <c r="A116" s="37" t="inlineStr">
        <is>
          <t>6801-08-12-NWO-FG</t>
        </is>
      </c>
      <c r="B116" s="37" t="inlineStr">
        <is>
          <t>6801-8-12 NWO-FG</t>
        </is>
      </c>
      <c r="C116" s="37" t="inlineStr">
        <is>
          <t>6801</t>
        </is>
      </c>
      <c r="D116" s="37" t="n">
        <v>134</v>
      </c>
      <c r="E116" s="37" t="inlineStr">
        <is>
          <t>90 deg</t>
        </is>
      </c>
      <c r="F116" s="37" t="inlineStr">
        <is>
          <t>90 deg Straight Thread Elbow, 3/4-16 x 1 1/16-12</t>
        </is>
      </c>
      <c r="G116" s="37" t="inlineStr">
        <is>
          <t>1 1/16-12</t>
        </is>
      </c>
      <c r="H116" s="37" t="inlineStr">
        <is>
          <t>3/4-16</t>
        </is>
      </c>
      <c r="I116" s="37" t="n"/>
      <c r="J116" s="37" t="inlineStr">
        <is>
          <t>SAE J1926-3</t>
        </is>
      </c>
      <c r="K116" s="37" t="inlineStr">
        <is>
          <t>SAE J514-1</t>
        </is>
      </c>
      <c r="L116" s="37" t="n">
        <v>1.42</v>
      </c>
      <c r="M116" s="37" t="n">
        <v>1.94</v>
      </c>
      <c r="N116" s="37" t="n">
        <v>1.25</v>
      </c>
      <c r="O116" s="37" t="n">
        <v>1.06</v>
      </c>
      <c r="P116" s="37" t="n">
        <v>0.39</v>
      </c>
      <c r="Q116" s="37" t="n">
        <v>0.61</v>
      </c>
      <c r="R116" s="44" t="n">
        <v>1.06</v>
      </c>
      <c r="S116" s="44" t="n">
        <v>1.25</v>
      </c>
      <c r="T116" s="37" t="n">
        <v>90</v>
      </c>
      <c r="U116" s="37" t="inlineStr">
        <is>
          <t>ASSUMED</t>
        </is>
      </c>
      <c r="V116" s="37" t="inlineStr">
        <is>
          <t>MS51527 covers matched-dash sizes only; Air-Way remains single source.</t>
        </is>
      </c>
      <c r="W116" s="37" t="inlineStr">
        <is>
          <t>BUILD</t>
        </is>
      </c>
      <c r="X116" s="37" t="inlineStr">
        <is>
          <t>Hex = Air-Way C4 column (per-part). Matched sizes in this topology corroborate the column.</t>
        </is>
      </c>
      <c r="Z116" s="45" t="inlineStr">
        <is>
          <t>Carbon Steel</t>
        </is>
      </c>
      <c r="AA116" s="45" t="inlineStr">
        <is>
          <t>ASTM A108 12L14</t>
        </is>
      </c>
      <c r="AB116" s="45" t="inlineStr">
        <is>
          <t>Trivalent Cr3 Zinc</t>
        </is>
      </c>
      <c r="AC116" s="45" t="inlineStr">
        <is>
          <t>ASTM B633 Type V/VI</t>
        </is>
      </c>
      <c r="AD116" s="46" t="n">
        <v>3500</v>
      </c>
      <c r="AE116" s="46" t="inlineStr">
        <is>
          <t>generic SAE table @ dash -12 (governing end)</t>
        </is>
      </c>
      <c r="AF116" s="46" t="n">
        <v>-65</v>
      </c>
      <c r="AG116" s="46" t="n">
        <v>400</v>
      </c>
      <c r="AH116" s="37" t="inlineStr">
        <is>
          <t>Ham-Let + hoseandfittings (pressure); Parker Cat.4300 (material); ASTM B633 (finish); see StandardsData</t>
        </is>
      </c>
    </row>
    <row r="117" ht="15" customHeight="1" s="35">
      <c r="A117" s="37" t="inlineStr">
        <is>
          <t>6801-10-06-NWO-FG</t>
        </is>
      </c>
      <c r="B117" s="37" t="inlineStr">
        <is>
          <t>6801-10-6 NWO-FG</t>
        </is>
      </c>
      <c r="C117" s="37" t="inlineStr">
        <is>
          <t>6801</t>
        </is>
      </c>
      <c r="D117" s="37" t="n">
        <v>134</v>
      </c>
      <c r="E117" s="37" t="inlineStr">
        <is>
          <t>90 deg</t>
        </is>
      </c>
      <c r="F117" s="37" t="inlineStr">
        <is>
          <t>90 deg Straight Thread Elbow, 7/8-14 x 9/16-18</t>
        </is>
      </c>
      <c r="G117" s="37" t="inlineStr">
        <is>
          <t>9/16-18</t>
        </is>
      </c>
      <c r="H117" s="37" t="inlineStr">
        <is>
          <t>7/8-14</t>
        </is>
      </c>
      <c r="I117" s="37" t="n"/>
      <c r="J117" s="37" t="inlineStr">
        <is>
          <t>SAE J1926-3</t>
        </is>
      </c>
      <c r="K117" s="37" t="inlineStr">
        <is>
          <t>SAE J514-1</t>
        </is>
      </c>
      <c r="L117" s="37" t="n">
        <v>1.45</v>
      </c>
      <c r="M117" s="37" t="n">
        <v>1.41</v>
      </c>
      <c r="N117" s="37" t="n">
        <v>0.6899999999999999</v>
      </c>
      <c r="O117" s="37" t="n">
        <v>0.88</v>
      </c>
      <c r="P117" s="37" t="n">
        <v>0.48</v>
      </c>
      <c r="Q117" s="37" t="n">
        <v>0.29</v>
      </c>
      <c r="R117" s="44" t="n">
        <v>0.88</v>
      </c>
      <c r="S117" s="44" t="n">
        <v>0.6899999999999999</v>
      </c>
      <c r="T117" s="37" t="n">
        <v>90</v>
      </c>
      <c r="U117" s="37" t="inlineStr">
        <is>
          <t>ASSUMED</t>
        </is>
      </c>
      <c r="V117" s="37" t="inlineStr">
        <is>
          <t>MS51527 covers matched-dash sizes only; Air-Way remains single source.</t>
        </is>
      </c>
      <c r="W117" s="37" t="inlineStr">
        <is>
          <t>BUILD</t>
        </is>
      </c>
      <c r="X117" s="37" t="inlineStr">
        <is>
          <t>Hex = Air-Way C4 column (per-part). Matched sizes in this topology corroborate the column.</t>
        </is>
      </c>
      <c r="Z117" s="45" t="inlineStr">
        <is>
          <t>Carbon Steel</t>
        </is>
      </c>
      <c r="AA117" s="45" t="inlineStr">
        <is>
          <t>ASTM A108 12L14</t>
        </is>
      </c>
      <c r="AB117" s="45" t="inlineStr">
        <is>
          <t>Trivalent Cr3 Zinc</t>
        </is>
      </c>
      <c r="AC117" s="45" t="inlineStr">
        <is>
          <t>ASTM B633 Type V/VI</t>
        </is>
      </c>
      <c r="AD117" s="46" t="n">
        <v>3500</v>
      </c>
      <c r="AE117" s="46" t="inlineStr">
        <is>
          <t>generic SAE table @ dash -10 (governing end)</t>
        </is>
      </c>
      <c r="AF117" s="46" t="n">
        <v>-65</v>
      </c>
      <c r="AG117" s="46" t="n">
        <v>400</v>
      </c>
      <c r="AH117" s="37" t="inlineStr">
        <is>
          <t>Ham-Let + hoseandfittings (pressure); Parker Cat.4300 (material); ASTM B633 (finish); see StandardsData</t>
        </is>
      </c>
    </row>
    <row r="118" ht="15" customHeight="1" s="35">
      <c r="A118" s="37" t="inlineStr">
        <is>
          <t>6801-10-06-NWO</t>
        </is>
      </c>
      <c r="B118" s="37" t="inlineStr">
        <is>
          <t>6801-10-6 NWO</t>
        </is>
      </c>
      <c r="C118" s="37" t="inlineStr">
        <is>
          <t>6801</t>
        </is>
      </c>
      <c r="D118" s="37" t="n">
        <v>134</v>
      </c>
      <c r="E118" s="37" t="inlineStr">
        <is>
          <t>90 deg</t>
        </is>
      </c>
      <c r="F118" s="37" t="inlineStr">
        <is>
          <t>90 deg Straight Thread Elbow, 7/8-14 x 9/16-18</t>
        </is>
      </c>
      <c r="G118" s="37" t="inlineStr">
        <is>
          <t>9/16-18</t>
        </is>
      </c>
      <c r="H118" s="37" t="inlineStr">
        <is>
          <t>7/8-14</t>
        </is>
      </c>
      <c r="I118" s="37" t="n"/>
      <c r="J118" s="37" t="inlineStr">
        <is>
          <t>SAE J1926-3</t>
        </is>
      </c>
      <c r="K118" s="37" t="inlineStr">
        <is>
          <t>SAE J514-1</t>
        </is>
      </c>
      <c r="L118" s="37" t="n">
        <v>1.45</v>
      </c>
      <c r="M118" s="37" t="n">
        <v>1.4</v>
      </c>
      <c r="N118" s="37" t="n">
        <v>0.6899999999999999</v>
      </c>
      <c r="O118" s="37" t="n">
        <v>0.9399999999999999</v>
      </c>
      <c r="P118" s="37" t="n">
        <v>0.48</v>
      </c>
      <c r="Q118" s="37" t="n">
        <v>0.3</v>
      </c>
      <c r="R118" s="44" t="n">
        <v>0.9399999999999999</v>
      </c>
      <c r="S118" s="44" t="n">
        <v>0.6899999999999999</v>
      </c>
      <c r="T118" s="37" t="n">
        <v>90</v>
      </c>
      <c r="U118" s="37" t="inlineStr">
        <is>
          <t>ASSUMED</t>
        </is>
      </c>
      <c r="V118" s="37" t="inlineStr">
        <is>
          <t>MS51527 covers matched-dash sizes only; Air-Way remains single source.</t>
        </is>
      </c>
      <c r="W118" s="37" t="inlineStr">
        <is>
          <t>BUILD</t>
        </is>
      </c>
      <c r="X118" s="37" t="inlineStr">
        <is>
          <t>Hex = Air-Way C4 column (per-part). Matched sizes in this topology corroborate the column.</t>
        </is>
      </c>
      <c r="Z118" s="45" t="inlineStr">
        <is>
          <t>Carbon Steel</t>
        </is>
      </c>
      <c r="AA118" s="45" t="inlineStr">
        <is>
          <t>ASTM A108 12L14</t>
        </is>
      </c>
      <c r="AB118" s="45" t="inlineStr">
        <is>
          <t>Trivalent Cr3 Zinc</t>
        </is>
      </c>
      <c r="AC118" s="45" t="inlineStr">
        <is>
          <t>ASTM B633 Type V/VI</t>
        </is>
      </c>
      <c r="AD118" s="46" t="n">
        <v>3500</v>
      </c>
      <c r="AE118" s="46" t="inlineStr">
        <is>
          <t>generic SAE table @ dash -10 (governing end)</t>
        </is>
      </c>
      <c r="AF118" s="46" t="n">
        <v>-65</v>
      </c>
      <c r="AG118" s="46" t="n">
        <v>400</v>
      </c>
      <c r="AH118" s="37" t="inlineStr">
        <is>
          <t>Ham-Let + hoseandfittings (pressure); Parker Cat.4300 (material); ASTM B633 (finish); see StandardsData</t>
        </is>
      </c>
    </row>
    <row r="119" ht="15" customHeight="1" s="35">
      <c r="A119" s="37" t="inlineStr">
        <is>
          <t>6801-10-10-NWO-FG</t>
        </is>
      </c>
      <c r="B119" s="37" t="inlineStr">
        <is>
          <t>6801-10-10 NWO-FG</t>
        </is>
      </c>
      <c r="C119" s="37" t="inlineStr">
        <is>
          <t>6801</t>
        </is>
      </c>
      <c r="D119" s="37" t="n">
        <v>134</v>
      </c>
      <c r="E119" s="37" t="inlineStr">
        <is>
          <t>90 deg</t>
        </is>
      </c>
      <c r="F119" s="37" t="inlineStr">
        <is>
          <t>90 deg Straight Thread Elbow, 7/8-14 x 7/8-14</t>
        </is>
      </c>
      <c r="G119" s="37" t="inlineStr">
        <is>
          <t>7/8-14</t>
        </is>
      </c>
      <c r="H119" s="37" t="inlineStr">
        <is>
          <t>7/8-14</t>
        </is>
      </c>
      <c r="I119" s="37" t="n"/>
      <c r="J119" s="37" t="inlineStr">
        <is>
          <t>SAE J1926-3</t>
        </is>
      </c>
      <c r="K119" s="37" t="inlineStr">
        <is>
          <t>SAE J514-1</t>
        </is>
      </c>
      <c r="L119" s="37" t="n">
        <v>1.45</v>
      </c>
      <c r="M119" s="37" t="n">
        <v>1.7</v>
      </c>
      <c r="N119" s="37" t="n">
        <v>1</v>
      </c>
      <c r="O119" s="37" t="n">
        <v>0.88</v>
      </c>
      <c r="P119" s="37" t="n">
        <v>0.48</v>
      </c>
      <c r="Q119" s="37" t="n">
        <v>0.48</v>
      </c>
      <c r="R119" s="45" t="n">
        <v>0.88</v>
      </c>
      <c r="S119" s="45" t="n">
        <v>1</v>
      </c>
      <c r="T119" s="37" t="n">
        <v>90</v>
      </c>
      <c r="U119" s="37" t="inlineStr">
        <is>
          <t>VERIFIED</t>
        </is>
      </c>
      <c r="V119" s="37" t="inlineStr">
        <is>
          <t>MS51527 cross-check 2026-09-04: threads, both legs, both bores AGREE.</t>
        </is>
      </c>
      <c r="W119" s="37" t="inlineStr">
        <is>
          <t>BUILD</t>
        </is>
      </c>
      <c r="X119" s="37" t="inlineStr">
        <is>
          <t>Hex = Air-Way C4 column, CONFIRMED vs PressureConnections/Purvis.</t>
        </is>
      </c>
      <c r="Z119" s="45" t="inlineStr">
        <is>
          <t>Carbon Steel</t>
        </is>
      </c>
      <c r="AA119" s="45" t="inlineStr">
        <is>
          <t>ASTM A108 12L14</t>
        </is>
      </c>
      <c r="AB119" s="45" t="inlineStr">
        <is>
          <t>Trivalent Cr3 Zinc</t>
        </is>
      </c>
      <c r="AC119" s="45" t="inlineStr">
        <is>
          <t>ASTM B633 Type V/VI</t>
        </is>
      </c>
      <c r="AD119" s="46" t="n">
        <v>3500</v>
      </c>
      <c r="AE119" s="46" t="inlineStr">
        <is>
          <t>generic SAE table @ dash -10 (governing end)</t>
        </is>
      </c>
      <c r="AF119" s="46" t="n">
        <v>-65</v>
      </c>
      <c r="AG119" s="46" t="n">
        <v>400</v>
      </c>
      <c r="AH119" s="37" t="inlineStr">
        <is>
          <t>Ham-Let + hoseandfittings (pressure); Parker Cat.4300 (material); ASTM B633 (finish); see StandardsData</t>
        </is>
      </c>
    </row>
    <row r="120" ht="15" customHeight="1" s="35">
      <c r="A120" s="37" t="inlineStr">
        <is>
          <t>6801-10-10-NWO</t>
        </is>
      </c>
      <c r="B120" s="37" t="inlineStr">
        <is>
          <t>6801-10-10 NWO</t>
        </is>
      </c>
      <c r="C120" s="37" t="inlineStr">
        <is>
          <t>6801</t>
        </is>
      </c>
      <c r="D120" s="37" t="n">
        <v>134</v>
      </c>
      <c r="E120" s="37" t="inlineStr">
        <is>
          <t>90 deg</t>
        </is>
      </c>
      <c r="F120" s="37" t="inlineStr">
        <is>
          <t>90 deg Straight Thread Elbow, 7/8-14 x 7/8-14</t>
        </is>
      </c>
      <c r="G120" s="37" t="inlineStr">
        <is>
          <t>7/8-14</t>
        </is>
      </c>
      <c r="H120" s="37" t="inlineStr">
        <is>
          <t>7/8-14</t>
        </is>
      </c>
      <c r="I120" s="37" t="n"/>
      <c r="J120" s="37" t="inlineStr">
        <is>
          <t>SAE J1926-3</t>
        </is>
      </c>
      <c r="K120" s="37" t="inlineStr">
        <is>
          <t>SAE J514-1</t>
        </is>
      </c>
      <c r="L120" s="37" t="n">
        <v>1.45</v>
      </c>
      <c r="M120" s="37" t="n">
        <v>1.7</v>
      </c>
      <c r="N120" s="37" t="n">
        <v>1</v>
      </c>
      <c r="O120" s="37" t="n">
        <v>0.9399999999999999</v>
      </c>
      <c r="P120" s="37" t="n">
        <v>0.48</v>
      </c>
      <c r="Q120" s="37" t="n">
        <v>0.48</v>
      </c>
      <c r="R120" s="45" t="n">
        <v>0.9399999999999999</v>
      </c>
      <c r="S120" s="45" t="n">
        <v>1</v>
      </c>
      <c r="T120" s="37" t="n">
        <v>90</v>
      </c>
      <c r="U120" s="37" t="inlineStr">
        <is>
          <t>VERIFIED</t>
        </is>
      </c>
      <c r="V120" s="37" t="inlineStr">
        <is>
          <t>MS51527 cross-check 2026-09-04: threads, both legs, both bores AGREE.</t>
        </is>
      </c>
      <c r="W120" s="37" t="inlineStr">
        <is>
          <t>BUILD</t>
        </is>
      </c>
      <c r="X120" s="37" t="inlineStr">
        <is>
          <t>Hex = Air-Way C4 column, CONFIRMED vs PressureConnections/Purvis.</t>
        </is>
      </c>
      <c r="Z120" s="45" t="inlineStr">
        <is>
          <t>Carbon Steel</t>
        </is>
      </c>
      <c r="AA120" s="45" t="inlineStr">
        <is>
          <t>ASTM A108 12L14</t>
        </is>
      </c>
      <c r="AB120" s="45" t="inlineStr">
        <is>
          <t>Trivalent Cr3 Zinc</t>
        </is>
      </c>
      <c r="AC120" s="45" t="inlineStr">
        <is>
          <t>ASTM B633 Type V/VI</t>
        </is>
      </c>
      <c r="AD120" s="46" t="n">
        <v>3500</v>
      </c>
      <c r="AE120" s="46" t="inlineStr">
        <is>
          <t>generic SAE table @ dash -10 (governing end)</t>
        </is>
      </c>
      <c r="AF120" s="46" t="n">
        <v>-65</v>
      </c>
      <c r="AG120" s="46" t="n">
        <v>400</v>
      </c>
      <c r="AH120" s="37" t="inlineStr">
        <is>
          <t>Ham-Let + hoseandfittings (pressure); Parker Cat.4300 (material); ASTM B633 (finish); see StandardsData</t>
        </is>
      </c>
    </row>
    <row r="121" ht="15" customHeight="1" s="35">
      <c r="A121" s="37" t="inlineStr">
        <is>
          <t>6801-10-12-NWO-FG</t>
        </is>
      </c>
      <c r="B121" s="37" t="inlineStr">
        <is>
          <t>6801-10-12 NWO-FG</t>
        </is>
      </c>
      <c r="C121" s="37" t="inlineStr">
        <is>
          <t>6801</t>
        </is>
      </c>
      <c r="D121" s="37" t="n">
        <v>134</v>
      </c>
      <c r="E121" s="37" t="inlineStr">
        <is>
          <t>90 deg</t>
        </is>
      </c>
      <c r="F121" s="37" t="inlineStr">
        <is>
          <t>90 deg Straight Thread Elbow, 7/8-14 x 1 1/16-12</t>
        </is>
      </c>
      <c r="G121" s="37" t="inlineStr">
        <is>
          <t>1 1/16-12</t>
        </is>
      </c>
      <c r="H121" s="37" t="inlineStr">
        <is>
          <t>7/8-14</t>
        </is>
      </c>
      <c r="I121" s="37" t="n"/>
      <c r="J121" s="37" t="inlineStr">
        <is>
          <t>SAE J1926-3</t>
        </is>
      </c>
      <c r="K121" s="37" t="inlineStr">
        <is>
          <t>SAE J514-1</t>
        </is>
      </c>
      <c r="L121" s="37" t="n">
        <v>1.54</v>
      </c>
      <c r="M121" s="37" t="n">
        <v>1.94</v>
      </c>
      <c r="N121" s="37" t="n">
        <v>1.25</v>
      </c>
      <c r="O121" s="37" t="n">
        <v>1.06</v>
      </c>
      <c r="P121" s="37" t="n">
        <v>0.48</v>
      </c>
      <c r="Q121" s="37" t="n">
        <v>0.61</v>
      </c>
      <c r="R121" s="44" t="n">
        <v>1.06</v>
      </c>
      <c r="S121" s="44" t="n">
        <v>1.25</v>
      </c>
      <c r="T121" s="37" t="n">
        <v>90</v>
      </c>
      <c r="U121" s="37" t="inlineStr">
        <is>
          <t>ASSUMED</t>
        </is>
      </c>
      <c r="V121" s="37" t="inlineStr">
        <is>
          <t>MS51527 covers matched-dash sizes only; Air-Way remains single source.</t>
        </is>
      </c>
      <c r="W121" s="37" t="inlineStr">
        <is>
          <t>BUILD</t>
        </is>
      </c>
      <c r="X121" s="37" t="inlineStr">
        <is>
          <t>Hex = Air-Way C4 column (per-part). Matched sizes in this topology corroborate the column.</t>
        </is>
      </c>
      <c r="Z121" s="45" t="inlineStr">
        <is>
          <t>Carbon Steel</t>
        </is>
      </c>
      <c r="AA121" s="45" t="inlineStr">
        <is>
          <t>ASTM A108 12L14</t>
        </is>
      </c>
      <c r="AB121" s="45" t="inlineStr">
        <is>
          <t>Trivalent Cr3 Zinc</t>
        </is>
      </c>
      <c r="AC121" s="45" t="inlineStr">
        <is>
          <t>ASTM B633 Type V/VI</t>
        </is>
      </c>
      <c r="AD121" s="46" t="n">
        <v>3500</v>
      </c>
      <c r="AE121" s="46" t="inlineStr">
        <is>
          <t>generic SAE table @ dash -12 (governing end)</t>
        </is>
      </c>
      <c r="AF121" s="46" t="n">
        <v>-65</v>
      </c>
      <c r="AG121" s="46" t="n">
        <v>400</v>
      </c>
      <c r="AH121" s="37" t="inlineStr">
        <is>
          <t>Ham-Let + hoseandfittings (pressure); Parker Cat.4300 (material); ASTM B633 (finish); see StandardsData</t>
        </is>
      </c>
    </row>
    <row r="122" ht="15" customHeight="1" s="35">
      <c r="A122" s="37" t="inlineStr">
        <is>
          <t>6801-10-12-NWO</t>
        </is>
      </c>
      <c r="B122" s="37" t="inlineStr">
        <is>
          <t>6801-10-12 NWO</t>
        </is>
      </c>
      <c r="C122" s="37" t="inlineStr">
        <is>
          <t>6801</t>
        </is>
      </c>
      <c r="D122" s="37" t="n">
        <v>134</v>
      </c>
      <c r="E122" s="37" t="inlineStr">
        <is>
          <t>90 deg</t>
        </is>
      </c>
      <c r="F122" s="37" t="inlineStr">
        <is>
          <t>90 deg Straight Thread Elbow, 7/8-14 x 1 1/16-12</t>
        </is>
      </c>
      <c r="G122" s="37" t="inlineStr">
        <is>
          <t>1 1/16-12</t>
        </is>
      </c>
      <c r="H122" s="37" t="inlineStr">
        <is>
          <t>7/8-14</t>
        </is>
      </c>
      <c r="I122" s="37" t="n"/>
      <c r="J122" s="37" t="inlineStr">
        <is>
          <t>SAE J1926-3</t>
        </is>
      </c>
      <c r="K122" s="37" t="inlineStr">
        <is>
          <t>SAE J514-1</t>
        </is>
      </c>
      <c r="L122" s="37" t="n">
        <v>1.55</v>
      </c>
      <c r="M122" s="37" t="n">
        <v>1.94</v>
      </c>
      <c r="N122" s="37" t="n">
        <v>1.25</v>
      </c>
      <c r="O122" s="37" t="n">
        <v>1.13</v>
      </c>
      <c r="P122" s="37" t="n">
        <v>0.48</v>
      </c>
      <c r="Q122" s="37" t="n">
        <v>0.61</v>
      </c>
      <c r="R122" s="44" t="n">
        <v>1.13</v>
      </c>
      <c r="S122" s="44" t="n">
        <v>1.25</v>
      </c>
      <c r="T122" s="37" t="n">
        <v>90</v>
      </c>
      <c r="U122" s="37" t="inlineStr">
        <is>
          <t>ASSUMED</t>
        </is>
      </c>
      <c r="V122" s="37" t="inlineStr">
        <is>
          <t>MS51527 covers matched-dash sizes only; Air-Way remains single source.</t>
        </is>
      </c>
      <c r="W122" s="37" t="inlineStr">
        <is>
          <t>BUILD</t>
        </is>
      </c>
      <c r="X122" s="37" t="inlineStr">
        <is>
          <t>Hex = Air-Way C4 column (per-part). Matched sizes in this topology corroborate the column.</t>
        </is>
      </c>
      <c r="Z122" s="45" t="inlineStr">
        <is>
          <t>Carbon Steel</t>
        </is>
      </c>
      <c r="AA122" s="45" t="inlineStr">
        <is>
          <t>ASTM A108 12L14</t>
        </is>
      </c>
      <c r="AB122" s="45" t="inlineStr">
        <is>
          <t>Trivalent Cr3 Zinc</t>
        </is>
      </c>
      <c r="AC122" s="45" t="inlineStr">
        <is>
          <t>ASTM B633 Type V/VI</t>
        </is>
      </c>
      <c r="AD122" s="46" t="n">
        <v>3500</v>
      </c>
      <c r="AE122" s="46" t="inlineStr">
        <is>
          <t>generic SAE table @ dash -12 (governing end)</t>
        </is>
      </c>
      <c r="AF122" s="46" t="n">
        <v>-65</v>
      </c>
      <c r="AG122" s="46" t="n">
        <v>400</v>
      </c>
      <c r="AH122" s="37" t="inlineStr">
        <is>
          <t>Ham-Let + hoseandfittings (pressure); Parker Cat.4300 (material); ASTM B633 (finish); see StandardsData</t>
        </is>
      </c>
    </row>
    <row r="123" ht="15" customHeight="1" s="35">
      <c r="A123" s="37" t="inlineStr">
        <is>
          <t>6801-10-16-NWO</t>
        </is>
      </c>
      <c r="B123" s="37" t="inlineStr">
        <is>
          <t>6801-10-16 NWO</t>
        </is>
      </c>
      <c r="C123" s="37" t="inlineStr">
        <is>
          <t>6801</t>
        </is>
      </c>
      <c r="D123" s="37" t="n">
        <v>134</v>
      </c>
      <c r="E123" s="37" t="inlineStr">
        <is>
          <t>90 deg</t>
        </is>
      </c>
      <c r="F123" s="37" t="inlineStr">
        <is>
          <t>90 deg Straight Thread Elbow, 7/8-14 x 1 5/16-12</t>
        </is>
      </c>
      <c r="G123" s="37" t="inlineStr">
        <is>
          <t>1 5/16-12</t>
        </is>
      </c>
      <c r="H123" s="37" t="inlineStr">
        <is>
          <t>7/8-14</t>
        </is>
      </c>
      <c r="I123" s="37" t="n"/>
      <c r="J123" s="37" t="inlineStr">
        <is>
          <t>SAE J1926-3</t>
        </is>
      </c>
      <c r="K123" s="37" t="inlineStr">
        <is>
          <t>SAE J514-1</t>
        </is>
      </c>
      <c r="L123" s="37" t="n">
        <v>1.67</v>
      </c>
      <c r="M123" s="37" t="n">
        <v>2.05</v>
      </c>
      <c r="N123" s="37" t="n">
        <v>1.5</v>
      </c>
      <c r="O123" s="37" t="n">
        <v>1.38</v>
      </c>
      <c r="P123" s="37" t="n">
        <v>0.48</v>
      </c>
      <c r="Q123" s="37" t="n">
        <v>0.84</v>
      </c>
      <c r="R123" s="44" t="n">
        <v>1.38</v>
      </c>
      <c r="S123" s="44" t="n">
        <v>1.5</v>
      </c>
      <c r="T123" s="37" t="n">
        <v>90</v>
      </c>
      <c r="U123" s="37" t="inlineStr">
        <is>
          <t>ASSUMED</t>
        </is>
      </c>
      <c r="V123" s="37" t="inlineStr">
        <is>
          <t>MS51527 covers matched-dash sizes only; Air-Way remains single source.</t>
        </is>
      </c>
      <c r="W123" s="37" t="inlineStr">
        <is>
          <t>BUILD</t>
        </is>
      </c>
      <c r="X123" s="37" t="inlineStr">
        <is>
          <t>Hex = Air-Way C4 column (per-part). Matched sizes in this topology corroborate the column.</t>
        </is>
      </c>
      <c r="Z123" s="45" t="inlineStr">
        <is>
          <t>Carbon Steel</t>
        </is>
      </c>
      <c r="AA123" s="45" t="inlineStr">
        <is>
          <t>ASTM A108 12L14</t>
        </is>
      </c>
      <c r="AB123" s="45" t="inlineStr">
        <is>
          <t>Trivalent Cr3 Zinc</t>
        </is>
      </c>
      <c r="AC123" s="45" t="inlineStr">
        <is>
          <t>ASTM B633 Type V/VI</t>
        </is>
      </c>
      <c r="AD123" s="46" t="n">
        <v>3000</v>
      </c>
      <c r="AE123" s="46" t="inlineStr">
        <is>
          <t>generic SAE table @ dash -16 (governing end)</t>
        </is>
      </c>
      <c r="AF123" s="46" t="n">
        <v>-65</v>
      </c>
      <c r="AG123" s="46" t="n">
        <v>400</v>
      </c>
      <c r="AH123" s="37" t="inlineStr">
        <is>
          <t>Ham-Let + hoseandfittings (pressure); Parker Cat.4300 (material); ASTM B633 (finish); see StandardsData</t>
        </is>
      </c>
    </row>
    <row r="124" ht="15" customHeight="1" s="35">
      <c r="A124" s="37" t="inlineStr">
        <is>
          <t>6801-12-06-NWO</t>
        </is>
      </c>
      <c r="B124" s="37" t="inlineStr">
        <is>
          <t>6801-12-6 NWO</t>
        </is>
      </c>
      <c r="C124" s="37" t="inlineStr">
        <is>
          <t>6801</t>
        </is>
      </c>
      <c r="D124" s="37" t="n">
        <v>134</v>
      </c>
      <c r="E124" s="37" t="inlineStr">
        <is>
          <t>90 deg</t>
        </is>
      </c>
      <c r="F124" s="37" t="inlineStr">
        <is>
          <t>90 deg Straight Thread Elbow, 1 1/16-12 x 9/16-18</t>
        </is>
      </c>
      <c r="G124" s="37" t="inlineStr">
        <is>
          <t>9/16-18</t>
        </is>
      </c>
      <c r="H124" s="37" t="inlineStr">
        <is>
          <t>1 1/16-12</t>
        </is>
      </c>
      <c r="I124" s="37" t="n"/>
      <c r="J124" s="37" t="inlineStr">
        <is>
          <t>SAE J1926-3</t>
        </is>
      </c>
      <c r="K124" s="37" t="inlineStr">
        <is>
          <t>SAE J514-1</t>
        </is>
      </c>
      <c r="L124" s="37" t="n">
        <v>1.66</v>
      </c>
      <c r="M124" s="37" t="n">
        <v>1.5</v>
      </c>
      <c r="N124" s="37" t="n">
        <v>0.6899999999999999</v>
      </c>
      <c r="O124" s="37" t="n">
        <v>1.13</v>
      </c>
      <c r="P124" s="37" t="n">
        <v>0.61</v>
      </c>
      <c r="Q124" s="37" t="n">
        <v>0.3</v>
      </c>
      <c r="R124" s="44" t="n">
        <v>1.13</v>
      </c>
      <c r="S124" s="44" t="n">
        <v>0.6899999999999999</v>
      </c>
      <c r="T124" s="37" t="n">
        <v>90</v>
      </c>
      <c r="U124" s="37" t="inlineStr">
        <is>
          <t>ASSUMED</t>
        </is>
      </c>
      <c r="V124" s="37" t="inlineStr">
        <is>
          <t>MS51527 covers matched-dash sizes only; Air-Way remains single source.</t>
        </is>
      </c>
      <c r="W124" s="37" t="inlineStr">
        <is>
          <t>BUILD</t>
        </is>
      </c>
      <c r="X124" s="37" t="inlineStr">
        <is>
          <t>Hex = Air-Way C4 column (per-part). Matched sizes in this topology corroborate the column.</t>
        </is>
      </c>
      <c r="Z124" s="45" t="inlineStr">
        <is>
          <t>Carbon Steel</t>
        </is>
      </c>
      <c r="AA124" s="45" t="inlineStr">
        <is>
          <t>ASTM A108 12L14</t>
        </is>
      </c>
      <c r="AB124" s="45" t="inlineStr">
        <is>
          <t>Trivalent Cr3 Zinc</t>
        </is>
      </c>
      <c r="AC124" s="45" t="inlineStr">
        <is>
          <t>ASTM B633 Type V/VI</t>
        </is>
      </c>
      <c r="AD124" s="46" t="n">
        <v>3500</v>
      </c>
      <c r="AE124" s="46" t="inlineStr">
        <is>
          <t>generic SAE table @ dash -12 (governing end)</t>
        </is>
      </c>
      <c r="AF124" s="46" t="n">
        <v>-65</v>
      </c>
      <c r="AG124" s="46" t="n">
        <v>400</v>
      </c>
      <c r="AH124" s="37" t="inlineStr">
        <is>
          <t>Ham-Let + hoseandfittings (pressure); Parker Cat.4300 (material); ASTM B633 (finish); see StandardsData</t>
        </is>
      </c>
    </row>
    <row r="125" ht="15" customHeight="1" s="35">
      <c r="A125" s="37" t="inlineStr">
        <is>
          <t>6801-12-08-NWO-FG</t>
        </is>
      </c>
      <c r="B125" s="37" t="inlineStr">
        <is>
          <t>6801-12-8 NWO-FG</t>
        </is>
      </c>
      <c r="C125" s="37" t="inlineStr">
        <is>
          <t>6801</t>
        </is>
      </c>
      <c r="D125" s="37" t="n">
        <v>134</v>
      </c>
      <c r="E125" s="37" t="inlineStr">
        <is>
          <t>90 deg</t>
        </is>
      </c>
      <c r="F125" s="37" t="inlineStr">
        <is>
          <t>90 deg Straight Thread Elbow, 1 1/16-12 x 3/4-16</t>
        </is>
      </c>
      <c r="G125" s="37" t="inlineStr">
        <is>
          <t>3/4-16</t>
        </is>
      </c>
      <c r="H125" s="37" t="inlineStr">
        <is>
          <t>1 1/16-12</t>
        </is>
      </c>
      <c r="I125" s="37" t="n"/>
      <c r="J125" s="37" t="inlineStr">
        <is>
          <t>SAE J1926-3</t>
        </is>
      </c>
      <c r="K125" s="37" t="inlineStr">
        <is>
          <t>SAE J514-1</t>
        </is>
      </c>
      <c r="L125" s="37" t="n">
        <v>1.66</v>
      </c>
      <c r="M125" s="37" t="n">
        <v>1.62</v>
      </c>
      <c r="N125" s="37" t="n">
        <v>0.88</v>
      </c>
      <c r="O125" s="37" t="n">
        <v>1.06</v>
      </c>
      <c r="P125" s="37" t="n">
        <v>0.61</v>
      </c>
      <c r="Q125" s="37" t="n">
        <v>0.39</v>
      </c>
      <c r="R125" s="44" t="n">
        <v>1.06</v>
      </c>
      <c r="S125" s="44" t="n">
        <v>0.88</v>
      </c>
      <c r="T125" s="37" t="n">
        <v>90</v>
      </c>
      <c r="U125" s="37" t="inlineStr">
        <is>
          <t>ASSUMED</t>
        </is>
      </c>
      <c r="V125" s="37" t="inlineStr">
        <is>
          <t>MS51527 covers matched-dash sizes only; Air-Way remains single source.</t>
        </is>
      </c>
      <c r="W125" s="37" t="inlineStr">
        <is>
          <t>BUILD</t>
        </is>
      </c>
      <c r="X125" s="37" t="inlineStr">
        <is>
          <t>Hex = Air-Way C4 column (per-part). Matched sizes in this topology corroborate the column.</t>
        </is>
      </c>
      <c r="Z125" s="45" t="inlineStr">
        <is>
          <t>Carbon Steel</t>
        </is>
      </c>
      <c r="AA125" s="45" t="inlineStr">
        <is>
          <t>ASTM A108 12L14</t>
        </is>
      </c>
      <c r="AB125" s="45" t="inlineStr">
        <is>
          <t>Trivalent Cr3 Zinc</t>
        </is>
      </c>
      <c r="AC125" s="45" t="inlineStr">
        <is>
          <t>ASTM B633 Type V/VI</t>
        </is>
      </c>
      <c r="AD125" s="46" t="n">
        <v>3500</v>
      </c>
      <c r="AE125" s="46" t="inlineStr">
        <is>
          <t>generic SAE table @ dash -12 (governing end)</t>
        </is>
      </c>
      <c r="AF125" s="46" t="n">
        <v>-65</v>
      </c>
      <c r="AG125" s="46" t="n">
        <v>400</v>
      </c>
      <c r="AH125" s="37" t="inlineStr">
        <is>
          <t>Ham-Let + hoseandfittings (pressure); Parker Cat.4300 (material); ASTM B633 (finish); see StandardsData</t>
        </is>
      </c>
    </row>
    <row r="126" ht="15" customHeight="1" s="35">
      <c r="A126" s="37" t="inlineStr">
        <is>
          <t>6801-12-08-NWO</t>
        </is>
      </c>
      <c r="B126" s="37" t="inlineStr">
        <is>
          <t>6801-12-8 NWO</t>
        </is>
      </c>
      <c r="C126" s="37" t="inlineStr">
        <is>
          <t>6801</t>
        </is>
      </c>
      <c r="D126" s="37" t="n">
        <v>134</v>
      </c>
      <c r="E126" s="37" t="inlineStr">
        <is>
          <t>90 deg</t>
        </is>
      </c>
      <c r="F126" s="37" t="inlineStr">
        <is>
          <t>90 deg Straight Thread Elbow, 1 1/16-12 x 3/4-16</t>
        </is>
      </c>
      <c r="G126" s="37" t="inlineStr">
        <is>
          <t>3/4-16</t>
        </is>
      </c>
      <c r="H126" s="37" t="inlineStr">
        <is>
          <t>1 1/16-12</t>
        </is>
      </c>
      <c r="I126" s="37" t="n"/>
      <c r="J126" s="37" t="inlineStr">
        <is>
          <t>SAE J1926-3</t>
        </is>
      </c>
      <c r="K126" s="37" t="inlineStr">
        <is>
          <t>SAE J514-1</t>
        </is>
      </c>
      <c r="L126" s="37" t="n">
        <v>1.66</v>
      </c>
      <c r="M126" s="37" t="n">
        <v>1.61</v>
      </c>
      <c r="N126" s="37" t="n">
        <v>0.88</v>
      </c>
      <c r="O126" s="37" t="n">
        <v>1.13</v>
      </c>
      <c r="P126" s="37" t="n">
        <v>0.61</v>
      </c>
      <c r="Q126" s="37" t="n">
        <v>0.39</v>
      </c>
      <c r="R126" s="44" t="n">
        <v>1.13</v>
      </c>
      <c r="S126" s="44" t="n">
        <v>0.88</v>
      </c>
      <c r="T126" s="37" t="n">
        <v>90</v>
      </c>
      <c r="U126" s="37" t="inlineStr">
        <is>
          <t>ASSUMED</t>
        </is>
      </c>
      <c r="V126" s="37" t="inlineStr">
        <is>
          <t>MS51527 covers matched-dash sizes only; Air-Way remains single source.</t>
        </is>
      </c>
      <c r="W126" s="37" t="inlineStr">
        <is>
          <t>BUILD</t>
        </is>
      </c>
      <c r="X126" s="37" t="inlineStr">
        <is>
          <t>Hex = Air-Way C4 column (per-part). Matched sizes in this topology corroborate the column.</t>
        </is>
      </c>
      <c r="Z126" s="45" t="inlineStr">
        <is>
          <t>Carbon Steel</t>
        </is>
      </c>
      <c r="AA126" s="45" t="inlineStr">
        <is>
          <t>ASTM A108 12L14</t>
        </is>
      </c>
      <c r="AB126" s="45" t="inlineStr">
        <is>
          <t>Trivalent Cr3 Zinc</t>
        </is>
      </c>
      <c r="AC126" s="45" t="inlineStr">
        <is>
          <t>ASTM B633 Type V/VI</t>
        </is>
      </c>
      <c r="AD126" s="46" t="n">
        <v>3500</v>
      </c>
      <c r="AE126" s="46" t="inlineStr">
        <is>
          <t>generic SAE table @ dash -12 (governing end)</t>
        </is>
      </c>
      <c r="AF126" s="46" t="n">
        <v>-65</v>
      </c>
      <c r="AG126" s="46" t="n">
        <v>400</v>
      </c>
      <c r="AH126" s="37" t="inlineStr">
        <is>
          <t>Ham-Let + hoseandfittings (pressure); Parker Cat.4300 (material); ASTM B633 (finish); see StandardsData</t>
        </is>
      </c>
    </row>
    <row r="127" ht="15" customHeight="1" s="35">
      <c r="A127" s="37" t="inlineStr">
        <is>
          <t>6801-12-10-NWO-FG</t>
        </is>
      </c>
      <c r="B127" s="37" t="inlineStr">
        <is>
          <t>6801-12-10 NWO-FG</t>
        </is>
      </c>
      <c r="C127" s="37" t="inlineStr">
        <is>
          <t>6801</t>
        </is>
      </c>
      <c r="D127" s="37" t="n">
        <v>134</v>
      </c>
      <c r="E127" s="37" t="inlineStr">
        <is>
          <t>90 deg</t>
        </is>
      </c>
      <c r="F127" s="37" t="inlineStr">
        <is>
          <t>90 deg Straight Thread Elbow, 1 1/16-12 x 7/8-14</t>
        </is>
      </c>
      <c r="G127" s="37" t="inlineStr">
        <is>
          <t>7/8-14</t>
        </is>
      </c>
      <c r="H127" s="37" t="inlineStr">
        <is>
          <t>1 1/16-12</t>
        </is>
      </c>
      <c r="I127" s="37" t="n"/>
      <c r="J127" s="37" t="inlineStr">
        <is>
          <t>SAE J1926-3</t>
        </is>
      </c>
      <c r="K127" s="37" t="inlineStr">
        <is>
          <t>SAE J514-1</t>
        </is>
      </c>
      <c r="L127" s="37" t="n">
        <v>1.66</v>
      </c>
      <c r="M127" s="37" t="n">
        <v>1.78</v>
      </c>
      <c r="N127" s="37" t="n">
        <v>1</v>
      </c>
      <c r="O127" s="37" t="n">
        <v>1.06</v>
      </c>
      <c r="P127" s="37" t="n">
        <v>0.61</v>
      </c>
      <c r="Q127" s="37" t="n">
        <v>0.48</v>
      </c>
      <c r="R127" s="44" t="n">
        <v>1.06</v>
      </c>
      <c r="S127" s="44" t="n">
        <v>1</v>
      </c>
      <c r="T127" s="37" t="n">
        <v>90</v>
      </c>
      <c r="U127" s="37" t="inlineStr">
        <is>
          <t>ASSUMED</t>
        </is>
      </c>
      <c r="V127" s="37" t="inlineStr">
        <is>
          <t>MS51527 covers matched-dash sizes only; Air-Way remains single source.</t>
        </is>
      </c>
      <c r="W127" s="37" t="inlineStr">
        <is>
          <t>BUILD</t>
        </is>
      </c>
      <c r="X127" s="37" t="inlineStr">
        <is>
          <t>Hex = Air-Way C4 column (per-part). Matched sizes in this topology corroborate the column.</t>
        </is>
      </c>
      <c r="Z127" s="45" t="inlineStr">
        <is>
          <t>Carbon Steel</t>
        </is>
      </c>
      <c r="AA127" s="45" t="inlineStr">
        <is>
          <t>ASTM A108 12L14</t>
        </is>
      </c>
      <c r="AB127" s="45" t="inlineStr">
        <is>
          <t>Trivalent Cr3 Zinc</t>
        </is>
      </c>
      <c r="AC127" s="45" t="inlineStr">
        <is>
          <t>ASTM B633 Type V/VI</t>
        </is>
      </c>
      <c r="AD127" s="46" t="n">
        <v>3500</v>
      </c>
      <c r="AE127" s="46" t="inlineStr">
        <is>
          <t>generic SAE table @ dash -12 (governing end)</t>
        </is>
      </c>
      <c r="AF127" s="46" t="n">
        <v>-65</v>
      </c>
      <c r="AG127" s="46" t="n">
        <v>400</v>
      </c>
      <c r="AH127" s="37" t="inlineStr">
        <is>
          <t>Ham-Let + hoseandfittings (pressure); Parker Cat.4300 (material); ASTM B633 (finish); see StandardsData</t>
        </is>
      </c>
    </row>
    <row r="128" ht="15" customHeight="1" s="35">
      <c r="A128" s="37" t="inlineStr">
        <is>
          <t>6801-12-10-NWO</t>
        </is>
      </c>
      <c r="B128" s="37" t="inlineStr">
        <is>
          <t>6801-12-10 NWO</t>
        </is>
      </c>
      <c r="C128" s="37" t="inlineStr">
        <is>
          <t>6801</t>
        </is>
      </c>
      <c r="D128" s="37" t="n">
        <v>134</v>
      </c>
      <c r="E128" s="37" t="inlineStr">
        <is>
          <t>90 deg</t>
        </is>
      </c>
      <c r="F128" s="37" t="inlineStr">
        <is>
          <t>90 deg Straight Thread Elbow, 1 1/16-12 x 7/8-14</t>
        </is>
      </c>
      <c r="G128" s="37" t="inlineStr">
        <is>
          <t>7/8-14</t>
        </is>
      </c>
      <c r="H128" s="37" t="inlineStr">
        <is>
          <t>1 1/16-12</t>
        </is>
      </c>
      <c r="I128" s="37" t="n"/>
      <c r="J128" s="37" t="inlineStr">
        <is>
          <t>SAE J1926-3</t>
        </is>
      </c>
      <c r="K128" s="37" t="inlineStr">
        <is>
          <t>SAE J514-1</t>
        </is>
      </c>
      <c r="L128" s="37" t="n">
        <v>1.66</v>
      </c>
      <c r="M128" s="37" t="n">
        <v>1.8</v>
      </c>
      <c r="N128" s="37" t="n">
        <v>1</v>
      </c>
      <c r="O128" s="37" t="n">
        <v>1.13</v>
      </c>
      <c r="P128" s="37" t="n">
        <v>0.61</v>
      </c>
      <c r="Q128" s="37" t="n">
        <v>0.48</v>
      </c>
      <c r="R128" s="44" t="n">
        <v>1.13</v>
      </c>
      <c r="S128" s="44" t="n">
        <v>1</v>
      </c>
      <c r="T128" s="37" t="n">
        <v>90</v>
      </c>
      <c r="U128" s="37" t="inlineStr">
        <is>
          <t>ASSUMED</t>
        </is>
      </c>
      <c r="V128" s="37" t="inlineStr">
        <is>
          <t>MS51527 covers matched-dash sizes only; Air-Way remains single source.</t>
        </is>
      </c>
      <c r="W128" s="37" t="inlineStr">
        <is>
          <t>BUILD</t>
        </is>
      </c>
      <c r="X128" s="37" t="inlineStr">
        <is>
          <t>Hex = Air-Way C4 column (per-part). Matched sizes in this topology corroborate the column.</t>
        </is>
      </c>
      <c r="Z128" s="45" t="inlineStr">
        <is>
          <t>Carbon Steel</t>
        </is>
      </c>
      <c r="AA128" s="45" t="inlineStr">
        <is>
          <t>ASTM A108 12L14</t>
        </is>
      </c>
      <c r="AB128" s="45" t="inlineStr">
        <is>
          <t>Trivalent Cr3 Zinc</t>
        </is>
      </c>
      <c r="AC128" s="45" t="inlineStr">
        <is>
          <t>ASTM B633 Type V/VI</t>
        </is>
      </c>
      <c r="AD128" s="46" t="n">
        <v>3500</v>
      </c>
      <c r="AE128" s="46" t="inlineStr">
        <is>
          <t>generic SAE table @ dash -12 (governing end)</t>
        </is>
      </c>
      <c r="AF128" s="46" t="n">
        <v>-65</v>
      </c>
      <c r="AG128" s="46" t="n">
        <v>400</v>
      </c>
      <c r="AH128" s="37" t="inlineStr">
        <is>
          <t>Ham-Let + hoseandfittings (pressure); Parker Cat.4300 (material); ASTM B633 (finish); see StandardsData</t>
        </is>
      </c>
    </row>
    <row r="129" ht="15" customHeight="1" s="35">
      <c r="A129" s="37" t="inlineStr">
        <is>
          <t>6801-12-12-NWO-FG</t>
        </is>
      </c>
      <c r="B129" s="37" t="inlineStr">
        <is>
          <t>6801-12-12 NWO-FG</t>
        </is>
      </c>
      <c r="C129" s="37" t="inlineStr">
        <is>
          <t>6801</t>
        </is>
      </c>
      <c r="D129" s="37" t="n">
        <v>134</v>
      </c>
      <c r="E129" s="37" t="inlineStr">
        <is>
          <t>90 deg</t>
        </is>
      </c>
      <c r="F129" s="37" t="inlineStr">
        <is>
          <t>90 deg Straight Thread Elbow, 1 1/16-12 x 1 1/16-12</t>
        </is>
      </c>
      <c r="G129" s="37" t="inlineStr">
        <is>
          <t>1 1/16-12</t>
        </is>
      </c>
      <c r="H129" s="37" t="inlineStr">
        <is>
          <t>1 1/16-12</t>
        </is>
      </c>
      <c r="I129" s="37" t="n"/>
      <c r="J129" s="37" t="inlineStr">
        <is>
          <t>SAE J1926-3</t>
        </is>
      </c>
      <c r="K129" s="37" t="inlineStr">
        <is>
          <t>SAE J514-1</t>
        </is>
      </c>
      <c r="L129" s="37" t="n">
        <v>1.66</v>
      </c>
      <c r="M129" s="37" t="n">
        <v>1.94</v>
      </c>
      <c r="N129" s="37" t="n">
        <v>1.25</v>
      </c>
      <c r="O129" s="37" t="n">
        <v>1.06</v>
      </c>
      <c r="P129" s="37" t="n">
        <v>0.61</v>
      </c>
      <c r="Q129" s="37" t="n">
        <v>0.61</v>
      </c>
      <c r="R129" s="45" t="n">
        <v>1.06</v>
      </c>
      <c r="S129" s="45" t="n">
        <v>1.25</v>
      </c>
      <c r="T129" s="37" t="n">
        <v>90</v>
      </c>
      <c r="U129" s="37" t="inlineStr">
        <is>
          <t>VERIFIED</t>
        </is>
      </c>
      <c r="V129" s="37" t="inlineStr">
        <is>
          <t>MS51527 cross-check 2026-09-04: threads, both legs, both bores AGREE.</t>
        </is>
      </c>
      <c r="W129" s="37" t="inlineStr">
        <is>
          <t>BUILD</t>
        </is>
      </c>
      <c r="X129" s="37" t="inlineStr">
        <is>
          <t>Hex = Air-Way C4 column, CONFIRMED vs PressureConnections/Purvis.</t>
        </is>
      </c>
      <c r="Z129" s="45" t="inlineStr">
        <is>
          <t>Carbon Steel</t>
        </is>
      </c>
      <c r="AA129" s="45" t="inlineStr">
        <is>
          <t>ASTM A108 12L14</t>
        </is>
      </c>
      <c r="AB129" s="45" t="inlineStr">
        <is>
          <t>Trivalent Cr3 Zinc</t>
        </is>
      </c>
      <c r="AC129" s="45" t="inlineStr">
        <is>
          <t>ASTM B633 Type V/VI</t>
        </is>
      </c>
      <c r="AD129" s="46" t="n">
        <v>3500</v>
      </c>
      <c r="AE129" s="46" t="inlineStr">
        <is>
          <t>generic SAE table @ dash -12 (governing end)</t>
        </is>
      </c>
      <c r="AF129" s="46" t="n">
        <v>-65</v>
      </c>
      <c r="AG129" s="46" t="n">
        <v>400</v>
      </c>
      <c r="AH129" s="37" t="inlineStr">
        <is>
          <t>Ham-Let + hoseandfittings (pressure); Parker Cat.4300 (material); ASTM B633 (finish); see StandardsData</t>
        </is>
      </c>
    </row>
    <row r="130" ht="15" customHeight="1" s="35">
      <c r="A130" s="37" t="inlineStr">
        <is>
          <t>6801-12-12-NWO</t>
        </is>
      </c>
      <c r="B130" s="37" t="inlineStr">
        <is>
          <t>6801-12-12 NWO</t>
        </is>
      </c>
      <c r="C130" s="37" t="inlineStr">
        <is>
          <t>6801</t>
        </is>
      </c>
      <c r="D130" s="37" t="n">
        <v>134</v>
      </c>
      <c r="E130" s="37" t="inlineStr">
        <is>
          <t>90 deg</t>
        </is>
      </c>
      <c r="F130" s="37" t="inlineStr">
        <is>
          <t>90 deg Straight Thread Elbow, 1 1/16-12 x 1 1/16-12</t>
        </is>
      </c>
      <c r="G130" s="37" t="inlineStr">
        <is>
          <t>1 1/16-12</t>
        </is>
      </c>
      <c r="H130" s="37" t="inlineStr">
        <is>
          <t>1 1/16-12</t>
        </is>
      </c>
      <c r="I130" s="37" t="n"/>
      <c r="J130" s="37" t="inlineStr">
        <is>
          <t>SAE J1926-3</t>
        </is>
      </c>
      <c r="K130" s="37" t="inlineStr">
        <is>
          <t>SAE J514-1</t>
        </is>
      </c>
      <c r="L130" s="37" t="n">
        <v>1.66</v>
      </c>
      <c r="M130" s="37" t="n">
        <v>1.94</v>
      </c>
      <c r="N130" s="37" t="n">
        <v>1.25</v>
      </c>
      <c r="O130" s="37" t="n">
        <v>1.13</v>
      </c>
      <c r="P130" s="37" t="n">
        <v>0.61</v>
      </c>
      <c r="Q130" s="37" t="n">
        <v>0.61</v>
      </c>
      <c r="R130" s="45" t="n">
        <v>1.13</v>
      </c>
      <c r="S130" s="45" t="n">
        <v>1.25</v>
      </c>
      <c r="T130" s="37" t="n">
        <v>90</v>
      </c>
      <c r="U130" s="37" t="inlineStr">
        <is>
          <t>VERIFIED</t>
        </is>
      </c>
      <c r="V130" s="37" t="inlineStr">
        <is>
          <t>MS51527 cross-check 2026-09-04: threads, both legs, both bores AGREE.</t>
        </is>
      </c>
      <c r="W130" s="37" t="inlineStr">
        <is>
          <t>BUILD</t>
        </is>
      </c>
      <c r="X130" s="37" t="inlineStr">
        <is>
          <t>Hex = Air-Way C4 column, CONFIRMED vs PressureConnections/Purvis.</t>
        </is>
      </c>
      <c r="Z130" s="45" t="inlineStr">
        <is>
          <t>Carbon Steel</t>
        </is>
      </c>
      <c r="AA130" s="45" t="inlineStr">
        <is>
          <t>ASTM A108 12L14</t>
        </is>
      </c>
      <c r="AB130" s="45" t="inlineStr">
        <is>
          <t>Trivalent Cr3 Zinc</t>
        </is>
      </c>
      <c r="AC130" s="45" t="inlineStr">
        <is>
          <t>ASTM B633 Type V/VI</t>
        </is>
      </c>
      <c r="AD130" s="46" t="n">
        <v>3500</v>
      </c>
      <c r="AE130" s="46" t="inlineStr">
        <is>
          <t>generic SAE table @ dash -12 (governing end)</t>
        </is>
      </c>
      <c r="AF130" s="46" t="n">
        <v>-65</v>
      </c>
      <c r="AG130" s="46" t="n">
        <v>400</v>
      </c>
      <c r="AH130" s="37" t="inlineStr">
        <is>
          <t>Ham-Let + hoseandfittings (pressure); Parker Cat.4300 (material); ASTM B633 (finish); see StandardsData</t>
        </is>
      </c>
    </row>
    <row r="131" ht="15" customHeight="1" s="35">
      <c r="A131" s="37" t="inlineStr">
        <is>
          <t>6801-12-14-NWO</t>
        </is>
      </c>
      <c r="B131" s="37" t="inlineStr">
        <is>
          <t>6801-12-14 NWO</t>
        </is>
      </c>
      <c r="C131" s="37" t="inlineStr">
        <is>
          <t>6801</t>
        </is>
      </c>
      <c r="D131" s="37" t="n">
        <v>134</v>
      </c>
      <c r="E131" s="37" t="inlineStr">
        <is>
          <t>90 deg</t>
        </is>
      </c>
      <c r="F131" s="37" t="inlineStr">
        <is>
          <t>90 deg Straight Thread Elbow, 1 1/16-12 x 1 3/16-12</t>
        </is>
      </c>
      <c r="G131" s="37" t="inlineStr">
        <is>
          <t>1 3/16-12</t>
        </is>
      </c>
      <c r="H131" s="37" t="inlineStr">
        <is>
          <t>1 1/16-12</t>
        </is>
      </c>
      <c r="I131" s="37" t="n"/>
      <c r="J131" s="37" t="inlineStr">
        <is>
          <t>SAE J1926-3</t>
        </is>
      </c>
      <c r="K131" s="37" t="inlineStr">
        <is>
          <t>SAE J514-1</t>
        </is>
      </c>
      <c r="L131" s="37" t="n">
        <v>1.72</v>
      </c>
      <c r="M131" s="37" t="n">
        <v>2</v>
      </c>
      <c r="N131" s="37" t="n">
        <v>1.38</v>
      </c>
      <c r="O131" s="37" t="n">
        <v>1.25</v>
      </c>
      <c r="P131" s="37" t="n">
        <v>0.61</v>
      </c>
      <c r="Q131" s="37" t="n">
        <v>0.72</v>
      </c>
      <c r="R131" s="44" t="n">
        <v>1.25</v>
      </c>
      <c r="S131" s="44" t="n">
        <v>1.38</v>
      </c>
      <c r="T131" s="37" t="n">
        <v>90</v>
      </c>
      <c r="U131" s="37" t="inlineStr">
        <is>
          <t>ASSUMED</t>
        </is>
      </c>
      <c r="V131" s="37" t="inlineStr">
        <is>
          <t>MS51527 covers matched-dash sizes only; Air-Way remains single source.</t>
        </is>
      </c>
      <c r="W131" s="37" t="inlineStr">
        <is>
          <t>BUILD</t>
        </is>
      </c>
      <c r="X131" s="37" t="inlineStr">
        <is>
          <t>Hex = Air-Way C4 column (per-part). Matched sizes in this topology corroborate the column.</t>
        </is>
      </c>
      <c r="Z131" s="45" t="inlineStr">
        <is>
          <t>Carbon Steel</t>
        </is>
      </c>
      <c r="AA131" s="45" t="inlineStr">
        <is>
          <t>ASTM A108 12L14</t>
        </is>
      </c>
      <c r="AB131" s="45" t="inlineStr">
        <is>
          <t>Trivalent Cr3 Zinc</t>
        </is>
      </c>
      <c r="AC131" s="45" t="inlineStr">
        <is>
          <t>ASTM B633 Type V/VI</t>
        </is>
      </c>
      <c r="AD131" s="46" t="n">
        <v>3000</v>
      </c>
      <c r="AE131" s="46" t="inlineStr">
        <is>
          <t>generic SAE table @ dash -14 (governing end)</t>
        </is>
      </c>
      <c r="AF131" s="46" t="n">
        <v>-65</v>
      </c>
      <c r="AG131" s="46" t="n">
        <v>400</v>
      </c>
      <c r="AH131" s="37" t="inlineStr">
        <is>
          <t>Ham-Let + hoseandfittings (pressure); Parker Cat.4300 (material); ASTM B633 (finish); see StandardsData</t>
        </is>
      </c>
    </row>
    <row r="132" ht="15" customHeight="1" s="35">
      <c r="A132" s="37" t="inlineStr">
        <is>
          <t>6801-12-16-NWO-FG</t>
        </is>
      </c>
      <c r="B132" s="37" t="inlineStr">
        <is>
          <t>6801-12-16 NWO-FG</t>
        </is>
      </c>
      <c r="C132" s="37" t="inlineStr">
        <is>
          <t>6801</t>
        </is>
      </c>
      <c r="D132" s="37" t="n">
        <v>134</v>
      </c>
      <c r="E132" s="37" t="inlineStr">
        <is>
          <t>90 deg</t>
        </is>
      </c>
      <c r="F132" s="37" t="inlineStr">
        <is>
          <t>90 deg Straight Thread Elbow, 1 1/16-12 x 1 5/16-12</t>
        </is>
      </c>
      <c r="G132" s="37" t="inlineStr">
        <is>
          <t>1 5/16-12</t>
        </is>
      </c>
      <c r="H132" s="37" t="inlineStr">
        <is>
          <t>1 1/16-12</t>
        </is>
      </c>
      <c r="I132" s="37" t="n"/>
      <c r="J132" s="37" t="inlineStr">
        <is>
          <t>SAE J1926-3</t>
        </is>
      </c>
      <c r="K132" s="37" t="inlineStr">
        <is>
          <t>SAE J514-1</t>
        </is>
      </c>
      <c r="L132" s="37" t="n">
        <v>1.76</v>
      </c>
      <c r="M132" s="37" t="n">
        <v>2.05</v>
      </c>
      <c r="N132" s="37" t="n">
        <v>1.5</v>
      </c>
      <c r="O132" s="37" t="n">
        <v>1.31</v>
      </c>
      <c r="P132" s="37" t="n">
        <v>0.61</v>
      </c>
      <c r="Q132" s="37" t="n">
        <v>0.84</v>
      </c>
      <c r="R132" s="44" t="n">
        <v>1.31</v>
      </c>
      <c r="S132" s="44" t="n">
        <v>1.5</v>
      </c>
      <c r="T132" s="37" t="n">
        <v>90</v>
      </c>
      <c r="U132" s="37" t="inlineStr">
        <is>
          <t>ASSUMED</t>
        </is>
      </c>
      <c r="V132" s="37" t="inlineStr">
        <is>
          <t>MS51527 covers matched-dash sizes only; Air-Way remains single source.</t>
        </is>
      </c>
      <c r="W132" s="37" t="inlineStr">
        <is>
          <t>BUILD</t>
        </is>
      </c>
      <c r="X132" s="37" t="inlineStr">
        <is>
          <t>Hex = Air-Way C4 column (per-part). Matched sizes in this topology corroborate the column.</t>
        </is>
      </c>
      <c r="Z132" s="45" t="inlineStr">
        <is>
          <t>Carbon Steel</t>
        </is>
      </c>
      <c r="AA132" s="45" t="inlineStr">
        <is>
          <t>ASTM A108 12L14</t>
        </is>
      </c>
      <c r="AB132" s="45" t="inlineStr">
        <is>
          <t>Trivalent Cr3 Zinc</t>
        </is>
      </c>
      <c r="AC132" s="45" t="inlineStr">
        <is>
          <t>ASTM B633 Type V/VI</t>
        </is>
      </c>
      <c r="AD132" s="46" t="n">
        <v>3000</v>
      </c>
      <c r="AE132" s="46" t="inlineStr">
        <is>
          <t>generic SAE table @ dash -16 (governing end)</t>
        </is>
      </c>
      <c r="AF132" s="46" t="n">
        <v>-65</v>
      </c>
      <c r="AG132" s="46" t="n">
        <v>400</v>
      </c>
      <c r="AH132" s="37" t="inlineStr">
        <is>
          <t>Ham-Let + hoseandfittings (pressure); Parker Cat.4300 (material); ASTM B633 (finish); see StandardsData</t>
        </is>
      </c>
    </row>
    <row r="133" ht="15" customHeight="1" s="35">
      <c r="A133" s="37" t="inlineStr">
        <is>
          <t>6801-12-16-NWO</t>
        </is>
      </c>
      <c r="B133" s="37" t="inlineStr">
        <is>
          <t>6801-12-16 NWO</t>
        </is>
      </c>
      <c r="C133" s="37" t="inlineStr">
        <is>
          <t>6801</t>
        </is>
      </c>
      <c r="D133" s="37" t="n">
        <v>134</v>
      </c>
      <c r="E133" s="37" t="inlineStr">
        <is>
          <t>90 deg</t>
        </is>
      </c>
      <c r="F133" s="37" t="inlineStr">
        <is>
          <t>90 deg Straight Thread Elbow, 1 1/16-12 x 1 5/16-12</t>
        </is>
      </c>
      <c r="G133" s="37" t="inlineStr">
        <is>
          <t>1 5/16-12</t>
        </is>
      </c>
      <c r="H133" s="37" t="inlineStr">
        <is>
          <t>1 1/16-12</t>
        </is>
      </c>
      <c r="I133" s="37" t="n"/>
      <c r="J133" s="37" t="inlineStr">
        <is>
          <t>SAE J1926-3</t>
        </is>
      </c>
      <c r="K133" s="37" t="inlineStr">
        <is>
          <t>SAE J514-1</t>
        </is>
      </c>
      <c r="L133" s="37" t="n">
        <v>1.78</v>
      </c>
      <c r="M133" s="37" t="n">
        <v>2.05</v>
      </c>
      <c r="N133" s="37" t="n">
        <v>1.5</v>
      </c>
      <c r="O133" s="37" t="n">
        <v>1.38</v>
      </c>
      <c r="P133" s="37" t="n">
        <v>0.61</v>
      </c>
      <c r="Q133" s="37" t="n">
        <v>0.84</v>
      </c>
      <c r="R133" s="44" t="n">
        <v>1.38</v>
      </c>
      <c r="S133" s="44" t="n">
        <v>1.5</v>
      </c>
      <c r="T133" s="37" t="n">
        <v>90</v>
      </c>
      <c r="U133" s="37" t="inlineStr">
        <is>
          <t>ASSUMED</t>
        </is>
      </c>
      <c r="V133" s="37" t="inlineStr">
        <is>
          <t>MS51527 covers matched-dash sizes only; Air-Way remains single source.</t>
        </is>
      </c>
      <c r="W133" s="37" t="inlineStr">
        <is>
          <t>BUILD</t>
        </is>
      </c>
      <c r="X133" s="37" t="inlineStr">
        <is>
          <t>Hex = Air-Way C4 column (per-part). Matched sizes in this topology corroborate the column.</t>
        </is>
      </c>
      <c r="Z133" s="45" t="inlineStr">
        <is>
          <t>Carbon Steel</t>
        </is>
      </c>
      <c r="AA133" s="45" t="inlineStr">
        <is>
          <t>ASTM A108 12L14</t>
        </is>
      </c>
      <c r="AB133" s="45" t="inlineStr">
        <is>
          <t>Trivalent Cr3 Zinc</t>
        </is>
      </c>
      <c r="AC133" s="45" t="inlineStr">
        <is>
          <t>ASTM B633 Type V/VI</t>
        </is>
      </c>
      <c r="AD133" s="46" t="n">
        <v>3000</v>
      </c>
      <c r="AE133" s="46" t="inlineStr">
        <is>
          <t>generic SAE table @ dash -16 (governing end)</t>
        </is>
      </c>
      <c r="AF133" s="46" t="n">
        <v>-65</v>
      </c>
      <c r="AG133" s="46" t="n">
        <v>400</v>
      </c>
      <c r="AH133" s="37" t="inlineStr">
        <is>
          <t>Ham-Let + hoseandfittings (pressure); Parker Cat.4300 (material); ASTM B633 (finish); see StandardsData</t>
        </is>
      </c>
    </row>
    <row r="134" ht="15" customHeight="1" s="35">
      <c r="A134" s="37" t="inlineStr">
        <is>
          <t>6801-12-20-NWO</t>
        </is>
      </c>
      <c r="B134" s="37" t="inlineStr">
        <is>
          <t>6801-12-20 NWO</t>
        </is>
      </c>
      <c r="C134" s="37" t="inlineStr">
        <is>
          <t>6801</t>
        </is>
      </c>
      <c r="D134" s="37" t="n">
        <v>134</v>
      </c>
      <c r="E134" s="37" t="inlineStr">
        <is>
          <t>90 deg</t>
        </is>
      </c>
      <c r="F134" s="37" t="inlineStr">
        <is>
          <t>90 deg Straight Thread Elbow, 1 1/16-12 x 1 5/8-12</t>
        </is>
      </c>
      <c r="G134" s="37" t="inlineStr">
        <is>
          <t>1 5/8-12</t>
        </is>
      </c>
      <c r="H134" s="37" t="inlineStr">
        <is>
          <t>1 1/16-12</t>
        </is>
      </c>
      <c r="I134" s="37" t="n"/>
      <c r="J134" s="37" t="inlineStr">
        <is>
          <t>SAE J1926-3</t>
        </is>
      </c>
      <c r="K134" s="37" t="inlineStr">
        <is>
          <t>SAE J514-1</t>
        </is>
      </c>
      <c r="L134" s="37" t="n">
        <v>1.97</v>
      </c>
      <c r="M134" s="37" t="n">
        <v>2.25</v>
      </c>
      <c r="N134" s="37" t="n">
        <v>1.88</v>
      </c>
      <c r="O134" s="37" t="n">
        <v>1.75</v>
      </c>
      <c r="P134" s="37" t="n">
        <v>0.61</v>
      </c>
      <c r="Q134" s="37" t="n">
        <v>1.08</v>
      </c>
      <c r="R134" s="44" t="n">
        <v>1.75</v>
      </c>
      <c r="S134" s="44" t="n">
        <v>1.88</v>
      </c>
      <c r="T134" s="37" t="n">
        <v>90</v>
      </c>
      <c r="U134" s="37" t="inlineStr">
        <is>
          <t>ASSUMED</t>
        </is>
      </c>
      <c r="V134" s="37" t="inlineStr">
        <is>
          <t>MS51527 covers matched-dash sizes only; Air-Way remains single source.</t>
        </is>
      </c>
      <c r="W134" s="37" t="inlineStr">
        <is>
          <t>BUILD</t>
        </is>
      </c>
      <c r="X134" s="37" t="inlineStr">
        <is>
          <t>Hex = Air-Way C4 column (per-part). Matched sizes in this topology corroborate the column.</t>
        </is>
      </c>
      <c r="Z134" s="45" t="inlineStr">
        <is>
          <t>Carbon Steel</t>
        </is>
      </c>
      <c r="AA134" s="45" t="inlineStr">
        <is>
          <t>ASTM A108 12L14</t>
        </is>
      </c>
      <c r="AB134" s="45" t="inlineStr">
        <is>
          <t>Trivalent Cr3 Zinc</t>
        </is>
      </c>
      <c r="AC134" s="45" t="inlineStr">
        <is>
          <t>ASTM B633 Type V/VI</t>
        </is>
      </c>
      <c r="AD134" s="46" t="n">
        <v>2500</v>
      </c>
      <c r="AE134" s="46" t="inlineStr">
        <is>
          <t>generic SAE table @ dash -20 (governing end)</t>
        </is>
      </c>
      <c r="AF134" s="46" t="n">
        <v>-65</v>
      </c>
      <c r="AG134" s="46" t="n">
        <v>400</v>
      </c>
      <c r="AH134" s="37" t="inlineStr">
        <is>
          <t>Ham-Let + hoseandfittings (pressure); Parker Cat.4300 (material); ASTM B633 (finish); see StandardsData</t>
        </is>
      </c>
    </row>
    <row r="135" ht="15" customHeight="1" s="35">
      <c r="A135" s="37" t="inlineStr">
        <is>
          <t>6801-14-14-NWO</t>
        </is>
      </c>
      <c r="B135" s="37" t="inlineStr">
        <is>
          <t>6801-14-14 NWO</t>
        </is>
      </c>
      <c r="C135" s="37" t="inlineStr">
        <is>
          <t>6801</t>
        </is>
      </c>
      <c r="D135" s="37" t="n">
        <v>134</v>
      </c>
      <c r="E135" s="37" t="inlineStr">
        <is>
          <t>90 deg</t>
        </is>
      </c>
      <c r="F135" s="37" t="inlineStr">
        <is>
          <t>90 deg Straight Thread Elbow, 1 3/16-12 x 1 3/16-12</t>
        </is>
      </c>
      <c r="G135" s="37" t="inlineStr">
        <is>
          <t>1 3/16-12</t>
        </is>
      </c>
      <c r="H135" s="37" t="inlineStr">
        <is>
          <t>1 3/16-12</t>
        </is>
      </c>
      <c r="I135" s="37" t="n"/>
      <c r="J135" s="37" t="inlineStr">
        <is>
          <t>SAE J1926-3</t>
        </is>
      </c>
      <c r="K135" s="37" t="inlineStr">
        <is>
          <t>SAE J514-1</t>
        </is>
      </c>
      <c r="L135" s="37" t="n">
        <v>1.8</v>
      </c>
      <c r="M135" s="37" t="n">
        <v>2</v>
      </c>
      <c r="N135" s="37" t="n">
        <v>1.38</v>
      </c>
      <c r="O135" s="37" t="n">
        <v>1.25</v>
      </c>
      <c r="P135" s="37" t="n">
        <v>0.72</v>
      </c>
      <c r="Q135" s="37" t="n">
        <v>0.72</v>
      </c>
      <c r="R135" s="44" t="n">
        <v>1.25</v>
      </c>
      <c r="S135" s="44" t="n">
        <v>1.38</v>
      </c>
      <c r="T135" s="37" t="n">
        <v>90</v>
      </c>
      <c r="U135" s="37" t="inlineStr">
        <is>
          <t>ASSUMED</t>
        </is>
      </c>
      <c r="V135" s="37" t="inlineStr">
        <is>
          <t>MS51527 cross-check 2026-09-04: threads, both legs, both bores AGREE.</t>
        </is>
      </c>
      <c r="W135" s="37" t="inlineStr">
        <is>
          <t>BUILD</t>
        </is>
      </c>
      <c r="X135" s="37" t="inlineStr">
        <is>
          <t>Hex = Air-Way C4 column (per-part). Matched sizes in this topology corroborate the column.</t>
        </is>
      </c>
      <c r="Z135" s="45" t="inlineStr">
        <is>
          <t>Carbon Steel</t>
        </is>
      </c>
      <c r="AA135" s="45" t="inlineStr">
        <is>
          <t>ASTM A108 12L14</t>
        </is>
      </c>
      <c r="AB135" s="45" t="inlineStr">
        <is>
          <t>Trivalent Cr3 Zinc</t>
        </is>
      </c>
      <c r="AC135" s="45" t="inlineStr">
        <is>
          <t>ASTM B633 Type V/VI</t>
        </is>
      </c>
      <c r="AD135" s="46" t="n">
        <v>3000</v>
      </c>
      <c r="AE135" s="46" t="inlineStr">
        <is>
          <t>generic SAE table @ dash -14 (governing end)</t>
        </is>
      </c>
      <c r="AF135" s="46" t="n">
        <v>-65</v>
      </c>
      <c r="AG135" s="46" t="n">
        <v>400</v>
      </c>
      <c r="AH135" s="37" t="inlineStr">
        <is>
          <t>Ham-Let + hoseandfittings (pressure); Parker Cat.4300 (material); ASTM B633 (finish); see StandardsData</t>
        </is>
      </c>
    </row>
    <row r="136" ht="15" customHeight="1" s="35">
      <c r="A136" s="37" t="inlineStr">
        <is>
          <t>6801-16-10-NWO</t>
        </is>
      </c>
      <c r="B136" s="37" t="inlineStr">
        <is>
          <t>6801-16-10 NWO</t>
        </is>
      </c>
      <c r="C136" s="37" t="inlineStr">
        <is>
          <t>6801</t>
        </is>
      </c>
      <c r="D136" s="37" t="n">
        <v>134</v>
      </c>
      <c r="E136" s="37" t="inlineStr">
        <is>
          <t>90 deg</t>
        </is>
      </c>
      <c r="F136" s="37" t="inlineStr">
        <is>
          <t>90 deg Straight Thread Elbow, 1 5/16-12 x 7/8-14</t>
        </is>
      </c>
      <c r="G136" s="37" t="inlineStr">
        <is>
          <t>7/8-14</t>
        </is>
      </c>
      <c r="H136" s="37" t="inlineStr">
        <is>
          <t>1 5/16-12</t>
        </is>
      </c>
      <c r="I136" s="37" t="n"/>
      <c r="J136" s="37" t="inlineStr">
        <is>
          <t>SAE J1926-3</t>
        </is>
      </c>
      <c r="K136" s="37" t="inlineStr">
        <is>
          <t>SAE J514-1</t>
        </is>
      </c>
      <c r="L136" s="37" t="n">
        <v>1.81</v>
      </c>
      <c r="M136" s="37" t="n">
        <v>1.92</v>
      </c>
      <c r="N136" s="37" t="n">
        <v>1</v>
      </c>
      <c r="O136" s="37" t="n">
        <v>1.38</v>
      </c>
      <c r="P136" s="37" t="n">
        <v>0.84</v>
      </c>
      <c r="Q136" s="37" t="n">
        <v>0.48</v>
      </c>
      <c r="R136" s="44" t="n">
        <v>1.38</v>
      </c>
      <c r="S136" s="44" t="n">
        <v>1</v>
      </c>
      <c r="T136" s="37" t="n">
        <v>90</v>
      </c>
      <c r="U136" s="37" t="inlineStr">
        <is>
          <t>ASSUMED</t>
        </is>
      </c>
      <c r="V136" s="37" t="inlineStr">
        <is>
          <t>MS51527 covers matched-dash sizes only; Air-Way remains single source.</t>
        </is>
      </c>
      <c r="W136" s="37" t="inlineStr">
        <is>
          <t>BUILD</t>
        </is>
      </c>
      <c r="X136" s="37" t="inlineStr">
        <is>
          <t>Hex = Air-Way C4 column (per-part). Matched sizes in this topology corroborate the column.</t>
        </is>
      </c>
      <c r="Z136" s="45" t="inlineStr">
        <is>
          <t>Carbon Steel</t>
        </is>
      </c>
      <c r="AA136" s="45" t="inlineStr">
        <is>
          <t>ASTM A108 12L14</t>
        </is>
      </c>
      <c r="AB136" s="45" t="inlineStr">
        <is>
          <t>Trivalent Cr3 Zinc</t>
        </is>
      </c>
      <c r="AC136" s="45" t="inlineStr">
        <is>
          <t>ASTM B633 Type V/VI</t>
        </is>
      </c>
      <c r="AD136" s="46" t="n">
        <v>3000</v>
      </c>
      <c r="AE136" s="46" t="inlineStr">
        <is>
          <t>generic SAE table @ dash -16 (governing end)</t>
        </is>
      </c>
      <c r="AF136" s="46" t="n">
        <v>-65</v>
      </c>
      <c r="AG136" s="46" t="n">
        <v>400</v>
      </c>
      <c r="AH136" s="37" t="inlineStr">
        <is>
          <t>Ham-Let + hoseandfittings (pressure); Parker Cat.4300 (material); ASTM B633 (finish); see StandardsData</t>
        </is>
      </c>
    </row>
    <row r="137" ht="15" customHeight="1" s="35">
      <c r="A137" s="37" t="inlineStr">
        <is>
          <t>6801-16-12-NWO-FG</t>
        </is>
      </c>
      <c r="B137" s="37" t="inlineStr">
        <is>
          <t>6801-16-12 NWO-FG</t>
        </is>
      </c>
      <c r="C137" s="37" t="inlineStr">
        <is>
          <t>6801</t>
        </is>
      </c>
      <c r="D137" s="37" t="n">
        <v>134</v>
      </c>
      <c r="E137" s="37" t="inlineStr">
        <is>
          <t>90 deg</t>
        </is>
      </c>
      <c r="F137" s="37" t="inlineStr">
        <is>
          <t>90 deg Straight Thread Elbow, 1 5/16-12 x 1 1/16-12</t>
        </is>
      </c>
      <c r="G137" s="37" t="inlineStr">
        <is>
          <t>1 1/16-12</t>
        </is>
      </c>
      <c r="H137" s="37" t="inlineStr">
        <is>
          <t>1 5/16-12</t>
        </is>
      </c>
      <c r="I137" s="37" t="n"/>
      <c r="J137" s="37" t="inlineStr">
        <is>
          <t>SAE J1926-3</t>
        </is>
      </c>
      <c r="K137" s="37" t="inlineStr">
        <is>
          <t>SAE J514-1</t>
        </is>
      </c>
      <c r="L137" s="37" t="n">
        <v>1.81</v>
      </c>
      <c r="M137" s="37" t="n">
        <v>2.05</v>
      </c>
      <c r="N137" s="37" t="n">
        <v>1.25</v>
      </c>
      <c r="O137" s="37" t="n">
        <v>1.31</v>
      </c>
      <c r="P137" s="37" t="n">
        <v>0.84</v>
      </c>
      <c r="Q137" s="37" t="n">
        <v>0.61</v>
      </c>
      <c r="R137" s="44" t="n">
        <v>1.31</v>
      </c>
      <c r="S137" s="44" t="n">
        <v>1.25</v>
      </c>
      <c r="T137" s="37" t="n">
        <v>90</v>
      </c>
      <c r="U137" s="37" t="inlineStr">
        <is>
          <t>ASSUMED</t>
        </is>
      </c>
      <c r="V137" s="37" t="inlineStr">
        <is>
          <t>MS51527 covers matched-dash sizes only; Air-Way remains single source.</t>
        </is>
      </c>
      <c r="W137" s="37" t="inlineStr">
        <is>
          <t>BUILD</t>
        </is>
      </c>
      <c r="X137" s="37" t="inlineStr">
        <is>
          <t>Hex = Air-Way C4 column (per-part). Matched sizes in this topology corroborate the column.</t>
        </is>
      </c>
      <c r="Z137" s="45" t="inlineStr">
        <is>
          <t>Carbon Steel</t>
        </is>
      </c>
      <c r="AA137" s="45" t="inlineStr">
        <is>
          <t>ASTM A108 12L14</t>
        </is>
      </c>
      <c r="AB137" s="45" t="inlineStr">
        <is>
          <t>Trivalent Cr3 Zinc</t>
        </is>
      </c>
      <c r="AC137" s="45" t="inlineStr">
        <is>
          <t>ASTM B633 Type V/VI</t>
        </is>
      </c>
      <c r="AD137" s="46" t="n">
        <v>3000</v>
      </c>
      <c r="AE137" s="46" t="inlineStr">
        <is>
          <t>generic SAE table @ dash -16 (governing end)</t>
        </is>
      </c>
      <c r="AF137" s="46" t="n">
        <v>-65</v>
      </c>
      <c r="AG137" s="46" t="n">
        <v>400</v>
      </c>
      <c r="AH137" s="37" t="inlineStr">
        <is>
          <t>Ham-Let + hoseandfittings (pressure); Parker Cat.4300 (material); ASTM B633 (finish); see StandardsData</t>
        </is>
      </c>
    </row>
    <row r="138" ht="15" customHeight="1" s="35">
      <c r="A138" s="37" t="inlineStr">
        <is>
          <t>6801-16-12-NWO</t>
        </is>
      </c>
      <c r="B138" s="37" t="inlineStr">
        <is>
          <t>6801-16-12 NWO</t>
        </is>
      </c>
      <c r="C138" s="37" t="inlineStr">
        <is>
          <t>6801</t>
        </is>
      </c>
      <c r="D138" s="37" t="n">
        <v>134</v>
      </c>
      <c r="E138" s="37" t="inlineStr">
        <is>
          <t>90 deg</t>
        </is>
      </c>
      <c r="F138" s="37" t="inlineStr">
        <is>
          <t>90 deg Straight Thread Elbow, 1 5/16-12 x 1 1/16-12</t>
        </is>
      </c>
      <c r="G138" s="37" t="inlineStr">
        <is>
          <t>1 1/16-12</t>
        </is>
      </c>
      <c r="H138" s="37" t="inlineStr">
        <is>
          <t>1 5/16-12</t>
        </is>
      </c>
      <c r="I138" s="37" t="n"/>
      <c r="J138" s="37" t="inlineStr">
        <is>
          <t>SAE J1926-3</t>
        </is>
      </c>
      <c r="K138" s="37" t="inlineStr">
        <is>
          <t>SAE J514-1</t>
        </is>
      </c>
      <c r="L138" s="37" t="n">
        <v>1.81</v>
      </c>
      <c r="M138" s="37" t="n">
        <v>2.06</v>
      </c>
      <c r="N138" s="37" t="n">
        <v>1.25</v>
      </c>
      <c r="O138" s="37" t="n">
        <v>1.38</v>
      </c>
      <c r="P138" s="37" t="n">
        <v>0.84</v>
      </c>
      <c r="Q138" s="37" t="n">
        <v>0.61</v>
      </c>
      <c r="R138" s="44" t="n">
        <v>1.38</v>
      </c>
      <c r="S138" s="44" t="n">
        <v>1.25</v>
      </c>
      <c r="T138" s="37" t="n">
        <v>90</v>
      </c>
      <c r="U138" s="37" t="inlineStr">
        <is>
          <t>ASSUMED</t>
        </is>
      </c>
      <c r="V138" s="37" t="inlineStr">
        <is>
          <t>MS51527 covers matched-dash sizes only; Air-Way remains single source.</t>
        </is>
      </c>
      <c r="W138" s="37" t="inlineStr">
        <is>
          <t>BUILD</t>
        </is>
      </c>
      <c r="X138" s="37" t="inlineStr">
        <is>
          <t>Hex = Air-Way C4 column (per-part). Matched sizes in this topology corroborate the column.</t>
        </is>
      </c>
      <c r="Z138" s="45" t="inlineStr">
        <is>
          <t>Carbon Steel</t>
        </is>
      </c>
      <c r="AA138" s="45" t="inlineStr">
        <is>
          <t>ASTM A108 12L14</t>
        </is>
      </c>
      <c r="AB138" s="45" t="inlineStr">
        <is>
          <t>Trivalent Cr3 Zinc</t>
        </is>
      </c>
      <c r="AC138" s="45" t="inlineStr">
        <is>
          <t>ASTM B633 Type V/VI</t>
        </is>
      </c>
      <c r="AD138" s="46" t="n">
        <v>3000</v>
      </c>
      <c r="AE138" s="46" t="inlineStr">
        <is>
          <t>generic SAE table @ dash -16 (governing end)</t>
        </is>
      </c>
      <c r="AF138" s="46" t="n">
        <v>-65</v>
      </c>
      <c r="AG138" s="46" t="n">
        <v>400</v>
      </c>
      <c r="AH138" s="37" t="inlineStr">
        <is>
          <t>Ham-Let + hoseandfittings (pressure); Parker Cat.4300 (material); ASTM B633 (finish); see StandardsData</t>
        </is>
      </c>
    </row>
    <row r="139" ht="15" customHeight="1" s="35">
      <c r="A139" s="37" t="inlineStr">
        <is>
          <t>6801-16-14-NWO-FG</t>
        </is>
      </c>
      <c r="B139" s="37" t="inlineStr">
        <is>
          <t>6801-16-14 NWO-FG</t>
        </is>
      </c>
      <c r="C139" s="37" t="inlineStr">
        <is>
          <t>6801</t>
        </is>
      </c>
      <c r="D139" s="37" t="n">
        <v>134</v>
      </c>
      <c r="E139" s="37" t="inlineStr">
        <is>
          <t>90 deg</t>
        </is>
      </c>
      <c r="F139" s="37" t="inlineStr">
        <is>
          <t>90 deg Straight Thread Elbow, 1 5/16-12 x 1 3/16-12</t>
        </is>
      </c>
      <c r="G139" s="37" t="inlineStr">
        <is>
          <t>1 3/16-12</t>
        </is>
      </c>
      <c r="H139" s="37" t="inlineStr">
        <is>
          <t>1 5/16-12</t>
        </is>
      </c>
      <c r="I139" s="37" t="n"/>
      <c r="J139" s="37" t="inlineStr">
        <is>
          <t>SAE J1926-3</t>
        </is>
      </c>
      <c r="K139" s="37" t="inlineStr">
        <is>
          <t>SAE J514-1</t>
        </is>
      </c>
      <c r="L139" s="37" t="n">
        <v>1.81</v>
      </c>
      <c r="M139" s="37" t="n">
        <v>2.05</v>
      </c>
      <c r="N139" s="37" t="n">
        <v>1.38</v>
      </c>
      <c r="O139" s="37" t="n">
        <v>1.31</v>
      </c>
      <c r="P139" s="37" t="n">
        <v>0.84</v>
      </c>
      <c r="Q139" s="37" t="n">
        <v>0.72</v>
      </c>
      <c r="R139" s="44" t="n">
        <v>1.31</v>
      </c>
      <c r="S139" s="44" t="n">
        <v>1.38</v>
      </c>
      <c r="T139" s="37" t="n">
        <v>90</v>
      </c>
      <c r="U139" s="37" t="inlineStr">
        <is>
          <t>ASSUMED</t>
        </is>
      </c>
      <c r="V139" s="37" t="inlineStr">
        <is>
          <t>MS51527 covers matched-dash sizes only; Air-Way remains single source.</t>
        </is>
      </c>
      <c r="W139" s="37" t="inlineStr">
        <is>
          <t>BUILD</t>
        </is>
      </c>
      <c r="X139" s="37" t="inlineStr">
        <is>
          <t>Hex = Air-Way C4 column (per-part). Matched sizes in this topology corroborate the column.</t>
        </is>
      </c>
      <c r="Z139" s="45" t="inlineStr">
        <is>
          <t>Carbon Steel</t>
        </is>
      </c>
      <c r="AA139" s="45" t="inlineStr">
        <is>
          <t>ASTM A108 12L14</t>
        </is>
      </c>
      <c r="AB139" s="45" t="inlineStr">
        <is>
          <t>Trivalent Cr3 Zinc</t>
        </is>
      </c>
      <c r="AC139" s="45" t="inlineStr">
        <is>
          <t>ASTM B633 Type V/VI</t>
        </is>
      </c>
      <c r="AD139" s="46" t="n">
        <v>3000</v>
      </c>
      <c r="AE139" s="46" t="inlineStr">
        <is>
          <t>generic SAE table @ dash -16 (governing end)</t>
        </is>
      </c>
      <c r="AF139" s="46" t="n">
        <v>-65</v>
      </c>
      <c r="AG139" s="46" t="n">
        <v>400</v>
      </c>
      <c r="AH139" s="37" t="inlineStr">
        <is>
          <t>Ham-Let + hoseandfittings (pressure); Parker Cat.4300 (material); ASTM B633 (finish); see StandardsData</t>
        </is>
      </c>
    </row>
    <row r="140" ht="15" customHeight="1" s="35">
      <c r="A140" s="37" t="inlineStr">
        <is>
          <t>6801-16-14-NWO</t>
        </is>
      </c>
      <c r="B140" s="37" t="inlineStr">
        <is>
          <t>6801-16-14 NWO</t>
        </is>
      </c>
      <c r="C140" s="37" t="inlineStr">
        <is>
          <t>6801</t>
        </is>
      </c>
      <c r="D140" s="37" t="n">
        <v>134</v>
      </c>
      <c r="E140" s="37" t="inlineStr">
        <is>
          <t>90 deg</t>
        </is>
      </c>
      <c r="F140" s="37" t="inlineStr">
        <is>
          <t>90 deg Straight Thread Elbow, 1 5/16-12 x 1 3/16-12</t>
        </is>
      </c>
      <c r="G140" s="37" t="inlineStr">
        <is>
          <t>1 3/16-12</t>
        </is>
      </c>
      <c r="H140" s="37" t="inlineStr">
        <is>
          <t>1 5/16-12</t>
        </is>
      </c>
      <c r="I140" s="37" t="n"/>
      <c r="J140" s="37" t="inlineStr">
        <is>
          <t>SAE J1926-3</t>
        </is>
      </c>
      <c r="K140" s="37" t="inlineStr">
        <is>
          <t>SAE J514-1</t>
        </is>
      </c>
      <c r="L140" s="37" t="n">
        <v>1.81</v>
      </c>
      <c r="M140" s="37" t="n">
        <v>2.06</v>
      </c>
      <c r="N140" s="37" t="n">
        <v>1.38</v>
      </c>
      <c r="O140" s="37" t="n">
        <v>1.38</v>
      </c>
      <c r="P140" s="37" t="n">
        <v>0.84</v>
      </c>
      <c r="Q140" s="37" t="n">
        <v>0.72</v>
      </c>
      <c r="R140" s="44" t="n">
        <v>1.38</v>
      </c>
      <c r="S140" s="44" t="n">
        <v>1.38</v>
      </c>
      <c r="T140" s="37" t="n">
        <v>90</v>
      </c>
      <c r="U140" s="37" t="inlineStr">
        <is>
          <t>ASSUMED</t>
        </is>
      </c>
      <c r="V140" s="37" t="inlineStr">
        <is>
          <t>MS51527 covers matched-dash sizes only; Air-Way remains single source.</t>
        </is>
      </c>
      <c r="W140" s="37" t="inlineStr">
        <is>
          <t>BUILD</t>
        </is>
      </c>
      <c r="X140" s="37" t="inlineStr">
        <is>
          <t>Hex = Air-Way C4 column (per-part). Matched sizes in this topology corroborate the column.</t>
        </is>
      </c>
      <c r="Z140" s="45" t="inlineStr">
        <is>
          <t>Carbon Steel</t>
        </is>
      </c>
      <c r="AA140" s="45" t="inlineStr">
        <is>
          <t>ASTM A108 12L14</t>
        </is>
      </c>
      <c r="AB140" s="45" t="inlineStr">
        <is>
          <t>Trivalent Cr3 Zinc</t>
        </is>
      </c>
      <c r="AC140" s="45" t="inlineStr">
        <is>
          <t>ASTM B633 Type V/VI</t>
        </is>
      </c>
      <c r="AD140" s="46" t="n">
        <v>3000</v>
      </c>
      <c r="AE140" s="46" t="inlineStr">
        <is>
          <t>generic SAE table @ dash -16 (governing end)</t>
        </is>
      </c>
      <c r="AF140" s="46" t="n">
        <v>-65</v>
      </c>
      <c r="AG140" s="46" t="n">
        <v>400</v>
      </c>
      <c r="AH140" s="37" t="inlineStr">
        <is>
          <t>Ham-Let + hoseandfittings (pressure); Parker Cat.4300 (material); ASTM B633 (finish); see StandardsData</t>
        </is>
      </c>
    </row>
    <row r="141" ht="15" customHeight="1" s="35">
      <c r="A141" s="37" t="inlineStr">
        <is>
          <t>6801-16-16-NWO-FG</t>
        </is>
      </c>
      <c r="B141" s="37" t="inlineStr">
        <is>
          <t>6801-16-16 NWO-FG</t>
        </is>
      </c>
      <c r="C141" s="37" t="inlineStr">
        <is>
          <t>6801</t>
        </is>
      </c>
      <c r="D141" s="37" t="n">
        <v>134</v>
      </c>
      <c r="E141" s="37" t="inlineStr">
        <is>
          <t>90 deg</t>
        </is>
      </c>
      <c r="F141" s="37" t="inlineStr">
        <is>
          <t>90 deg Straight Thread Elbow, 1 5/16-12 x 1 5/16-12</t>
        </is>
      </c>
      <c r="G141" s="37" t="inlineStr">
        <is>
          <t>1 5/16-12</t>
        </is>
      </c>
      <c r="H141" s="37" t="inlineStr">
        <is>
          <t>1 5/16-12</t>
        </is>
      </c>
      <c r="I141" s="37" t="n"/>
      <c r="J141" s="37" t="inlineStr">
        <is>
          <t>SAE J1926-3</t>
        </is>
      </c>
      <c r="K141" s="37" t="inlineStr">
        <is>
          <t>SAE J514-1</t>
        </is>
      </c>
      <c r="L141" s="37" t="n">
        <v>1.81</v>
      </c>
      <c r="M141" s="37" t="n">
        <v>2.05</v>
      </c>
      <c r="N141" s="37" t="n">
        <v>1.5</v>
      </c>
      <c r="O141" s="37" t="n">
        <v>1.31</v>
      </c>
      <c r="P141" s="37" t="n">
        <v>0.84</v>
      </c>
      <c r="Q141" s="37" t="n">
        <v>0.84</v>
      </c>
      <c r="R141" s="45" t="n">
        <v>1.31</v>
      </c>
      <c r="S141" s="45" t="n">
        <v>1.5</v>
      </c>
      <c r="T141" s="37" t="n">
        <v>90</v>
      </c>
      <c r="U141" s="37" t="inlineStr">
        <is>
          <t>VERIFIED</t>
        </is>
      </c>
      <c r="V141" s="37" t="inlineStr">
        <is>
          <t>MS51527 cross-check 2026-09-04: threads, both legs, both bores AGREE.</t>
        </is>
      </c>
      <c r="W141" s="37" t="inlineStr">
        <is>
          <t>BUILD</t>
        </is>
      </c>
      <c r="X141" s="37" t="inlineStr">
        <is>
          <t>Hex = Air-Way C4 column, CONFIRMED vs PressureConnections/Purvis.</t>
        </is>
      </c>
      <c r="Z141" s="45" t="inlineStr">
        <is>
          <t>Carbon Steel</t>
        </is>
      </c>
      <c r="AA141" s="45" t="inlineStr">
        <is>
          <t>ASTM A108 12L14</t>
        </is>
      </c>
      <c r="AB141" s="45" t="inlineStr">
        <is>
          <t>Trivalent Cr3 Zinc</t>
        </is>
      </c>
      <c r="AC141" s="45" t="inlineStr">
        <is>
          <t>ASTM B633 Type V/VI</t>
        </is>
      </c>
      <c r="AD141" s="46" t="n">
        <v>3000</v>
      </c>
      <c r="AE141" s="46" t="inlineStr">
        <is>
          <t>generic SAE table @ dash -16 (governing end)</t>
        </is>
      </c>
      <c r="AF141" s="46" t="n">
        <v>-65</v>
      </c>
      <c r="AG141" s="46" t="n">
        <v>400</v>
      </c>
      <c r="AH141" s="37" t="inlineStr">
        <is>
          <t>Ham-Let + hoseandfittings (pressure); Parker Cat.4300 (material); ASTM B633 (finish); see StandardsData</t>
        </is>
      </c>
    </row>
    <row r="142" ht="15" customHeight="1" s="35">
      <c r="A142" s="37" t="inlineStr">
        <is>
          <t>6801-16-16-NWO</t>
        </is>
      </c>
      <c r="B142" s="37" t="inlineStr">
        <is>
          <t>6801-16-16 NWO</t>
        </is>
      </c>
      <c r="C142" s="37" t="inlineStr">
        <is>
          <t>6801</t>
        </is>
      </c>
      <c r="D142" s="37" t="n">
        <v>134</v>
      </c>
      <c r="E142" s="37" t="inlineStr">
        <is>
          <t>90 deg</t>
        </is>
      </c>
      <c r="F142" s="37" t="inlineStr">
        <is>
          <t>90 deg Straight Thread Elbow, 1 5/16-12 x 1 5/16-12</t>
        </is>
      </c>
      <c r="G142" s="37" t="inlineStr">
        <is>
          <t>1 5/16-12</t>
        </is>
      </c>
      <c r="H142" s="37" t="inlineStr">
        <is>
          <t>1 5/16-12</t>
        </is>
      </c>
      <c r="I142" s="37" t="n"/>
      <c r="J142" s="37" t="inlineStr">
        <is>
          <t>SAE J1926-3</t>
        </is>
      </c>
      <c r="K142" s="37" t="inlineStr">
        <is>
          <t>SAE J514-1</t>
        </is>
      </c>
      <c r="L142" s="37" t="n">
        <v>1.81</v>
      </c>
      <c r="M142" s="37" t="n">
        <v>2.05</v>
      </c>
      <c r="N142" s="37" t="n">
        <v>1.5</v>
      </c>
      <c r="O142" s="37" t="n">
        <v>1.38</v>
      </c>
      <c r="P142" s="37" t="n">
        <v>0.84</v>
      </c>
      <c r="Q142" s="37" t="n">
        <v>0.84</v>
      </c>
      <c r="R142" s="45" t="n">
        <v>1.38</v>
      </c>
      <c r="S142" s="45" t="n">
        <v>1.5</v>
      </c>
      <c r="T142" s="37" t="n">
        <v>90</v>
      </c>
      <c r="U142" s="37" t="inlineStr">
        <is>
          <t>VERIFIED</t>
        </is>
      </c>
      <c r="V142" s="37" t="inlineStr">
        <is>
          <t>MS51527 cross-check 2026-09-04: threads, both legs, both bores AGREE.</t>
        </is>
      </c>
      <c r="W142" s="37" t="inlineStr">
        <is>
          <t>BUILD</t>
        </is>
      </c>
      <c r="X142" s="37" t="inlineStr">
        <is>
          <t>Hex = Air-Way C4 column, CONFIRMED vs PressureConnections/Purvis.</t>
        </is>
      </c>
      <c r="Z142" s="45" t="inlineStr">
        <is>
          <t>Carbon Steel</t>
        </is>
      </c>
      <c r="AA142" s="45" t="inlineStr">
        <is>
          <t>ASTM A108 12L14</t>
        </is>
      </c>
      <c r="AB142" s="45" t="inlineStr">
        <is>
          <t>Trivalent Cr3 Zinc</t>
        </is>
      </c>
      <c r="AC142" s="45" t="inlineStr">
        <is>
          <t>ASTM B633 Type V/VI</t>
        </is>
      </c>
      <c r="AD142" s="46" t="n">
        <v>3000</v>
      </c>
      <c r="AE142" s="46" t="inlineStr">
        <is>
          <t>generic SAE table @ dash -16 (governing end)</t>
        </is>
      </c>
      <c r="AF142" s="46" t="n">
        <v>-65</v>
      </c>
      <c r="AG142" s="46" t="n">
        <v>400</v>
      </c>
      <c r="AH142" s="37" t="inlineStr">
        <is>
          <t>Ham-Let + hoseandfittings (pressure); Parker Cat.4300 (material); ASTM B633 (finish); see StandardsData</t>
        </is>
      </c>
    </row>
    <row r="143" ht="15" customHeight="1" s="35">
      <c r="A143" s="37" t="inlineStr">
        <is>
          <t>6801-16-20-NWO-FG</t>
        </is>
      </c>
      <c r="B143" s="37" t="inlineStr">
        <is>
          <t>6801-16-20 NWO-FG</t>
        </is>
      </c>
      <c r="C143" s="37" t="inlineStr">
        <is>
          <t>6801</t>
        </is>
      </c>
      <c r="D143" s="37" t="n">
        <v>134</v>
      </c>
      <c r="E143" s="37" t="inlineStr">
        <is>
          <t>90 deg</t>
        </is>
      </c>
      <c r="F143" s="37" t="inlineStr">
        <is>
          <t>90 deg Straight Thread Elbow, 1 5/16-12 x 1 5/8-12</t>
        </is>
      </c>
      <c r="G143" s="37" t="inlineStr">
        <is>
          <t>1 5/8-12</t>
        </is>
      </c>
      <c r="H143" s="37" t="inlineStr">
        <is>
          <t>1 5/16-12</t>
        </is>
      </c>
      <c r="I143" s="37" t="n"/>
      <c r="J143" s="37" t="inlineStr">
        <is>
          <t>SAE J1926-3</t>
        </is>
      </c>
      <c r="K143" s="37" t="inlineStr">
        <is>
          <t>SAE J514-1</t>
        </is>
      </c>
      <c r="L143" s="37" t="n">
        <v>2.01</v>
      </c>
      <c r="M143" s="37" t="n">
        <v>2.25</v>
      </c>
      <c r="N143" s="37" t="n">
        <v>1.88</v>
      </c>
      <c r="O143" s="37" t="n">
        <v>1.63</v>
      </c>
      <c r="P143" s="37" t="n">
        <v>0.84</v>
      </c>
      <c r="Q143" s="37" t="n">
        <v>1.08</v>
      </c>
      <c r="R143" s="44" t="n">
        <v>1.63</v>
      </c>
      <c r="S143" s="44" t="n">
        <v>1.88</v>
      </c>
      <c r="T143" s="37" t="n">
        <v>90</v>
      </c>
      <c r="U143" s="37" t="inlineStr">
        <is>
          <t>ASSUMED</t>
        </is>
      </c>
      <c r="V143" s="37" t="inlineStr">
        <is>
          <t>MS51527 covers matched-dash sizes only; Air-Way remains single source.</t>
        </is>
      </c>
      <c r="W143" s="37" t="inlineStr">
        <is>
          <t>BUILD</t>
        </is>
      </c>
      <c r="X143" s="37" t="inlineStr">
        <is>
          <t>Hex = Air-Way C4 column (per-part). Matched sizes in this topology corroborate the column.</t>
        </is>
      </c>
      <c r="Z143" s="45" t="inlineStr">
        <is>
          <t>Carbon Steel</t>
        </is>
      </c>
      <c r="AA143" s="45" t="inlineStr">
        <is>
          <t>ASTM A108 12L14</t>
        </is>
      </c>
      <c r="AB143" s="45" t="inlineStr">
        <is>
          <t>Trivalent Cr3 Zinc</t>
        </is>
      </c>
      <c r="AC143" s="45" t="inlineStr">
        <is>
          <t>ASTM B633 Type V/VI</t>
        </is>
      </c>
      <c r="AD143" s="46" t="n">
        <v>2500</v>
      </c>
      <c r="AE143" s="46" t="inlineStr">
        <is>
          <t>generic SAE table @ dash -20 (governing end)</t>
        </is>
      </c>
      <c r="AF143" s="46" t="n">
        <v>-65</v>
      </c>
      <c r="AG143" s="46" t="n">
        <v>400</v>
      </c>
      <c r="AH143" s="37" t="inlineStr">
        <is>
          <t>Ham-Let + hoseandfittings (pressure); Parker Cat.4300 (material); ASTM B633 (finish); see StandardsData</t>
        </is>
      </c>
    </row>
    <row r="144" ht="15" customHeight="1" s="35">
      <c r="A144" s="37" t="inlineStr">
        <is>
          <t>6801-16-20-NWO</t>
        </is>
      </c>
      <c r="B144" s="37" t="inlineStr">
        <is>
          <t>6801-16-20 NWO</t>
        </is>
      </c>
      <c r="C144" s="37" t="inlineStr">
        <is>
          <t>6801</t>
        </is>
      </c>
      <c r="D144" s="37" t="n">
        <v>134</v>
      </c>
      <c r="E144" s="37" t="inlineStr">
        <is>
          <t>90 deg</t>
        </is>
      </c>
      <c r="F144" s="37" t="inlineStr">
        <is>
          <t>90 deg Straight Thread Elbow, 1 5/16-12 x 1 5/8-12</t>
        </is>
      </c>
      <c r="G144" s="37" t="inlineStr">
        <is>
          <t>1 5/8-12</t>
        </is>
      </c>
      <c r="H144" s="37" t="inlineStr">
        <is>
          <t>1 5/16-12</t>
        </is>
      </c>
      <c r="I144" s="37" t="n"/>
      <c r="J144" s="37" t="inlineStr">
        <is>
          <t>SAE J1926-3</t>
        </is>
      </c>
      <c r="K144" s="37" t="inlineStr">
        <is>
          <t>SAE J514-1</t>
        </is>
      </c>
      <c r="L144" s="37" t="n">
        <v>2</v>
      </c>
      <c r="M144" s="37" t="n">
        <v>2.25</v>
      </c>
      <c r="N144" s="37" t="n">
        <v>1.88</v>
      </c>
      <c r="O144" s="37" t="n">
        <v>1.75</v>
      </c>
      <c r="P144" s="37" t="n">
        <v>0.84</v>
      </c>
      <c r="Q144" s="37" t="n">
        <v>1.08</v>
      </c>
      <c r="R144" s="44" t="n">
        <v>1.75</v>
      </c>
      <c r="S144" s="44" t="n">
        <v>1.88</v>
      </c>
      <c r="T144" s="37" t="n">
        <v>90</v>
      </c>
      <c r="U144" s="37" t="inlineStr">
        <is>
          <t>ASSUMED</t>
        </is>
      </c>
      <c r="V144" s="37" t="inlineStr">
        <is>
          <t>MS51527 covers matched-dash sizes only; Air-Way remains single source.</t>
        </is>
      </c>
      <c r="W144" s="37" t="inlineStr">
        <is>
          <t>BUILD</t>
        </is>
      </c>
      <c r="X144" s="37" t="inlineStr">
        <is>
          <t>Hex = Air-Way C4 column (per-part). Matched sizes in this topology corroborate the column.</t>
        </is>
      </c>
      <c r="Z144" s="45" t="inlineStr">
        <is>
          <t>Carbon Steel</t>
        </is>
      </c>
      <c r="AA144" s="45" t="inlineStr">
        <is>
          <t>ASTM A108 12L14</t>
        </is>
      </c>
      <c r="AB144" s="45" t="inlineStr">
        <is>
          <t>Trivalent Cr3 Zinc</t>
        </is>
      </c>
      <c r="AC144" s="45" t="inlineStr">
        <is>
          <t>ASTM B633 Type V/VI</t>
        </is>
      </c>
      <c r="AD144" s="46" t="n">
        <v>2500</v>
      </c>
      <c r="AE144" s="46" t="inlineStr">
        <is>
          <t>generic SAE table @ dash -20 (governing end)</t>
        </is>
      </c>
      <c r="AF144" s="46" t="n">
        <v>-65</v>
      </c>
      <c r="AG144" s="46" t="n">
        <v>400</v>
      </c>
      <c r="AH144" s="37" t="inlineStr">
        <is>
          <t>Ham-Let + hoseandfittings (pressure); Parker Cat.4300 (material); ASTM B633 (finish); see StandardsData</t>
        </is>
      </c>
    </row>
    <row r="145" ht="15" customHeight="1" s="35">
      <c r="A145" s="37" t="inlineStr">
        <is>
          <t>6801-16-24-NWO</t>
        </is>
      </c>
      <c r="B145" s="37" t="inlineStr">
        <is>
          <t>6801-16-24 NWO</t>
        </is>
      </c>
      <c r="C145" s="37" t="inlineStr">
        <is>
          <t>6801</t>
        </is>
      </c>
      <c r="D145" s="37" t="n">
        <v>134</v>
      </c>
      <c r="E145" s="37" t="inlineStr">
        <is>
          <t>90 deg</t>
        </is>
      </c>
      <c r="F145" s="37" t="inlineStr">
        <is>
          <t>90 deg Straight Thread Elbow, 1 5/16-12 x 1 7/8-12</t>
        </is>
      </c>
      <c r="G145" s="37" t="inlineStr">
        <is>
          <t>1 7/8-12</t>
        </is>
      </c>
      <c r="H145" s="37" t="inlineStr">
        <is>
          <t>1 5/16-12</t>
        </is>
      </c>
      <c r="I145" s="37" t="n"/>
      <c r="J145" s="37" t="inlineStr">
        <is>
          <t>SAE J1926-3</t>
        </is>
      </c>
      <c r="K145" s="37" t="inlineStr">
        <is>
          <t>SAE J514-1</t>
        </is>
      </c>
      <c r="L145" s="37" t="n">
        <v>2.39</v>
      </c>
      <c r="M145" s="37" t="n">
        <v>2.13</v>
      </c>
      <c r="N145" s="37" t="n">
        <v>2.13</v>
      </c>
      <c r="O145" s="37" t="n">
        <v>2</v>
      </c>
      <c r="P145" s="37" t="n">
        <v>0.84</v>
      </c>
      <c r="Q145" s="37" t="n">
        <v>1.31</v>
      </c>
      <c r="R145" s="44" t="n">
        <v>2</v>
      </c>
      <c r="S145" s="44" t="n">
        <v>2.13</v>
      </c>
      <c r="T145" s="37" t="n">
        <v>90</v>
      </c>
      <c r="U145" s="37" t="inlineStr">
        <is>
          <t>ASSUMED</t>
        </is>
      </c>
      <c r="V145" s="37" t="inlineStr">
        <is>
          <t>MS51527 covers matched-dash sizes only; Air-Way remains single source.</t>
        </is>
      </c>
      <c r="W145" s="37" t="inlineStr">
        <is>
          <t>BUILD</t>
        </is>
      </c>
      <c r="X145" s="37" t="inlineStr">
        <is>
          <t>Hex = Air-Way C4 column (per-part). Matched sizes in this topology corroborate the column.</t>
        </is>
      </c>
      <c r="Z145" s="45" t="inlineStr">
        <is>
          <t>Carbon Steel</t>
        </is>
      </c>
      <c r="AA145" s="45" t="inlineStr">
        <is>
          <t>ASTM A108 12L14</t>
        </is>
      </c>
      <c r="AB145" s="45" t="inlineStr">
        <is>
          <t>Trivalent Cr3 Zinc</t>
        </is>
      </c>
      <c r="AC145" s="45" t="inlineStr">
        <is>
          <t>ASTM B633 Type V/VI</t>
        </is>
      </c>
      <c r="AD145" s="46" t="n">
        <v>2000</v>
      </c>
      <c r="AE145" s="46" t="inlineStr">
        <is>
          <t>generic SAE table @ dash -24 (governing end)</t>
        </is>
      </c>
      <c r="AF145" s="46" t="n">
        <v>-65</v>
      </c>
      <c r="AG145" s="46" t="n">
        <v>400</v>
      </c>
      <c r="AH145" s="37" t="inlineStr">
        <is>
          <t>Ham-Let + hoseandfittings (pressure); Parker Cat.4300 (material); ASTM B633 (finish); see StandardsData</t>
        </is>
      </c>
    </row>
    <row r="146" ht="15" customHeight="1" s="35">
      <c r="A146" s="37" t="inlineStr">
        <is>
          <t>6801-20-12-NWO</t>
        </is>
      </c>
      <c r="B146" s="37" t="inlineStr">
        <is>
          <t>6801-20-12 NWO</t>
        </is>
      </c>
      <c r="C146" s="37" t="inlineStr">
        <is>
          <t>6801</t>
        </is>
      </c>
      <c r="D146" s="37" t="n">
        <v>134</v>
      </c>
      <c r="E146" s="37" t="inlineStr">
        <is>
          <t>90 deg</t>
        </is>
      </c>
      <c r="F146" s="37" t="inlineStr">
        <is>
          <t>90 deg Straight Thread Elbow, 1 5/8-12 x 1 1/16-12</t>
        </is>
      </c>
      <c r="G146" s="37" t="inlineStr">
        <is>
          <t>1 1/16-12</t>
        </is>
      </c>
      <c r="H146" s="37" t="inlineStr">
        <is>
          <t>1 5/8-12</t>
        </is>
      </c>
      <c r="I146" s="37" t="n"/>
      <c r="J146" s="37" t="inlineStr">
        <is>
          <t>SAE J1926-3</t>
        </is>
      </c>
      <c r="K146" s="37" t="inlineStr">
        <is>
          <t>SAE J514-1</t>
        </is>
      </c>
      <c r="L146" s="37" t="n">
        <v>2.06</v>
      </c>
      <c r="M146" s="37" t="n">
        <v>2.25</v>
      </c>
      <c r="N146" s="37" t="n">
        <v>1.25</v>
      </c>
      <c r="O146" s="37" t="n">
        <v>1.75</v>
      </c>
      <c r="P146" s="37" t="n">
        <v>1.08</v>
      </c>
      <c r="Q146" s="37" t="n">
        <v>0.61</v>
      </c>
      <c r="R146" s="44" t="n">
        <v>1.75</v>
      </c>
      <c r="S146" s="44" t="n">
        <v>1.25</v>
      </c>
      <c r="T146" s="37" t="n">
        <v>90</v>
      </c>
      <c r="U146" s="37" t="inlineStr">
        <is>
          <t>ASSUMED</t>
        </is>
      </c>
      <c r="V146" s="37" t="inlineStr">
        <is>
          <t>MS51527 covers matched-dash sizes only; Air-Way remains single source.</t>
        </is>
      </c>
      <c r="W146" s="37" t="inlineStr">
        <is>
          <t>BUILD</t>
        </is>
      </c>
      <c r="X146" s="37" t="inlineStr">
        <is>
          <t>Hex = Air-Way C4 column (per-part). Matched sizes in this topology corroborate the column.</t>
        </is>
      </c>
      <c r="Z146" s="45" t="inlineStr">
        <is>
          <t>Carbon Steel</t>
        </is>
      </c>
      <c r="AA146" s="45" t="inlineStr">
        <is>
          <t>ASTM A108 12L14</t>
        </is>
      </c>
      <c r="AB146" s="45" t="inlineStr">
        <is>
          <t>Trivalent Cr3 Zinc</t>
        </is>
      </c>
      <c r="AC146" s="45" t="inlineStr">
        <is>
          <t>ASTM B633 Type V/VI</t>
        </is>
      </c>
      <c r="AD146" s="46" t="n">
        <v>2500</v>
      </c>
      <c r="AE146" s="46" t="inlineStr">
        <is>
          <t>generic SAE table @ dash -20 (governing end)</t>
        </is>
      </c>
      <c r="AF146" s="46" t="n">
        <v>-65</v>
      </c>
      <c r="AG146" s="46" t="n">
        <v>400</v>
      </c>
      <c r="AH146" s="37" t="inlineStr">
        <is>
          <t>Ham-Let + hoseandfittings (pressure); Parker Cat.4300 (material); ASTM B633 (finish); see StandardsData</t>
        </is>
      </c>
    </row>
    <row r="147" ht="15" customHeight="1" s="35">
      <c r="A147" s="37" t="inlineStr">
        <is>
          <t>6801-20-16-NWO-FG</t>
        </is>
      </c>
      <c r="B147" s="37" t="inlineStr">
        <is>
          <t>6801-20-16 NWO-FG</t>
        </is>
      </c>
      <c r="C147" s="37" t="inlineStr">
        <is>
          <t>6801</t>
        </is>
      </c>
      <c r="D147" s="37" t="n">
        <v>134</v>
      </c>
      <c r="E147" s="37" t="inlineStr">
        <is>
          <t>90 deg</t>
        </is>
      </c>
      <c r="F147" s="37" t="inlineStr">
        <is>
          <t>90 deg Straight Thread Elbow, 1 5/8-12 x 1 5/16-12</t>
        </is>
      </c>
      <c r="G147" s="37" t="inlineStr">
        <is>
          <t>1 5/16-12</t>
        </is>
      </c>
      <c r="H147" s="37" t="inlineStr">
        <is>
          <t>1 5/8-12</t>
        </is>
      </c>
      <c r="I147" s="37" t="n"/>
      <c r="J147" s="37" t="inlineStr">
        <is>
          <t>SAE J1926-3</t>
        </is>
      </c>
      <c r="K147" s="37" t="inlineStr">
        <is>
          <t>SAE J514-1</t>
        </is>
      </c>
      <c r="L147" s="37" t="n">
        <v>2.06</v>
      </c>
      <c r="M147" s="37" t="n">
        <v>2.25</v>
      </c>
      <c r="N147" s="37" t="n">
        <v>1.5</v>
      </c>
      <c r="O147" s="37" t="n">
        <v>1.63</v>
      </c>
      <c r="P147" s="37" t="n">
        <v>1.08</v>
      </c>
      <c r="Q147" s="37" t="n">
        <v>0.84</v>
      </c>
      <c r="R147" s="44" t="n">
        <v>1.63</v>
      </c>
      <c r="S147" s="44" t="n">
        <v>1.5</v>
      </c>
      <c r="T147" s="37" t="n">
        <v>90</v>
      </c>
      <c r="U147" s="37" t="inlineStr">
        <is>
          <t>ASSUMED</t>
        </is>
      </c>
      <c r="V147" s="37" t="inlineStr">
        <is>
          <t>MS51527 covers matched-dash sizes only; Air-Way remains single source.</t>
        </is>
      </c>
      <c r="W147" s="37" t="inlineStr">
        <is>
          <t>BUILD</t>
        </is>
      </c>
      <c r="X147" s="37" t="inlineStr">
        <is>
          <t>Hex = Air-Way C4 column (per-part). Matched sizes in this topology corroborate the column.</t>
        </is>
      </c>
      <c r="Z147" s="45" t="inlineStr">
        <is>
          <t>Carbon Steel</t>
        </is>
      </c>
      <c r="AA147" s="45" t="inlineStr">
        <is>
          <t>ASTM A108 12L14</t>
        </is>
      </c>
      <c r="AB147" s="45" t="inlineStr">
        <is>
          <t>Trivalent Cr3 Zinc</t>
        </is>
      </c>
      <c r="AC147" s="45" t="inlineStr">
        <is>
          <t>ASTM B633 Type V/VI</t>
        </is>
      </c>
      <c r="AD147" s="46" t="n">
        <v>2500</v>
      </c>
      <c r="AE147" s="46" t="inlineStr">
        <is>
          <t>generic SAE table @ dash -20 (governing end)</t>
        </is>
      </c>
      <c r="AF147" s="46" t="n">
        <v>-65</v>
      </c>
      <c r="AG147" s="46" t="n">
        <v>400</v>
      </c>
      <c r="AH147" s="37" t="inlineStr">
        <is>
          <t>Ham-Let + hoseandfittings (pressure); Parker Cat.4300 (material); ASTM B633 (finish); see StandardsData</t>
        </is>
      </c>
    </row>
    <row r="148" ht="15" customHeight="1" s="35">
      <c r="A148" s="37" t="inlineStr">
        <is>
          <t>6801-20-16-NWO</t>
        </is>
      </c>
      <c r="B148" s="37" t="inlineStr">
        <is>
          <t>6801-20-16 NWO</t>
        </is>
      </c>
      <c r="C148" s="37" t="inlineStr">
        <is>
          <t>6801</t>
        </is>
      </c>
      <c r="D148" s="37" t="n">
        <v>134</v>
      </c>
      <c r="E148" s="37" t="inlineStr">
        <is>
          <t>90 deg</t>
        </is>
      </c>
      <c r="F148" s="37" t="inlineStr">
        <is>
          <t>90 deg Straight Thread Elbow, 1 5/8-12 x 1 5/16-12</t>
        </is>
      </c>
      <c r="G148" s="37" t="inlineStr">
        <is>
          <t>1 5/16-12</t>
        </is>
      </c>
      <c r="H148" s="37" t="inlineStr">
        <is>
          <t>1 5/8-12</t>
        </is>
      </c>
      <c r="I148" s="37" t="n"/>
      <c r="J148" s="37" t="inlineStr">
        <is>
          <t>SAE J1926-3</t>
        </is>
      </c>
      <c r="K148" s="37" t="inlineStr">
        <is>
          <t>SAE J514-1</t>
        </is>
      </c>
      <c r="L148" s="37" t="n">
        <v>2.06</v>
      </c>
      <c r="M148" s="37" t="n">
        <v>2.23</v>
      </c>
      <c r="N148" s="37" t="n">
        <v>1.5</v>
      </c>
      <c r="O148" s="37" t="n">
        <v>1.75</v>
      </c>
      <c r="P148" s="37" t="n">
        <v>1.08</v>
      </c>
      <c r="Q148" s="37" t="n">
        <v>0.84</v>
      </c>
      <c r="R148" s="44" t="n">
        <v>1.75</v>
      </c>
      <c r="S148" s="44" t="n">
        <v>1.5</v>
      </c>
      <c r="T148" s="37" t="n">
        <v>90</v>
      </c>
      <c r="U148" s="37" t="inlineStr">
        <is>
          <t>ASSUMED</t>
        </is>
      </c>
      <c r="V148" s="37" t="inlineStr">
        <is>
          <t>MS51527 covers matched-dash sizes only; Air-Way remains single source.</t>
        </is>
      </c>
      <c r="W148" s="37" t="inlineStr">
        <is>
          <t>BUILD</t>
        </is>
      </c>
      <c r="X148" s="37" t="inlineStr">
        <is>
          <t>Hex = Air-Way C4 column (per-part). Matched sizes in this topology corroborate the column.</t>
        </is>
      </c>
      <c r="Z148" s="45" t="inlineStr">
        <is>
          <t>Carbon Steel</t>
        </is>
      </c>
      <c r="AA148" s="45" t="inlineStr">
        <is>
          <t>ASTM A108 12L14</t>
        </is>
      </c>
      <c r="AB148" s="45" t="inlineStr">
        <is>
          <t>Trivalent Cr3 Zinc</t>
        </is>
      </c>
      <c r="AC148" s="45" t="inlineStr">
        <is>
          <t>ASTM B633 Type V/VI</t>
        </is>
      </c>
      <c r="AD148" s="46" t="n">
        <v>2500</v>
      </c>
      <c r="AE148" s="46" t="inlineStr">
        <is>
          <t>generic SAE table @ dash -20 (governing end)</t>
        </is>
      </c>
      <c r="AF148" s="46" t="n">
        <v>-65</v>
      </c>
      <c r="AG148" s="46" t="n">
        <v>400</v>
      </c>
      <c r="AH148" s="37" t="inlineStr">
        <is>
          <t>Ham-Let + hoseandfittings (pressure); Parker Cat.4300 (material); ASTM B633 (finish); see StandardsData</t>
        </is>
      </c>
    </row>
    <row r="149" ht="15" customHeight="1" s="35">
      <c r="A149" s="37" t="inlineStr">
        <is>
          <t>6801-20-20-NWO-FG</t>
        </is>
      </c>
      <c r="B149" s="37" t="inlineStr">
        <is>
          <t>6801-20-20 NWO-FG</t>
        </is>
      </c>
      <c r="C149" s="37" t="inlineStr">
        <is>
          <t>6801</t>
        </is>
      </c>
      <c r="D149" s="37" t="n">
        <v>134</v>
      </c>
      <c r="E149" s="37" t="inlineStr">
        <is>
          <t>90 deg</t>
        </is>
      </c>
      <c r="F149" s="37" t="inlineStr">
        <is>
          <t>90 deg Straight Thread Elbow, 1 5/8-12 x 1 5/8-12</t>
        </is>
      </c>
      <c r="G149" s="37" t="inlineStr">
        <is>
          <t>1 5/8-12</t>
        </is>
      </c>
      <c r="H149" s="37" t="inlineStr">
        <is>
          <t>1 5/8-12</t>
        </is>
      </c>
      <c r="I149" s="37" t="n"/>
      <c r="J149" s="37" t="inlineStr">
        <is>
          <t>SAE J1926-3</t>
        </is>
      </c>
      <c r="K149" s="37" t="inlineStr">
        <is>
          <t>SAE J514-1</t>
        </is>
      </c>
      <c r="L149" s="37" t="n">
        <v>2.06</v>
      </c>
      <c r="M149" s="37" t="n">
        <v>2.25</v>
      </c>
      <c r="N149" s="37" t="n">
        <v>1.88</v>
      </c>
      <c r="O149" s="37" t="n">
        <v>1.63</v>
      </c>
      <c r="P149" s="37" t="n">
        <v>1.08</v>
      </c>
      <c r="Q149" s="37" t="n">
        <v>1.08</v>
      </c>
      <c r="R149" s="45" t="n">
        <v>1.63</v>
      </c>
      <c r="S149" s="45" t="n">
        <v>1.88</v>
      </c>
      <c r="T149" s="37" t="n">
        <v>90</v>
      </c>
      <c r="U149" s="37" t="inlineStr">
        <is>
          <t>VERIFIED</t>
        </is>
      </c>
      <c r="V149" s="37" t="inlineStr">
        <is>
          <t>MS51527 cross-check 2026-09-04: threads, both legs, both bores AGREE.</t>
        </is>
      </c>
      <c r="W149" s="37" t="inlineStr">
        <is>
          <t>BUILD</t>
        </is>
      </c>
      <c r="X149" s="37" t="inlineStr">
        <is>
          <t>Hex = Air-Way C4 column, CONFIRMED vs PressureConnections/Purvis.</t>
        </is>
      </c>
      <c r="Z149" s="45" t="inlineStr">
        <is>
          <t>Carbon Steel</t>
        </is>
      </c>
      <c r="AA149" s="45" t="inlineStr">
        <is>
          <t>ASTM A108 12L14</t>
        </is>
      </c>
      <c r="AB149" s="45" t="inlineStr">
        <is>
          <t>Trivalent Cr3 Zinc</t>
        </is>
      </c>
      <c r="AC149" s="45" t="inlineStr">
        <is>
          <t>ASTM B633 Type V/VI</t>
        </is>
      </c>
      <c r="AD149" s="46" t="n">
        <v>2500</v>
      </c>
      <c r="AE149" s="46" t="inlineStr">
        <is>
          <t>generic SAE table @ dash -20 (governing end)</t>
        </is>
      </c>
      <c r="AF149" s="46" t="n">
        <v>-65</v>
      </c>
      <c r="AG149" s="46" t="n">
        <v>400</v>
      </c>
      <c r="AH149" s="37" t="inlineStr">
        <is>
          <t>Ham-Let + hoseandfittings (pressure); Parker Cat.4300 (material); ASTM B633 (finish); see StandardsData</t>
        </is>
      </c>
    </row>
    <row r="150" ht="15" customHeight="1" s="35">
      <c r="A150" s="37" t="inlineStr">
        <is>
          <t>6801-20-20-NWO</t>
        </is>
      </c>
      <c r="B150" s="37" t="inlineStr">
        <is>
          <t>6801-20-20 NWO</t>
        </is>
      </c>
      <c r="C150" s="37" t="inlineStr">
        <is>
          <t>6801</t>
        </is>
      </c>
      <c r="D150" s="37" t="n">
        <v>134</v>
      </c>
      <c r="E150" s="37" t="inlineStr">
        <is>
          <t>90 deg</t>
        </is>
      </c>
      <c r="F150" s="37" t="inlineStr">
        <is>
          <t>90 deg Straight Thread Elbow, 1 5/8-12 x 1 5/8-12</t>
        </is>
      </c>
      <c r="G150" s="37" t="inlineStr">
        <is>
          <t>1 5/8-12</t>
        </is>
      </c>
      <c r="H150" s="37" t="inlineStr">
        <is>
          <t>1 5/8-12</t>
        </is>
      </c>
      <c r="I150" s="37" t="n"/>
      <c r="J150" s="37" t="inlineStr">
        <is>
          <t>SAE J1926-3</t>
        </is>
      </c>
      <c r="K150" s="37" t="inlineStr">
        <is>
          <t>SAE J514-1</t>
        </is>
      </c>
      <c r="L150" s="37" t="n">
        <v>2.06</v>
      </c>
      <c r="M150" s="37" t="n">
        <v>2.25</v>
      </c>
      <c r="N150" s="37" t="n">
        <v>1.88</v>
      </c>
      <c r="O150" s="37" t="n">
        <v>1.75</v>
      </c>
      <c r="P150" s="37" t="n">
        <v>1.08</v>
      </c>
      <c r="Q150" s="37" t="n">
        <v>1.08</v>
      </c>
      <c r="R150" s="45" t="n">
        <v>1.75</v>
      </c>
      <c r="S150" s="45" t="n">
        <v>1.88</v>
      </c>
      <c r="T150" s="37" t="n">
        <v>90</v>
      </c>
      <c r="U150" s="37" t="inlineStr">
        <is>
          <t>VERIFIED</t>
        </is>
      </c>
      <c r="V150" s="37" t="inlineStr">
        <is>
          <t>MS51527 cross-check 2026-09-04: threads, both legs, both bores AGREE.</t>
        </is>
      </c>
      <c r="W150" s="37" t="inlineStr">
        <is>
          <t>BUILD</t>
        </is>
      </c>
      <c r="X150" s="37" t="inlineStr">
        <is>
          <t>Hex = Air-Way C4 column, CONFIRMED vs PressureConnections/Purvis.</t>
        </is>
      </c>
      <c r="Z150" s="45" t="inlineStr">
        <is>
          <t>Carbon Steel</t>
        </is>
      </c>
      <c r="AA150" s="45" t="inlineStr">
        <is>
          <t>ASTM A108 12L14</t>
        </is>
      </c>
      <c r="AB150" s="45" t="inlineStr">
        <is>
          <t>Trivalent Cr3 Zinc</t>
        </is>
      </c>
      <c r="AC150" s="45" t="inlineStr">
        <is>
          <t>ASTM B633 Type V/VI</t>
        </is>
      </c>
      <c r="AD150" s="46" t="n">
        <v>2500</v>
      </c>
      <c r="AE150" s="46" t="inlineStr">
        <is>
          <t>generic SAE table @ dash -20 (governing end)</t>
        </is>
      </c>
      <c r="AF150" s="46" t="n">
        <v>-65</v>
      </c>
      <c r="AG150" s="46" t="n">
        <v>400</v>
      </c>
      <c r="AH150" s="37" t="inlineStr">
        <is>
          <t>Ham-Let + hoseandfittings (pressure); Parker Cat.4300 (material); ASTM B633 (finish); see StandardsData</t>
        </is>
      </c>
    </row>
    <row r="151" ht="15" customHeight="1" s="35">
      <c r="A151" s="37" t="inlineStr">
        <is>
          <t>6801-20-24-NWO-FG</t>
        </is>
      </c>
      <c r="B151" s="37" t="inlineStr">
        <is>
          <t>6801-20-24 NWO-FG</t>
        </is>
      </c>
      <c r="C151" s="37" t="inlineStr">
        <is>
          <t>6801</t>
        </is>
      </c>
      <c r="D151" s="37" t="n">
        <v>134</v>
      </c>
      <c r="E151" s="37" t="inlineStr">
        <is>
          <t>90 deg</t>
        </is>
      </c>
      <c r="F151" s="37" t="inlineStr">
        <is>
          <t>90 deg Straight Thread Elbow, 1 5/8-12 x 1 7/8-12</t>
        </is>
      </c>
      <c r="G151" s="37" t="inlineStr">
        <is>
          <t>1 7/8-12</t>
        </is>
      </c>
      <c r="H151" s="37" t="inlineStr">
        <is>
          <t>1 5/8-12</t>
        </is>
      </c>
      <c r="I151" s="37" t="n"/>
      <c r="J151" s="37" t="inlineStr">
        <is>
          <t>SAE J1926-3</t>
        </is>
      </c>
      <c r="K151" s="37" t="inlineStr">
        <is>
          <t>SAE J514-1</t>
        </is>
      </c>
      <c r="L151" s="37" t="n">
        <v>2.2</v>
      </c>
      <c r="M151" s="37" t="n">
        <v>2.39</v>
      </c>
      <c r="N151" s="37" t="n">
        <v>2.13</v>
      </c>
      <c r="O151" s="37" t="n">
        <v>1.88</v>
      </c>
      <c r="P151" s="37" t="n">
        <v>1.08</v>
      </c>
      <c r="Q151" s="37" t="n">
        <v>1.31</v>
      </c>
      <c r="R151" s="44" t="n">
        <v>1.88</v>
      </c>
      <c r="S151" s="44" t="n">
        <v>2.13</v>
      </c>
      <c r="T151" s="37" t="n">
        <v>90</v>
      </c>
      <c r="U151" s="37" t="inlineStr">
        <is>
          <t>ASSUMED</t>
        </is>
      </c>
      <c r="V151" s="37" t="inlineStr">
        <is>
          <t>MS51527 covers matched-dash sizes only; Air-Way remains single source.</t>
        </is>
      </c>
      <c r="W151" s="37" t="inlineStr">
        <is>
          <t>BUILD</t>
        </is>
      </c>
      <c r="X151" s="37" t="inlineStr">
        <is>
          <t>Hex = Air-Way C4 column (per-part). Matched sizes in this topology corroborate the column.</t>
        </is>
      </c>
      <c r="Z151" s="45" t="inlineStr">
        <is>
          <t>Carbon Steel</t>
        </is>
      </c>
      <c r="AA151" s="45" t="inlineStr">
        <is>
          <t>ASTM A108 12L14</t>
        </is>
      </c>
      <c r="AB151" s="45" t="inlineStr">
        <is>
          <t>Trivalent Cr3 Zinc</t>
        </is>
      </c>
      <c r="AC151" s="45" t="inlineStr">
        <is>
          <t>ASTM B633 Type V/VI</t>
        </is>
      </c>
      <c r="AD151" s="46" t="n">
        <v>2000</v>
      </c>
      <c r="AE151" s="46" t="inlineStr">
        <is>
          <t>generic SAE table @ dash -24 (governing end)</t>
        </is>
      </c>
      <c r="AF151" s="46" t="n">
        <v>-65</v>
      </c>
      <c r="AG151" s="46" t="n">
        <v>400</v>
      </c>
      <c r="AH151" s="37" t="inlineStr">
        <is>
          <t>Ham-Let + hoseandfittings (pressure); Parker Cat.4300 (material); ASTM B633 (finish); see StandardsData</t>
        </is>
      </c>
    </row>
    <row r="152" ht="15" customHeight="1" s="35">
      <c r="A152" s="37" t="inlineStr">
        <is>
          <t>6801-20-24-NWO</t>
        </is>
      </c>
      <c r="B152" s="37" t="inlineStr">
        <is>
          <t>6801-20-24 NWO</t>
        </is>
      </c>
      <c r="C152" s="37" t="inlineStr">
        <is>
          <t>6801</t>
        </is>
      </c>
      <c r="D152" s="37" t="n">
        <v>134</v>
      </c>
      <c r="E152" s="37" t="inlineStr">
        <is>
          <t>90 deg</t>
        </is>
      </c>
      <c r="F152" s="37" t="inlineStr">
        <is>
          <t>90 deg Straight Thread Elbow, 1 5/8-12 x 1 7/8-12</t>
        </is>
      </c>
      <c r="G152" s="37" t="inlineStr">
        <is>
          <t>1 7/8-12</t>
        </is>
      </c>
      <c r="H152" s="37" t="inlineStr">
        <is>
          <t>1 5/8-12</t>
        </is>
      </c>
      <c r="I152" s="37" t="n"/>
      <c r="J152" s="37" t="inlineStr">
        <is>
          <t>SAE J1926-3</t>
        </is>
      </c>
      <c r="K152" s="37" t="inlineStr">
        <is>
          <t>SAE J514-1</t>
        </is>
      </c>
      <c r="L152" s="37" t="n">
        <v>2.19</v>
      </c>
      <c r="M152" s="37" t="n">
        <v>2.39</v>
      </c>
      <c r="N152" s="37" t="n">
        <v>2.13</v>
      </c>
      <c r="O152" s="37" t="n">
        <v>2</v>
      </c>
      <c r="P152" s="37" t="n">
        <v>1.08</v>
      </c>
      <c r="Q152" s="37" t="n">
        <v>1.31</v>
      </c>
      <c r="R152" s="44" t="n">
        <v>2</v>
      </c>
      <c r="S152" s="44" t="n">
        <v>2.13</v>
      </c>
      <c r="T152" s="37" t="n">
        <v>90</v>
      </c>
      <c r="U152" s="37" t="inlineStr">
        <is>
          <t>ASSUMED</t>
        </is>
      </c>
      <c r="V152" s="37" t="inlineStr">
        <is>
          <t>MS51527 covers matched-dash sizes only; Air-Way remains single source.</t>
        </is>
      </c>
      <c r="W152" s="37" t="inlineStr">
        <is>
          <t>BUILD</t>
        </is>
      </c>
      <c r="X152" s="37" t="inlineStr">
        <is>
          <t>Hex = Air-Way C4 column (per-part). Matched sizes in this topology corroborate the column.</t>
        </is>
      </c>
      <c r="Z152" s="45" t="inlineStr">
        <is>
          <t>Carbon Steel</t>
        </is>
      </c>
      <c r="AA152" s="45" t="inlineStr">
        <is>
          <t>ASTM A108 12L14</t>
        </is>
      </c>
      <c r="AB152" s="45" t="inlineStr">
        <is>
          <t>Trivalent Cr3 Zinc</t>
        </is>
      </c>
      <c r="AC152" s="45" t="inlineStr">
        <is>
          <t>ASTM B633 Type V/VI</t>
        </is>
      </c>
      <c r="AD152" s="46" t="n">
        <v>2000</v>
      </c>
      <c r="AE152" s="46" t="inlineStr">
        <is>
          <t>generic SAE table @ dash -24 (governing end)</t>
        </is>
      </c>
      <c r="AF152" s="46" t="n">
        <v>-65</v>
      </c>
      <c r="AG152" s="46" t="n">
        <v>400</v>
      </c>
      <c r="AH152" s="37" t="inlineStr">
        <is>
          <t>Ham-Let + hoseandfittings (pressure); Parker Cat.4300 (material); ASTM B633 (finish); see StandardsData</t>
        </is>
      </c>
    </row>
    <row r="153" ht="15" customHeight="1" s="35">
      <c r="A153" s="37" t="inlineStr">
        <is>
          <t>6801-24-16-NWO</t>
        </is>
      </c>
      <c r="B153" s="37" t="inlineStr">
        <is>
          <t>6801-24-16 NWO</t>
        </is>
      </c>
      <c r="C153" s="37" t="inlineStr">
        <is>
          <t>6801</t>
        </is>
      </c>
      <c r="D153" s="37" t="n">
        <v>134</v>
      </c>
      <c r="E153" s="37" t="inlineStr">
        <is>
          <t>90 deg</t>
        </is>
      </c>
      <c r="F153" s="37" t="inlineStr">
        <is>
          <t>90 deg Straight Thread Elbow, 1 7/8-12 x 1 5/16-12</t>
        </is>
      </c>
      <c r="G153" s="37" t="inlineStr">
        <is>
          <t>1 5/16-12</t>
        </is>
      </c>
      <c r="H153" s="37" t="inlineStr">
        <is>
          <t>1 7/8-12</t>
        </is>
      </c>
      <c r="I153" s="37" t="n"/>
      <c r="J153" s="37" t="inlineStr">
        <is>
          <t>SAE J1926-3</t>
        </is>
      </c>
      <c r="K153" s="37" t="inlineStr">
        <is>
          <t>SAE J514-1</t>
        </is>
      </c>
      <c r="L153" s="37" t="n">
        <v>2.33</v>
      </c>
      <c r="M153" s="37" t="n">
        <v>2.36</v>
      </c>
      <c r="N153" s="37" t="n">
        <v>1.5</v>
      </c>
      <c r="O153" s="37" t="n">
        <v>2</v>
      </c>
      <c r="P153" s="37" t="n">
        <v>1.31</v>
      </c>
      <c r="Q153" s="37" t="n">
        <v>0.84</v>
      </c>
      <c r="R153" s="44" t="n">
        <v>2</v>
      </c>
      <c r="S153" s="44" t="n">
        <v>1.5</v>
      </c>
      <c r="T153" s="37" t="n">
        <v>90</v>
      </c>
      <c r="U153" s="37" t="inlineStr">
        <is>
          <t>ASSUMED</t>
        </is>
      </c>
      <c r="V153" s="37" t="inlineStr">
        <is>
          <t>MS51527 covers matched-dash sizes only; Air-Way remains single source.</t>
        </is>
      </c>
      <c r="W153" s="37" t="inlineStr">
        <is>
          <t>BUILD</t>
        </is>
      </c>
      <c r="X153" s="37" t="inlineStr">
        <is>
          <t>Hex = Air-Way C4 column (per-part). Matched sizes in this topology corroborate the column.</t>
        </is>
      </c>
      <c r="Z153" s="45" t="inlineStr">
        <is>
          <t>Carbon Steel</t>
        </is>
      </c>
      <c r="AA153" s="45" t="inlineStr">
        <is>
          <t>ASTM A108 12L14</t>
        </is>
      </c>
      <c r="AB153" s="45" t="inlineStr">
        <is>
          <t>Trivalent Cr3 Zinc</t>
        </is>
      </c>
      <c r="AC153" s="45" t="inlineStr">
        <is>
          <t>ASTM B633 Type V/VI</t>
        </is>
      </c>
      <c r="AD153" s="46" t="n">
        <v>2000</v>
      </c>
      <c r="AE153" s="46" t="inlineStr">
        <is>
          <t>generic SAE table @ dash -24 (governing end)</t>
        </is>
      </c>
      <c r="AF153" s="46" t="n">
        <v>-65</v>
      </c>
      <c r="AG153" s="46" t="n">
        <v>400</v>
      </c>
      <c r="AH153" s="37" t="inlineStr">
        <is>
          <t>Ham-Let + hoseandfittings (pressure); Parker Cat.4300 (material); ASTM B633 (finish); see StandardsData</t>
        </is>
      </c>
    </row>
    <row r="154" ht="15" customHeight="1" s="35">
      <c r="A154" s="37" t="inlineStr">
        <is>
          <t>6801-24-20-NWO-FG</t>
        </is>
      </c>
      <c r="B154" s="37" t="inlineStr">
        <is>
          <t>6801-24-20 NWO-FG</t>
        </is>
      </c>
      <c r="C154" s="37" t="inlineStr">
        <is>
          <t>6801</t>
        </is>
      </c>
      <c r="D154" s="37" t="n">
        <v>134</v>
      </c>
      <c r="E154" s="37" t="inlineStr">
        <is>
          <t>90 deg</t>
        </is>
      </c>
      <c r="F154" s="37" t="inlineStr">
        <is>
          <t>90 deg Straight Thread Elbow, 1 7/8-12 x 1 5/8-12</t>
        </is>
      </c>
      <c r="G154" s="37" t="inlineStr">
        <is>
          <t>1 5/8-12</t>
        </is>
      </c>
      <c r="H154" s="37" t="inlineStr">
        <is>
          <t>1 7/8-12</t>
        </is>
      </c>
      <c r="I154" s="37" t="n"/>
      <c r="J154" s="37" t="inlineStr">
        <is>
          <t>SAE J1926-3</t>
        </is>
      </c>
      <c r="K154" s="37" t="inlineStr">
        <is>
          <t>SAE J514-1</t>
        </is>
      </c>
      <c r="L154" s="37" t="n">
        <v>2.33</v>
      </c>
      <c r="M154" s="37" t="n">
        <v>2.39</v>
      </c>
      <c r="N154" s="37" t="n">
        <v>1.88</v>
      </c>
      <c r="O154" s="37" t="n">
        <v>1.88</v>
      </c>
      <c r="P154" s="37" t="n">
        <v>1.31</v>
      </c>
      <c r="Q154" s="37" t="n">
        <v>1.08</v>
      </c>
      <c r="R154" s="44" t="n">
        <v>1.88</v>
      </c>
      <c r="S154" s="44" t="n">
        <v>1.88</v>
      </c>
      <c r="T154" s="37" t="n">
        <v>90</v>
      </c>
      <c r="U154" s="37" t="inlineStr">
        <is>
          <t>ASSUMED</t>
        </is>
      </c>
      <c r="V154" s="37" t="inlineStr">
        <is>
          <t>MS51527 covers matched-dash sizes only; Air-Way remains single source.</t>
        </is>
      </c>
      <c r="W154" s="37" t="inlineStr">
        <is>
          <t>BUILD</t>
        </is>
      </c>
      <c r="X154" s="37" t="inlineStr">
        <is>
          <t>Hex = Air-Way C4 column (per-part). Matched sizes in this topology corroborate the column.</t>
        </is>
      </c>
      <c r="Z154" s="45" t="inlineStr">
        <is>
          <t>Carbon Steel</t>
        </is>
      </c>
      <c r="AA154" s="45" t="inlineStr">
        <is>
          <t>ASTM A108 12L14</t>
        </is>
      </c>
      <c r="AB154" s="45" t="inlineStr">
        <is>
          <t>Trivalent Cr3 Zinc</t>
        </is>
      </c>
      <c r="AC154" s="45" t="inlineStr">
        <is>
          <t>ASTM B633 Type V/VI</t>
        </is>
      </c>
      <c r="AD154" s="46" t="n">
        <v>2000</v>
      </c>
      <c r="AE154" s="46" t="inlineStr">
        <is>
          <t>generic SAE table @ dash -24 (governing end)</t>
        </is>
      </c>
      <c r="AF154" s="46" t="n">
        <v>-65</v>
      </c>
      <c r="AG154" s="46" t="n">
        <v>400</v>
      </c>
      <c r="AH154" s="37" t="inlineStr">
        <is>
          <t>Ham-Let + hoseandfittings (pressure); Parker Cat.4300 (material); ASTM B633 (finish); see StandardsData</t>
        </is>
      </c>
    </row>
    <row r="155" ht="15" customHeight="1" s="35">
      <c r="A155" s="37" t="inlineStr">
        <is>
          <t>6801-24-20-NWO</t>
        </is>
      </c>
      <c r="B155" s="37" t="inlineStr">
        <is>
          <t>6801-24-20 NWO</t>
        </is>
      </c>
      <c r="C155" s="37" t="inlineStr">
        <is>
          <t>6801</t>
        </is>
      </c>
      <c r="D155" s="37" t="n">
        <v>134</v>
      </c>
      <c r="E155" s="37" t="inlineStr">
        <is>
          <t>90 deg</t>
        </is>
      </c>
      <c r="F155" s="37" t="inlineStr">
        <is>
          <t>90 deg Straight Thread Elbow, 1 7/8-12 x 1 5/8-12</t>
        </is>
      </c>
      <c r="G155" s="37" t="inlineStr">
        <is>
          <t>1 5/8-12</t>
        </is>
      </c>
      <c r="H155" s="37" t="inlineStr">
        <is>
          <t>1 7/8-12</t>
        </is>
      </c>
      <c r="I155" s="37" t="n"/>
      <c r="J155" s="37" t="inlineStr">
        <is>
          <t>SAE J1926-3</t>
        </is>
      </c>
      <c r="K155" s="37" t="inlineStr">
        <is>
          <t>SAE J514-1</t>
        </is>
      </c>
      <c r="L155" s="37" t="n">
        <v>2.33</v>
      </c>
      <c r="M155" s="37" t="n">
        <v>2.38</v>
      </c>
      <c r="N155" s="37" t="n">
        <v>1.88</v>
      </c>
      <c r="O155" s="37" t="n">
        <v>2</v>
      </c>
      <c r="P155" s="37" t="n">
        <v>1.31</v>
      </c>
      <c r="Q155" s="37" t="n">
        <v>1.08</v>
      </c>
      <c r="R155" s="44" t="n">
        <v>2</v>
      </c>
      <c r="S155" s="44" t="n">
        <v>1.88</v>
      </c>
      <c r="T155" s="37" t="n">
        <v>90</v>
      </c>
      <c r="U155" s="37" t="inlineStr">
        <is>
          <t>ASSUMED</t>
        </is>
      </c>
      <c r="V155" s="37" t="inlineStr">
        <is>
          <t>MS51527 covers matched-dash sizes only; Air-Way remains single source.</t>
        </is>
      </c>
      <c r="W155" s="37" t="inlineStr">
        <is>
          <t>BUILD</t>
        </is>
      </c>
      <c r="X155" s="37" t="inlineStr">
        <is>
          <t>Hex = Air-Way C4 column (per-part). Matched sizes in this topology corroborate the column.</t>
        </is>
      </c>
      <c r="Z155" s="45" t="inlineStr">
        <is>
          <t>Carbon Steel</t>
        </is>
      </c>
      <c r="AA155" s="45" t="inlineStr">
        <is>
          <t>ASTM A108 12L14</t>
        </is>
      </c>
      <c r="AB155" s="45" t="inlineStr">
        <is>
          <t>Trivalent Cr3 Zinc</t>
        </is>
      </c>
      <c r="AC155" s="45" t="inlineStr">
        <is>
          <t>ASTM B633 Type V/VI</t>
        </is>
      </c>
      <c r="AD155" s="46" t="n">
        <v>2000</v>
      </c>
      <c r="AE155" s="46" t="inlineStr">
        <is>
          <t>generic SAE table @ dash -24 (governing end)</t>
        </is>
      </c>
      <c r="AF155" s="46" t="n">
        <v>-65</v>
      </c>
      <c r="AG155" s="46" t="n">
        <v>400</v>
      </c>
      <c r="AH155" s="37" t="inlineStr">
        <is>
          <t>Ham-Let + hoseandfittings (pressure); Parker Cat.4300 (material); ASTM B633 (finish); see StandardsData</t>
        </is>
      </c>
    </row>
    <row r="156" ht="15" customHeight="1" s="35">
      <c r="A156" s="37" t="inlineStr">
        <is>
          <t>6801-24-24-NWO-FG</t>
        </is>
      </c>
      <c r="B156" s="37" t="inlineStr">
        <is>
          <t>6801-24-24 NWO-FG</t>
        </is>
      </c>
      <c r="C156" s="37" t="inlineStr">
        <is>
          <t>6801</t>
        </is>
      </c>
      <c r="D156" s="37" t="n">
        <v>134</v>
      </c>
      <c r="E156" s="37" t="inlineStr">
        <is>
          <t>90 deg</t>
        </is>
      </c>
      <c r="F156" s="37" t="inlineStr">
        <is>
          <t>90 deg Straight Thread Elbow, 1 7/8-12 x 1 7/8-12</t>
        </is>
      </c>
      <c r="G156" s="37" t="inlineStr">
        <is>
          <t>1 7/8-12</t>
        </is>
      </c>
      <c r="H156" s="37" t="inlineStr">
        <is>
          <t>1 7/8-12</t>
        </is>
      </c>
      <c r="I156" s="37" t="n"/>
      <c r="J156" s="37" t="inlineStr">
        <is>
          <t>SAE J1926-3</t>
        </is>
      </c>
      <c r="K156" s="37" t="inlineStr">
        <is>
          <t>SAE J514-1</t>
        </is>
      </c>
      <c r="L156" s="37" t="n">
        <v>2.33</v>
      </c>
      <c r="M156" s="37" t="n">
        <v>2.39</v>
      </c>
      <c r="N156" s="37" t="n">
        <v>2.13</v>
      </c>
      <c r="O156" s="37" t="n">
        <v>1.88</v>
      </c>
      <c r="P156" s="37" t="n">
        <v>1.31</v>
      </c>
      <c r="Q156" s="37" t="n">
        <v>1.31</v>
      </c>
      <c r="R156" s="45" t="n">
        <v>1.88</v>
      </c>
      <c r="S156" s="45" t="n">
        <v>2.13</v>
      </c>
      <c r="T156" s="37" t="n">
        <v>90</v>
      </c>
      <c r="U156" s="37" t="inlineStr">
        <is>
          <t>VERIFIED</t>
        </is>
      </c>
      <c r="V156" s="37" t="inlineStr">
        <is>
          <t>MS51527 cross-check 2026-09-04: threads, both legs, both bores AGREE.</t>
        </is>
      </c>
      <c r="W156" s="37" t="inlineStr">
        <is>
          <t>BUILD</t>
        </is>
      </c>
      <c r="X156" s="37" t="inlineStr">
        <is>
          <t>Hex = Air-Way C4 column, CONFIRMED vs PressureConnections/Purvis.</t>
        </is>
      </c>
      <c r="Z156" s="45" t="inlineStr">
        <is>
          <t>Carbon Steel</t>
        </is>
      </c>
      <c r="AA156" s="45" t="inlineStr">
        <is>
          <t>ASTM A108 12L14</t>
        </is>
      </c>
      <c r="AB156" s="45" t="inlineStr">
        <is>
          <t>Trivalent Cr3 Zinc</t>
        </is>
      </c>
      <c r="AC156" s="45" t="inlineStr">
        <is>
          <t>ASTM B633 Type V/VI</t>
        </is>
      </c>
      <c r="AD156" s="46" t="n">
        <v>2000</v>
      </c>
      <c r="AE156" s="46" t="inlineStr">
        <is>
          <t>generic SAE table @ dash -24 (governing end)</t>
        </is>
      </c>
      <c r="AF156" s="46" t="n">
        <v>-65</v>
      </c>
      <c r="AG156" s="46" t="n">
        <v>400</v>
      </c>
      <c r="AH156" s="37" t="inlineStr">
        <is>
          <t>Ham-Let + hoseandfittings (pressure); Parker Cat.4300 (material); ASTM B633 (finish); see StandardsData</t>
        </is>
      </c>
    </row>
    <row r="157" ht="15" customHeight="1" s="35">
      <c r="A157" s="37" t="inlineStr">
        <is>
          <t>6801-24-24-NWO</t>
        </is>
      </c>
      <c r="B157" s="37" t="inlineStr">
        <is>
          <t>6801-24-24 NWO</t>
        </is>
      </c>
      <c r="C157" s="37" t="inlineStr">
        <is>
          <t>6801</t>
        </is>
      </c>
      <c r="D157" s="37" t="n">
        <v>134</v>
      </c>
      <c r="E157" s="37" t="inlineStr">
        <is>
          <t>90 deg</t>
        </is>
      </c>
      <c r="F157" s="37" t="inlineStr">
        <is>
          <t>90 deg Straight Thread Elbow, 1 7/8-12 x 1 7/8-12</t>
        </is>
      </c>
      <c r="G157" s="37" t="inlineStr">
        <is>
          <t>1 7/8-12</t>
        </is>
      </c>
      <c r="H157" s="37" t="inlineStr">
        <is>
          <t>1 7/8-12</t>
        </is>
      </c>
      <c r="I157" s="37" t="n"/>
      <c r="J157" s="37" t="inlineStr">
        <is>
          <t>SAE J1926-3</t>
        </is>
      </c>
      <c r="K157" s="37" t="inlineStr">
        <is>
          <t>SAE J514-1</t>
        </is>
      </c>
      <c r="L157" s="37" t="n">
        <v>2.33</v>
      </c>
      <c r="M157" s="37" t="n">
        <v>2.39</v>
      </c>
      <c r="N157" s="37" t="n">
        <v>2.13</v>
      </c>
      <c r="O157" s="37" t="n">
        <v>2</v>
      </c>
      <c r="P157" s="37" t="n">
        <v>1.31</v>
      </c>
      <c r="Q157" s="37" t="n">
        <v>1.31</v>
      </c>
      <c r="R157" s="45" t="n">
        <v>2</v>
      </c>
      <c r="S157" s="45" t="n">
        <v>2.13</v>
      </c>
      <c r="T157" s="37" t="n">
        <v>90</v>
      </c>
      <c r="U157" s="37" t="inlineStr">
        <is>
          <t>VERIFIED</t>
        </is>
      </c>
      <c r="V157" s="37" t="inlineStr">
        <is>
          <t>MS51527 cross-check 2026-09-04: threads, both legs, both bores AGREE.</t>
        </is>
      </c>
      <c r="W157" s="37" t="inlineStr">
        <is>
          <t>BUILD</t>
        </is>
      </c>
      <c r="X157" s="37" t="inlineStr">
        <is>
          <t>Hex = Air-Way C4 column, CONFIRMED vs PressureConnections/Purvis.</t>
        </is>
      </c>
      <c r="Z157" s="45" t="inlineStr">
        <is>
          <t>Carbon Steel</t>
        </is>
      </c>
      <c r="AA157" s="45" t="inlineStr">
        <is>
          <t>ASTM A108 12L14</t>
        </is>
      </c>
      <c r="AB157" s="45" t="inlineStr">
        <is>
          <t>Trivalent Cr3 Zinc</t>
        </is>
      </c>
      <c r="AC157" s="45" t="inlineStr">
        <is>
          <t>ASTM B633 Type V/VI</t>
        </is>
      </c>
      <c r="AD157" s="46" t="n">
        <v>2000</v>
      </c>
      <c r="AE157" s="46" t="inlineStr">
        <is>
          <t>generic SAE table @ dash -24 (governing end)</t>
        </is>
      </c>
      <c r="AF157" s="46" t="n">
        <v>-65</v>
      </c>
      <c r="AG157" s="46" t="n">
        <v>400</v>
      </c>
      <c r="AH157" s="37" t="inlineStr">
        <is>
          <t>Ham-Let + hoseandfittings (pressure); Parker Cat.4300 (material); ASTM B633 (finish); see StandardsData</t>
        </is>
      </c>
    </row>
    <row r="158" ht="15" customHeight="1" s="35">
      <c r="A158" s="37" t="inlineStr">
        <is>
          <t>6801-32-24-NWO-FG</t>
        </is>
      </c>
      <c r="B158" s="37" t="inlineStr">
        <is>
          <t>6801-32-24 NWO-FG</t>
        </is>
      </c>
      <c r="C158" s="37" t="inlineStr">
        <is>
          <t>6801</t>
        </is>
      </c>
      <c r="D158" s="37" t="n">
        <v>134</v>
      </c>
      <c r="E158" s="37" t="inlineStr">
        <is>
          <t>90 deg</t>
        </is>
      </c>
      <c r="F158" s="37" t="inlineStr">
        <is>
          <t>90 deg Straight Thread Elbow, 2 1/2-12 x 1 7/8-12</t>
        </is>
      </c>
      <c r="G158" s="37" t="inlineStr">
        <is>
          <t>1 7/8-12</t>
        </is>
      </c>
      <c r="H158" s="37" t="inlineStr">
        <is>
          <t>2 1/2-12</t>
        </is>
      </c>
      <c r="I158" s="37" t="n"/>
      <c r="J158" s="37" t="inlineStr">
        <is>
          <t>SAE J1926-3</t>
        </is>
      </c>
      <c r="K158" s="37" t="inlineStr">
        <is>
          <t>SAE J514-1</t>
        </is>
      </c>
      <c r="L158" s="37" t="n">
        <v>3.06</v>
      </c>
      <c r="M158" s="37" t="n">
        <v>2.89</v>
      </c>
      <c r="N158" s="37" t="n">
        <v>2.13</v>
      </c>
      <c r="O158" s="37" t="n">
        <v>2.5</v>
      </c>
      <c r="P158" s="37" t="n">
        <v>1.31</v>
      </c>
      <c r="Q158" s="37" t="n">
        <v>1.78</v>
      </c>
      <c r="R158" s="44" t="n">
        <v>2.5</v>
      </c>
      <c r="S158" s="44" t="n">
        <v>2.13</v>
      </c>
      <c r="T158" s="37" t="n">
        <v>90</v>
      </c>
      <c r="U158" s="37" t="inlineStr">
        <is>
          <t>ASSUMED</t>
        </is>
      </c>
      <c r="V158" s="37" t="inlineStr">
        <is>
          <t>MS51527 covers matched-dash sizes only; Air-Way remains single source.</t>
        </is>
      </c>
      <c r="W158" s="37" t="inlineStr">
        <is>
          <t>BUILD</t>
        </is>
      </c>
      <c r="X158" s="37" t="inlineStr">
        <is>
          <t>Hex = Air-Way C4 column (per-part). Matched sizes in this topology corroborate the column.</t>
        </is>
      </c>
      <c r="Z158" s="45" t="inlineStr">
        <is>
          <t>Carbon Steel</t>
        </is>
      </c>
      <c r="AA158" s="45" t="inlineStr">
        <is>
          <t>ASTM A108 12L14</t>
        </is>
      </c>
      <c r="AB158" s="45" t="inlineStr">
        <is>
          <t>Trivalent Cr3 Zinc</t>
        </is>
      </c>
      <c r="AC158" s="45" t="inlineStr">
        <is>
          <t>ASTM B633 Type V/VI</t>
        </is>
      </c>
      <c r="AD158" s="46" t="n">
        <v>1500</v>
      </c>
      <c r="AE158" s="46" t="inlineStr">
        <is>
          <t>generic SAE table @ dash -32 (governing end)</t>
        </is>
      </c>
      <c r="AF158" s="46" t="n">
        <v>-65</v>
      </c>
      <c r="AG158" s="46" t="n">
        <v>400</v>
      </c>
      <c r="AH158" s="37" t="inlineStr">
        <is>
          <t>Ham-Let + hoseandfittings (pressure); Parker Cat.4300 (material); ASTM B633 (finish); see StandardsData</t>
        </is>
      </c>
    </row>
    <row r="159" ht="15" customHeight="1" s="35">
      <c r="A159" s="37" t="inlineStr">
        <is>
          <t>6801-32-32-NWO-FG</t>
        </is>
      </c>
      <c r="B159" s="37" t="inlineStr">
        <is>
          <t>6801-32-32 NWO-FG</t>
        </is>
      </c>
      <c r="C159" s="37" t="inlineStr">
        <is>
          <t>6801</t>
        </is>
      </c>
      <c r="D159" s="37" t="n">
        <v>134</v>
      </c>
      <c r="E159" s="37" t="inlineStr">
        <is>
          <t>90 deg</t>
        </is>
      </c>
      <c r="F159" s="37" t="inlineStr">
        <is>
          <t>90 deg Straight Thread Elbow, 2 1/2-12 x 2 1/2-12</t>
        </is>
      </c>
      <c r="G159" s="37" t="inlineStr">
        <is>
          <t>2 1/2-12</t>
        </is>
      </c>
      <c r="H159" s="37" t="inlineStr">
        <is>
          <t>2 1/2-12</t>
        </is>
      </c>
      <c r="I159" s="37" t="n"/>
      <c r="J159" s="37" t="inlineStr">
        <is>
          <t>SAE J1926-3</t>
        </is>
      </c>
      <c r="K159" s="37" t="inlineStr">
        <is>
          <t>SAE J514-1</t>
        </is>
      </c>
      <c r="L159" s="37" t="n">
        <v>3.06</v>
      </c>
      <c r="M159" s="37" t="n">
        <v>2.89</v>
      </c>
      <c r="N159" s="37" t="n">
        <v>2.75</v>
      </c>
      <c r="O159" s="37" t="n">
        <v>2.5</v>
      </c>
      <c r="P159" s="37" t="n">
        <v>1.78</v>
      </c>
      <c r="Q159" s="37" t="n">
        <v>1.78</v>
      </c>
      <c r="R159" s="45" t="n">
        <v>2.5</v>
      </c>
      <c r="S159" s="45" t="n">
        <v>2.75</v>
      </c>
      <c r="T159" s="37" t="n">
        <v>90</v>
      </c>
      <c r="U159" s="37" t="inlineStr">
        <is>
          <t>VERIFIED</t>
        </is>
      </c>
      <c r="V159" s="37" t="inlineStr">
        <is>
          <t>MS51527 cross-check 2026-09-04: threads, both legs, both bores AGREE.</t>
        </is>
      </c>
      <c r="W159" s="37" t="inlineStr">
        <is>
          <t>BUILD</t>
        </is>
      </c>
      <c r="X159" s="37" t="inlineStr">
        <is>
          <t>Hex = Air-Way C4 column, CONFIRMED vs PressureConnections/Purvis.</t>
        </is>
      </c>
      <c r="Z159" s="45" t="inlineStr">
        <is>
          <t>Carbon Steel</t>
        </is>
      </c>
      <c r="AA159" s="45" t="inlineStr">
        <is>
          <t>ASTM A108 12L14</t>
        </is>
      </c>
      <c r="AB159" s="45" t="inlineStr">
        <is>
          <t>Trivalent Cr3 Zinc</t>
        </is>
      </c>
      <c r="AC159" s="45" t="inlineStr">
        <is>
          <t>ASTM B633 Type V/VI</t>
        </is>
      </c>
      <c r="AD159" s="46" t="n">
        <v>1500</v>
      </c>
      <c r="AE159" s="46" t="inlineStr">
        <is>
          <t>generic SAE table @ dash -32 (governing end)</t>
        </is>
      </c>
      <c r="AF159" s="46" t="n">
        <v>-65</v>
      </c>
      <c r="AG159" s="46" t="n">
        <v>400</v>
      </c>
      <c r="AH159" s="37" t="inlineStr">
        <is>
          <t>Ham-Let + hoseandfittings (pressure); Parker Cat.4300 (material); ASTM B633 (finish); see StandardsData</t>
        </is>
      </c>
    </row>
    <row r="160" ht="15" customHeight="1" s="35">
      <c r="A160" s="37" t="inlineStr">
        <is>
          <t>6802-04-04-NWO-FG</t>
        </is>
      </c>
      <c r="B160" s="37" t="inlineStr">
        <is>
          <t>6802-4-4 NWO-FG</t>
        </is>
      </c>
      <c r="C160" s="37" t="inlineStr">
        <is>
          <t>6802</t>
        </is>
      </c>
      <c r="D160" s="37" t="n">
        <v>158</v>
      </c>
      <c r="E160" s="37" t="inlineStr">
        <is>
          <t>45 deg</t>
        </is>
      </c>
      <c r="F160" s="37" t="inlineStr">
        <is>
          <t>45 deg Straight Thread Elbow, 7/16-20 x 7/16-20</t>
        </is>
      </c>
      <c r="G160" s="37" t="inlineStr">
        <is>
          <t>7/16-20</t>
        </is>
      </c>
      <c r="H160" s="37" t="inlineStr">
        <is>
          <t>7/16-20</t>
        </is>
      </c>
      <c r="I160" s="37" t="n"/>
      <c r="J160" s="37" t="inlineStr">
        <is>
          <t>SAE J1926-1</t>
        </is>
      </c>
      <c r="K160" s="37" t="inlineStr">
        <is>
          <t>SAE J514-1</t>
        </is>
      </c>
      <c r="L160" s="37" t="n">
        <v>0.72</v>
      </c>
      <c r="M160" s="37" t="n">
        <v>1.05</v>
      </c>
      <c r="N160" s="37" t="n">
        <v>0.5600000000000001</v>
      </c>
      <c r="O160" s="37" t="n">
        <v>0.44</v>
      </c>
      <c r="P160" s="37" t="n">
        <v>0.17</v>
      </c>
      <c r="Q160" s="37" t="n">
        <v>0.17</v>
      </c>
      <c r="R160" s="45" t="n">
        <v>0.44</v>
      </c>
      <c r="S160" s="45" t="n">
        <v>0.5600000000000001</v>
      </c>
      <c r="T160" s="37" t="n">
        <v>45</v>
      </c>
      <c r="U160" s="37" t="inlineStr">
        <is>
          <t>VERIFIED</t>
        </is>
      </c>
      <c r="V160" s="37" t="inlineStr">
        <is>
          <t>MS51528 cross-check 2026-09-04: threads, both legs, both bores AGREE.</t>
        </is>
      </c>
      <c r="W160" s="37" t="inlineStr">
        <is>
          <t>BUILD</t>
        </is>
      </c>
      <c r="X160" s="37" t="inlineStr">
        <is>
          <t>Hex = Air-Way C4 column, CONFIRMED vs PressureConnections/Purvis.</t>
        </is>
      </c>
      <c r="Z160" s="45" t="inlineStr">
        <is>
          <t>Carbon Steel</t>
        </is>
      </c>
      <c r="AA160" s="45" t="inlineStr">
        <is>
          <t>ASTM A108 12L14</t>
        </is>
      </c>
      <c r="AB160" s="45" t="inlineStr">
        <is>
          <t>Trivalent Cr3 Zinc</t>
        </is>
      </c>
      <c r="AC160" s="45" t="inlineStr">
        <is>
          <t>ASTM B633 Type V/VI</t>
        </is>
      </c>
      <c r="AD160" s="46" t="n">
        <v>5000</v>
      </c>
      <c r="AE160" s="46" t="inlineStr">
        <is>
          <t>generic SAE table @ dash -4 (governing end)</t>
        </is>
      </c>
      <c r="AF160" s="46" t="n">
        <v>-65</v>
      </c>
      <c r="AG160" s="46" t="n">
        <v>400</v>
      </c>
      <c r="AH160" s="37" t="inlineStr">
        <is>
          <t>Ham-Let + hoseandfittings (pressure); Parker Cat.4300 (material); ASTM B633 (finish); see StandardsData</t>
        </is>
      </c>
    </row>
    <row r="161" ht="15" customHeight="1" s="35">
      <c r="A161" s="37" t="inlineStr">
        <is>
          <t>6802-04-04-NWO</t>
        </is>
      </c>
      <c r="B161" s="37" t="inlineStr">
        <is>
          <t>6802-4-4 NWO</t>
        </is>
      </c>
      <c r="C161" s="37" t="inlineStr">
        <is>
          <t>6802</t>
        </is>
      </c>
      <c r="D161" s="37" t="n">
        <v>158</v>
      </c>
      <c r="E161" s="37" t="inlineStr">
        <is>
          <t>45 deg</t>
        </is>
      </c>
      <c r="F161" s="37" t="inlineStr">
        <is>
          <t>45 deg Straight Thread Elbow, 7/16-20 x 7/16-20</t>
        </is>
      </c>
      <c r="G161" s="37" t="inlineStr">
        <is>
          <t>7/16-20</t>
        </is>
      </c>
      <c r="H161" s="37" t="inlineStr">
        <is>
          <t>7/16-20</t>
        </is>
      </c>
      <c r="I161" s="37" t="n"/>
      <c r="J161" s="37" t="inlineStr">
        <is>
          <t>SAE J1926-1</t>
        </is>
      </c>
      <c r="K161" s="37" t="inlineStr">
        <is>
          <t>SAE J514-1</t>
        </is>
      </c>
      <c r="L161" s="37" t="n">
        <v>0.72</v>
      </c>
      <c r="M161" s="37" t="n">
        <v>1.05</v>
      </c>
      <c r="N161" s="37" t="n">
        <v>0.5600000000000001</v>
      </c>
      <c r="O161" s="37" t="n">
        <v>0.5</v>
      </c>
      <c r="P161" s="37" t="n">
        <v>0.17</v>
      </c>
      <c r="Q161" s="37" t="n">
        <v>0.17</v>
      </c>
      <c r="R161" s="45" t="n">
        <v>0.5</v>
      </c>
      <c r="S161" s="45" t="n">
        <v>0.5600000000000001</v>
      </c>
      <c r="T161" s="37" t="n">
        <v>45</v>
      </c>
      <c r="U161" s="37" t="inlineStr">
        <is>
          <t>VERIFIED</t>
        </is>
      </c>
      <c r="V161" s="37" t="inlineStr">
        <is>
          <t>MS51528 cross-check 2026-09-04: threads, both legs, both bores AGREE.</t>
        </is>
      </c>
      <c r="W161" s="37" t="inlineStr">
        <is>
          <t>BUILD</t>
        </is>
      </c>
      <c r="X161" s="37" t="inlineStr">
        <is>
          <t>Hex = Air-Way C4 column, CONFIRMED vs PressureConnections/Purvis.</t>
        </is>
      </c>
      <c r="Z161" s="45" t="inlineStr">
        <is>
          <t>Carbon Steel</t>
        </is>
      </c>
      <c r="AA161" s="45" t="inlineStr">
        <is>
          <t>ASTM A108 12L14</t>
        </is>
      </c>
      <c r="AB161" s="45" t="inlineStr">
        <is>
          <t>Trivalent Cr3 Zinc</t>
        </is>
      </c>
      <c r="AC161" s="45" t="inlineStr">
        <is>
          <t>ASTM B633 Type V/VI</t>
        </is>
      </c>
      <c r="AD161" s="46" t="n">
        <v>5000</v>
      </c>
      <c r="AE161" s="46" t="inlineStr">
        <is>
          <t>generic SAE table @ dash -4 (governing end)</t>
        </is>
      </c>
      <c r="AF161" s="46" t="n">
        <v>-65</v>
      </c>
      <c r="AG161" s="46" t="n">
        <v>400</v>
      </c>
      <c r="AH161" s="37" t="inlineStr">
        <is>
          <t>Ham-Let + hoseandfittings (pressure); Parker Cat.4300 (material); ASTM B633 (finish); see StandardsData</t>
        </is>
      </c>
    </row>
    <row r="162" ht="15" customHeight="1" s="35">
      <c r="A162" s="37" t="inlineStr">
        <is>
          <t>6802-04-05-NWO-FG</t>
        </is>
      </c>
      <c r="B162" s="37" t="inlineStr">
        <is>
          <t>6802-4-5 NWO-FG</t>
        </is>
      </c>
      <c r="C162" s="37" t="inlineStr">
        <is>
          <t>6802</t>
        </is>
      </c>
      <c r="D162" s="37" t="n">
        <v>158</v>
      </c>
      <c r="E162" s="37" t="inlineStr">
        <is>
          <t>45 deg</t>
        </is>
      </c>
      <c r="F162" s="37" t="inlineStr">
        <is>
          <t>45 deg Straight Thread Elbow, 7/16-20 x 1/2-20</t>
        </is>
      </c>
      <c r="G162" s="37" t="inlineStr">
        <is>
          <t>1/2-20</t>
        </is>
      </c>
      <c r="H162" s="37" t="inlineStr">
        <is>
          <t>7/16-20</t>
        </is>
      </c>
      <c r="I162" s="37" t="n"/>
      <c r="J162" s="37" t="inlineStr">
        <is>
          <t>SAE J1926-1</t>
        </is>
      </c>
      <c r="K162" s="37" t="inlineStr">
        <is>
          <t>SAE J514-1</t>
        </is>
      </c>
      <c r="L162" s="37" t="n">
        <v>0.72</v>
      </c>
      <c r="M162" s="37" t="n">
        <v>1.05</v>
      </c>
      <c r="N162" s="37" t="n">
        <v>0.63</v>
      </c>
      <c r="O162" s="37" t="n">
        <v>0.5600000000000001</v>
      </c>
      <c r="P162" s="37" t="n">
        <v>0.17</v>
      </c>
      <c r="Q162" s="37" t="n">
        <v>0.23</v>
      </c>
      <c r="R162" s="44" t="n">
        <v>0.5600000000000001</v>
      </c>
      <c r="S162" s="44" t="n">
        <v>0.63</v>
      </c>
      <c r="T162" s="37" t="n">
        <v>45</v>
      </c>
      <c r="U162" s="37" t="inlineStr">
        <is>
          <t>ASSUMED</t>
        </is>
      </c>
      <c r="V162" s="37" t="inlineStr">
        <is>
          <t>MS51528 covers matched-dash sizes only; Air-Way remains single source.</t>
        </is>
      </c>
      <c r="W162" s="37" t="inlineStr">
        <is>
          <t>BUILD</t>
        </is>
      </c>
      <c r="X162" s="37" t="inlineStr">
        <is>
          <t>Hex = Air-Way C4 column (per-part). Matched sizes in this topology corroborate the column.</t>
        </is>
      </c>
      <c r="Z162" s="45" t="inlineStr">
        <is>
          <t>Carbon Steel</t>
        </is>
      </c>
      <c r="AA162" s="45" t="inlineStr">
        <is>
          <t>ASTM A108 12L14</t>
        </is>
      </c>
      <c r="AB162" s="45" t="inlineStr">
        <is>
          <t>Trivalent Cr3 Zinc</t>
        </is>
      </c>
      <c r="AC162" s="45" t="inlineStr">
        <is>
          <t>ASTM B633 Type V/VI</t>
        </is>
      </c>
      <c r="AD162" s="46" t="n">
        <v>5000</v>
      </c>
      <c r="AE162" s="46" t="inlineStr">
        <is>
          <t>generic SAE table @ dash -5 (governing end)</t>
        </is>
      </c>
      <c r="AF162" s="46" t="n">
        <v>-65</v>
      </c>
      <c r="AG162" s="46" t="n">
        <v>400</v>
      </c>
      <c r="AH162" s="37" t="inlineStr">
        <is>
          <t>Ham-Let + hoseandfittings (pressure); Parker Cat.4300 (material); ASTM B633 (finish); see StandardsData</t>
        </is>
      </c>
    </row>
    <row r="163" ht="15" customHeight="1" s="35">
      <c r="A163" s="37" t="inlineStr">
        <is>
          <t>6802-04-06-NWO-FG</t>
        </is>
      </c>
      <c r="B163" s="37" t="inlineStr">
        <is>
          <t>6802-4-6 NWO-FG</t>
        </is>
      </c>
      <c r="C163" s="37" t="inlineStr">
        <is>
          <t>6802</t>
        </is>
      </c>
      <c r="D163" s="37" t="n">
        <v>158</v>
      </c>
      <c r="E163" s="37" t="inlineStr">
        <is>
          <t>45 deg</t>
        </is>
      </c>
      <c r="F163" s="37" t="inlineStr">
        <is>
          <t>45 deg Straight Thread Elbow, 7/16-20 x 9/16-18</t>
        </is>
      </c>
      <c r="G163" s="37" t="inlineStr">
        <is>
          <t>9/16-18</t>
        </is>
      </c>
      <c r="H163" s="37" t="inlineStr">
        <is>
          <t>7/16-20</t>
        </is>
      </c>
      <c r="I163" s="37" t="n"/>
      <c r="J163" s="37" t="inlineStr">
        <is>
          <t>SAE J1926-1</t>
        </is>
      </c>
      <c r="K163" s="37" t="inlineStr">
        <is>
          <t>SAE J514-1</t>
        </is>
      </c>
      <c r="L163" s="37" t="n">
        <v>0.82</v>
      </c>
      <c r="M163" s="37" t="n">
        <v>1.14</v>
      </c>
      <c r="N163" s="37" t="n">
        <v>0.5600000000000001</v>
      </c>
      <c r="O163" s="37" t="n">
        <v>0.5600000000000001</v>
      </c>
      <c r="P163" s="37" t="n">
        <v>0.17</v>
      </c>
      <c r="Q163" s="37" t="n">
        <v>0.3</v>
      </c>
      <c r="R163" s="44" t="n">
        <v>0.5600000000000001</v>
      </c>
      <c r="S163" s="44" t="n">
        <v>0.5600000000000001</v>
      </c>
      <c r="T163" s="37" t="n">
        <v>45</v>
      </c>
      <c r="U163" s="37" t="inlineStr">
        <is>
          <t>ASSUMED</t>
        </is>
      </c>
      <c r="V163" s="37" t="inlineStr">
        <is>
          <t>MS51528 covers matched-dash sizes only; Air-Way remains single source.</t>
        </is>
      </c>
      <c r="W163" s="37" t="inlineStr">
        <is>
          <t>BUILD</t>
        </is>
      </c>
      <c r="X163" s="37" t="inlineStr">
        <is>
          <t>Hex = Air-Way C4 column (per-part). Matched sizes in this topology corroborate the column.</t>
        </is>
      </c>
      <c r="Z163" s="45" t="inlineStr">
        <is>
          <t>Carbon Steel</t>
        </is>
      </c>
      <c r="AA163" s="45" t="inlineStr">
        <is>
          <t>ASTM A108 12L14</t>
        </is>
      </c>
      <c r="AB163" s="45" t="inlineStr">
        <is>
          <t>Trivalent Cr3 Zinc</t>
        </is>
      </c>
      <c r="AC163" s="45" t="inlineStr">
        <is>
          <t>ASTM B633 Type V/VI</t>
        </is>
      </c>
      <c r="AD163" s="46" t="n">
        <v>5000</v>
      </c>
      <c r="AE163" s="46" t="inlineStr">
        <is>
          <t>generic SAE table @ dash -6 (governing end)</t>
        </is>
      </c>
      <c r="AF163" s="46" t="n">
        <v>-65</v>
      </c>
      <c r="AG163" s="46" t="n">
        <v>400</v>
      </c>
      <c r="AH163" s="37" t="inlineStr">
        <is>
          <t>Ham-Let + hoseandfittings (pressure); Parker Cat.4300 (material); ASTM B633 (finish); see StandardsData</t>
        </is>
      </c>
    </row>
    <row r="164" ht="15" customHeight="1" s="35">
      <c r="A164" s="37" t="inlineStr">
        <is>
          <t>6802-04-06-NWO</t>
        </is>
      </c>
      <c r="B164" s="37" t="inlineStr">
        <is>
          <t>6802-4-6 NWO</t>
        </is>
      </c>
      <c r="C164" s="37" t="inlineStr">
        <is>
          <t>6802</t>
        </is>
      </c>
      <c r="D164" s="37" t="n">
        <v>158</v>
      </c>
      <c r="E164" s="37" t="inlineStr">
        <is>
          <t>45 deg</t>
        </is>
      </c>
      <c r="F164" s="37" t="inlineStr">
        <is>
          <t>45 deg Straight Thread Elbow, 7/16-20 x 9/16-18</t>
        </is>
      </c>
      <c r="G164" s="37" t="inlineStr">
        <is>
          <t>9/16-18</t>
        </is>
      </c>
      <c r="H164" s="37" t="inlineStr">
        <is>
          <t>7/16-20</t>
        </is>
      </c>
      <c r="I164" s="37" t="n"/>
      <c r="J164" s="37" t="inlineStr">
        <is>
          <t>SAE J1926-1</t>
        </is>
      </c>
      <c r="K164" s="37" t="inlineStr">
        <is>
          <t>SAE J514-1</t>
        </is>
      </c>
      <c r="L164" s="37" t="n">
        <v>0.72</v>
      </c>
      <c r="M164" s="37" t="n">
        <v>1.14</v>
      </c>
      <c r="N164" s="37" t="n">
        <v>0.6899999999999999</v>
      </c>
      <c r="O164" s="37" t="n">
        <v>0.63</v>
      </c>
      <c r="P164" s="37" t="n">
        <v>0.17</v>
      </c>
      <c r="Q164" s="37" t="n">
        <v>0.3</v>
      </c>
      <c r="R164" s="44" t="n">
        <v>0.63</v>
      </c>
      <c r="S164" s="44" t="n">
        <v>0.6899999999999999</v>
      </c>
      <c r="T164" s="37" t="n">
        <v>45</v>
      </c>
      <c r="U164" s="37" t="inlineStr">
        <is>
          <t>ASSUMED</t>
        </is>
      </c>
      <c r="V164" s="37" t="inlineStr">
        <is>
          <t>MS51528 covers matched-dash sizes only; Air-Way remains single source.</t>
        </is>
      </c>
      <c r="W164" s="37" t="inlineStr">
        <is>
          <t>BUILD</t>
        </is>
      </c>
      <c r="X164" s="37" t="inlineStr">
        <is>
          <t>Hex = Air-Way C4 column (per-part). Matched sizes in this topology corroborate the column.</t>
        </is>
      </c>
      <c r="Z164" s="45" t="inlineStr">
        <is>
          <t>Carbon Steel</t>
        </is>
      </c>
      <c r="AA164" s="45" t="inlineStr">
        <is>
          <t>ASTM A108 12L14</t>
        </is>
      </c>
      <c r="AB164" s="45" t="inlineStr">
        <is>
          <t>Trivalent Cr3 Zinc</t>
        </is>
      </c>
      <c r="AC164" s="45" t="inlineStr">
        <is>
          <t>ASTM B633 Type V/VI</t>
        </is>
      </c>
      <c r="AD164" s="46" t="n">
        <v>5000</v>
      </c>
      <c r="AE164" s="46" t="inlineStr">
        <is>
          <t>generic SAE table @ dash -6 (governing end)</t>
        </is>
      </c>
      <c r="AF164" s="46" t="n">
        <v>-65</v>
      </c>
      <c r="AG164" s="46" t="n">
        <v>400</v>
      </c>
      <c r="AH164" s="37" t="inlineStr">
        <is>
          <t>Ham-Let + hoseandfittings (pressure); Parker Cat.4300 (material); ASTM B633 (finish); see StandardsData</t>
        </is>
      </c>
    </row>
    <row r="165" ht="15" customHeight="1" s="35">
      <c r="A165" s="37" t="inlineStr">
        <is>
          <t>6802-04-08-NWO</t>
        </is>
      </c>
      <c r="B165" s="37" t="inlineStr">
        <is>
          <t>6802-4-8 NWO</t>
        </is>
      </c>
      <c r="C165" s="37" t="inlineStr">
        <is>
          <t>6802</t>
        </is>
      </c>
      <c r="D165" s="37" t="n">
        <v>158</v>
      </c>
      <c r="E165" s="37" t="inlineStr">
        <is>
          <t>45 deg</t>
        </is>
      </c>
      <c r="F165" s="37" t="inlineStr">
        <is>
          <t>45 deg Straight Thread Elbow, 7/16-20 x 3/4-16</t>
        </is>
      </c>
      <c r="G165" s="37" t="inlineStr">
        <is>
          <t>3/4-16</t>
        </is>
      </c>
      <c r="H165" s="37" t="inlineStr">
        <is>
          <t>7/16-20</t>
        </is>
      </c>
      <c r="I165" s="37" t="n"/>
      <c r="J165" s="37" t="inlineStr">
        <is>
          <t>SAE J1926-1</t>
        </is>
      </c>
      <c r="K165" s="37" t="inlineStr">
        <is>
          <t>SAE J514-1</t>
        </is>
      </c>
      <c r="L165" s="37" t="n">
        <v>0.85</v>
      </c>
      <c r="M165" s="37" t="n">
        <v>1.3</v>
      </c>
      <c r="N165" s="37" t="n">
        <v>0.88</v>
      </c>
      <c r="O165" s="37" t="n">
        <v>0.8100000000000001</v>
      </c>
      <c r="P165" s="37" t="n">
        <v>0.17</v>
      </c>
      <c r="Q165" s="37" t="n">
        <v>0.39</v>
      </c>
      <c r="R165" s="44" t="n">
        <v>0.8100000000000001</v>
      </c>
      <c r="S165" s="44" t="n">
        <v>0.88</v>
      </c>
      <c r="T165" s="37" t="n">
        <v>45</v>
      </c>
      <c r="U165" s="37" t="inlineStr">
        <is>
          <t>ASSUMED</t>
        </is>
      </c>
      <c r="V165" s="37" t="inlineStr">
        <is>
          <t>MS51528 covers matched-dash sizes only; Air-Way remains single source.</t>
        </is>
      </c>
      <c r="W165" s="37" t="inlineStr">
        <is>
          <t>BUILD</t>
        </is>
      </c>
      <c r="X165" s="37" t="inlineStr">
        <is>
          <t>Hex = Air-Way C4 column (per-part). Matched sizes in this topology corroborate the column.</t>
        </is>
      </c>
      <c r="Z165" s="45" t="inlineStr">
        <is>
          <t>Carbon Steel</t>
        </is>
      </c>
      <c r="AA165" s="45" t="inlineStr">
        <is>
          <t>ASTM A108 12L14</t>
        </is>
      </c>
      <c r="AB165" s="45" t="inlineStr">
        <is>
          <t>Trivalent Cr3 Zinc</t>
        </is>
      </c>
      <c r="AC165" s="45" t="inlineStr">
        <is>
          <t>ASTM B633 Type V/VI</t>
        </is>
      </c>
      <c r="AD165" s="46" t="n">
        <v>4500</v>
      </c>
      <c r="AE165" s="46" t="inlineStr">
        <is>
          <t>generic SAE table @ dash -8 (governing end)</t>
        </is>
      </c>
      <c r="AF165" s="46" t="n">
        <v>-65</v>
      </c>
      <c r="AG165" s="46" t="n">
        <v>400</v>
      </c>
      <c r="AH165" s="37" t="inlineStr">
        <is>
          <t>Ham-Let + hoseandfittings (pressure); Parker Cat.4300 (material); ASTM B633 (finish); see StandardsData</t>
        </is>
      </c>
    </row>
    <row r="166" ht="15" customHeight="1" s="35">
      <c r="A166" s="37" t="inlineStr">
        <is>
          <t>6802-05-03-NWO</t>
        </is>
      </c>
      <c r="B166" s="37" t="inlineStr">
        <is>
          <t>6802-5-3 NWO</t>
        </is>
      </c>
      <c r="C166" s="37" t="inlineStr">
        <is>
          <t>6802</t>
        </is>
      </c>
      <c r="D166" s="37" t="n">
        <v>158</v>
      </c>
      <c r="E166" s="37" t="inlineStr">
        <is>
          <t>45 deg</t>
        </is>
      </c>
      <c r="F166" s="37" t="inlineStr">
        <is>
          <t>45 deg Straight Thread Elbow, 1/2-20 x 3/8-24</t>
        </is>
      </c>
      <c r="G166" s="37" t="inlineStr">
        <is>
          <t>3/8-24</t>
        </is>
      </c>
      <c r="H166" s="37" t="inlineStr">
        <is>
          <t>1/2-20</t>
        </is>
      </c>
      <c r="I166" s="37" t="n"/>
      <c r="J166" s="37" t="inlineStr">
        <is>
          <t>SAE J1926-1</t>
        </is>
      </c>
      <c r="K166" s="37" t="inlineStr">
        <is>
          <t>SAE J514-1</t>
        </is>
      </c>
      <c r="L166" s="37" t="n">
        <v>0.77</v>
      </c>
      <c r="M166" s="37" t="n">
        <v>0.92</v>
      </c>
      <c r="N166" s="37" t="n">
        <v>0.5600000000000001</v>
      </c>
      <c r="O166" s="37" t="n">
        <v>0.5600000000000001</v>
      </c>
      <c r="P166" s="37" t="n">
        <v>0.23</v>
      </c>
      <c r="Q166" s="37" t="n">
        <v>0.13</v>
      </c>
      <c r="R166" s="44" t="n">
        <v>0.5600000000000001</v>
      </c>
      <c r="S166" s="44" t="n">
        <v>0.5600000000000001</v>
      </c>
      <c r="T166" s="37" t="n">
        <v>45</v>
      </c>
      <c r="U166" s="37" t="inlineStr">
        <is>
          <t>ASSUMED</t>
        </is>
      </c>
      <c r="V166" s="37" t="inlineStr">
        <is>
          <t>MS51528 covers matched-dash sizes only; Air-Way remains single source.</t>
        </is>
      </c>
      <c r="W166" s="37" t="inlineStr">
        <is>
          <t>BUILD</t>
        </is>
      </c>
      <c r="X166" s="37" t="inlineStr">
        <is>
          <t>Hex = Air-Way C4 column (per-part). Matched sizes in this topology corroborate the column.</t>
        </is>
      </c>
      <c r="Z166" s="45" t="inlineStr">
        <is>
          <t>Carbon Steel</t>
        </is>
      </c>
      <c r="AA166" s="45" t="inlineStr">
        <is>
          <t>ASTM A108 12L14</t>
        </is>
      </c>
      <c r="AB166" s="45" t="inlineStr">
        <is>
          <t>Trivalent Cr3 Zinc</t>
        </is>
      </c>
      <c r="AC166" s="45" t="inlineStr">
        <is>
          <t>ASTM B633 Type V/VI</t>
        </is>
      </c>
      <c r="AD166" s="46" t="n">
        <v>5000</v>
      </c>
      <c r="AE166" s="46" t="inlineStr">
        <is>
          <t>generic SAE table @ dash -5 (governing end)</t>
        </is>
      </c>
      <c r="AF166" s="46" t="n">
        <v>-65</v>
      </c>
      <c r="AG166" s="46" t="n">
        <v>400</v>
      </c>
      <c r="AH166" s="37" t="inlineStr">
        <is>
          <t>Ham-Let + hoseandfittings (pressure); Parker Cat.4300 (material); ASTM B633 (finish); see StandardsData</t>
        </is>
      </c>
    </row>
    <row r="167" ht="15" customHeight="1" s="35">
      <c r="A167" s="37" t="inlineStr">
        <is>
          <t>6802-05-05-NWO-FG</t>
        </is>
      </c>
      <c r="B167" s="37" t="inlineStr">
        <is>
          <t>6802-5-5 NWO-FG</t>
        </is>
      </c>
      <c r="C167" s="37" t="inlineStr">
        <is>
          <t>6802</t>
        </is>
      </c>
      <c r="D167" s="37" t="n">
        <v>158</v>
      </c>
      <c r="E167" s="37" t="inlineStr">
        <is>
          <t>45 deg</t>
        </is>
      </c>
      <c r="F167" s="37" t="inlineStr">
        <is>
          <t>45 deg Straight Thread Elbow, 1/2-20 x 1/2-20</t>
        </is>
      </c>
      <c r="G167" s="37" t="inlineStr">
        <is>
          <t>1/2-20</t>
        </is>
      </c>
      <c r="H167" s="37" t="inlineStr">
        <is>
          <t>1/2-20</t>
        </is>
      </c>
      <c r="I167" s="37" t="n"/>
      <c r="J167" s="37" t="inlineStr">
        <is>
          <t>SAE J1926-1</t>
        </is>
      </c>
      <c r="K167" s="37" t="inlineStr">
        <is>
          <t>SAE J514-1</t>
        </is>
      </c>
      <c r="L167" s="37" t="n">
        <v>0.77</v>
      </c>
      <c r="M167" s="37" t="n">
        <v>1.05</v>
      </c>
      <c r="N167" s="37" t="n">
        <v>0.63</v>
      </c>
      <c r="O167" s="37" t="n">
        <v>0.5600000000000001</v>
      </c>
      <c r="P167" s="37" t="n">
        <v>0.23</v>
      </c>
      <c r="Q167" s="37" t="n">
        <v>0.23</v>
      </c>
      <c r="R167" s="45" t="n">
        <v>0.5600000000000001</v>
      </c>
      <c r="S167" s="45" t="n">
        <v>0.63</v>
      </c>
      <c r="T167" s="37" t="n">
        <v>45</v>
      </c>
      <c r="U167" s="37" t="inlineStr">
        <is>
          <t>VERIFIED</t>
        </is>
      </c>
      <c r="V167" s="37" t="inlineStr">
        <is>
          <t>MS51528 cross-check 2026-09-04: threads, both legs, both bores AGREE.</t>
        </is>
      </c>
      <c r="W167" s="37" t="inlineStr">
        <is>
          <t>BUILD</t>
        </is>
      </c>
      <c r="X167" s="37" t="inlineStr">
        <is>
          <t>Hex = Air-Way C4 column, CONFIRMED vs PressureConnections/Purvis.</t>
        </is>
      </c>
      <c r="Z167" s="45" t="inlineStr">
        <is>
          <t>Carbon Steel</t>
        </is>
      </c>
      <c r="AA167" s="45" t="inlineStr">
        <is>
          <t>ASTM A108 12L14</t>
        </is>
      </c>
      <c r="AB167" s="45" t="inlineStr">
        <is>
          <t>Trivalent Cr3 Zinc</t>
        </is>
      </c>
      <c r="AC167" s="45" t="inlineStr">
        <is>
          <t>ASTM B633 Type V/VI</t>
        </is>
      </c>
      <c r="AD167" s="46" t="n">
        <v>5000</v>
      </c>
      <c r="AE167" s="46" t="inlineStr">
        <is>
          <t>generic SAE table @ dash -5 (governing end)</t>
        </is>
      </c>
      <c r="AF167" s="46" t="n">
        <v>-65</v>
      </c>
      <c r="AG167" s="46" t="n">
        <v>400</v>
      </c>
      <c r="AH167" s="37" t="inlineStr">
        <is>
          <t>Ham-Let + hoseandfittings (pressure); Parker Cat.4300 (material); ASTM B633 (finish); see StandardsData</t>
        </is>
      </c>
    </row>
    <row r="168" ht="15" customHeight="1" s="35">
      <c r="A168" s="37" t="inlineStr">
        <is>
          <t>6802-05-05-NWO</t>
        </is>
      </c>
      <c r="B168" s="37" t="inlineStr">
        <is>
          <t>6802-5-5 NWO</t>
        </is>
      </c>
      <c r="C168" s="37" t="inlineStr">
        <is>
          <t>6802</t>
        </is>
      </c>
      <c r="D168" s="37" t="n">
        <v>158</v>
      </c>
      <c r="E168" s="37" t="inlineStr">
        <is>
          <t>45 deg</t>
        </is>
      </c>
      <c r="F168" s="37" t="inlineStr">
        <is>
          <t>45 deg Straight Thread Elbow, 1/2-20 x 1/2-20</t>
        </is>
      </c>
      <c r="G168" s="37" t="inlineStr">
        <is>
          <t>1/2-20</t>
        </is>
      </c>
      <c r="H168" s="37" t="inlineStr">
        <is>
          <t>1/2-20</t>
        </is>
      </c>
      <c r="I168" s="37" t="n"/>
      <c r="J168" s="37" t="inlineStr">
        <is>
          <t>SAE J1926-1</t>
        </is>
      </c>
      <c r="K168" s="37" t="inlineStr">
        <is>
          <t>SAE J514-1</t>
        </is>
      </c>
      <c r="L168" s="37" t="n">
        <v>0.77</v>
      </c>
      <c r="M168" s="37" t="n">
        <v>1.05</v>
      </c>
      <c r="N168" s="37" t="n">
        <v>0.63</v>
      </c>
      <c r="O168" s="37" t="n">
        <v>0.5600000000000001</v>
      </c>
      <c r="P168" s="37" t="n">
        <v>0.23</v>
      </c>
      <c r="Q168" s="37" t="n">
        <v>0.23</v>
      </c>
      <c r="R168" s="45" t="n">
        <v>0.5600000000000001</v>
      </c>
      <c r="S168" s="45" t="n">
        <v>0.63</v>
      </c>
      <c r="T168" s="37" t="n">
        <v>45</v>
      </c>
      <c r="U168" s="37" t="inlineStr">
        <is>
          <t>VERIFIED</t>
        </is>
      </c>
      <c r="V168" s="37" t="inlineStr">
        <is>
          <t>MS51528 cross-check 2026-09-04: threads, both legs, both bores AGREE.</t>
        </is>
      </c>
      <c r="W168" s="37" t="inlineStr">
        <is>
          <t>BUILD</t>
        </is>
      </c>
      <c r="X168" s="37" t="inlineStr">
        <is>
          <t>Hex = Air-Way C4 column, CONFIRMED vs PressureConnections/Purvis.</t>
        </is>
      </c>
      <c r="Z168" s="45" t="inlineStr">
        <is>
          <t>Carbon Steel</t>
        </is>
      </c>
      <c r="AA168" s="45" t="inlineStr">
        <is>
          <t>ASTM A108 12L14</t>
        </is>
      </c>
      <c r="AB168" s="45" t="inlineStr">
        <is>
          <t>Trivalent Cr3 Zinc</t>
        </is>
      </c>
      <c r="AC168" s="45" t="inlineStr">
        <is>
          <t>ASTM B633 Type V/VI</t>
        </is>
      </c>
      <c r="AD168" s="46" t="n">
        <v>5000</v>
      </c>
      <c r="AE168" s="46" t="inlineStr">
        <is>
          <t>generic SAE table @ dash -5 (governing end)</t>
        </is>
      </c>
      <c r="AF168" s="46" t="n">
        <v>-65</v>
      </c>
      <c r="AG168" s="46" t="n">
        <v>400</v>
      </c>
      <c r="AH168" s="37" t="inlineStr">
        <is>
          <t>Ham-Let + hoseandfittings (pressure); Parker Cat.4300 (material); ASTM B633 (finish); see StandardsData</t>
        </is>
      </c>
    </row>
    <row r="169" ht="15" customHeight="1" s="35">
      <c r="A169" s="37" t="inlineStr">
        <is>
          <t>6802-05-06-NWO</t>
        </is>
      </c>
      <c r="B169" s="37" t="inlineStr">
        <is>
          <t>6802-5-6 NWO</t>
        </is>
      </c>
      <c r="C169" s="37" t="inlineStr">
        <is>
          <t>6802</t>
        </is>
      </c>
      <c r="D169" s="37" t="n">
        <v>158</v>
      </c>
      <c r="E169" s="37" t="inlineStr">
        <is>
          <t>45 deg</t>
        </is>
      </c>
      <c r="F169" s="37" t="inlineStr">
        <is>
          <t>45 deg Straight Thread Elbow, 1/2-20 x 9/16-18</t>
        </is>
      </c>
      <c r="G169" s="37" t="inlineStr">
        <is>
          <t>9/16-18</t>
        </is>
      </c>
      <c r="H169" s="37" t="inlineStr">
        <is>
          <t>1/2-20</t>
        </is>
      </c>
      <c r="I169" s="37" t="n"/>
      <c r="J169" s="37" t="inlineStr">
        <is>
          <t>SAE J1926-1</t>
        </is>
      </c>
      <c r="K169" s="37" t="inlineStr">
        <is>
          <t>SAE J514-1</t>
        </is>
      </c>
      <c r="L169" s="37" t="n">
        <v>0.85</v>
      </c>
      <c r="M169" s="37" t="n">
        <v>1.14</v>
      </c>
      <c r="N169" s="37" t="n">
        <v>0.6899999999999999</v>
      </c>
      <c r="O169" s="37" t="n">
        <v>0.63</v>
      </c>
      <c r="P169" s="37" t="n">
        <v>0.23</v>
      </c>
      <c r="Q169" s="37" t="n">
        <v>0.3</v>
      </c>
      <c r="R169" s="44" t="n">
        <v>0.63</v>
      </c>
      <c r="S169" s="44" t="n">
        <v>0.6899999999999999</v>
      </c>
      <c r="T169" s="37" t="n">
        <v>45</v>
      </c>
      <c r="U169" s="37" t="inlineStr">
        <is>
          <t>ASSUMED</t>
        </is>
      </c>
      <c r="V169" s="37" t="inlineStr">
        <is>
          <t>MS51528 covers matched-dash sizes only; Air-Way remains single source.</t>
        </is>
      </c>
      <c r="W169" s="37" t="inlineStr">
        <is>
          <t>BUILD</t>
        </is>
      </c>
      <c r="X169" s="37" t="inlineStr">
        <is>
          <t>Hex = Air-Way C4 column (per-part). Matched sizes in this topology corroborate the column.</t>
        </is>
      </c>
      <c r="Z169" s="45" t="inlineStr">
        <is>
          <t>Carbon Steel</t>
        </is>
      </c>
      <c r="AA169" s="45" t="inlineStr">
        <is>
          <t>ASTM A108 12L14</t>
        </is>
      </c>
      <c r="AB169" s="45" t="inlineStr">
        <is>
          <t>Trivalent Cr3 Zinc</t>
        </is>
      </c>
      <c r="AC169" s="45" t="inlineStr">
        <is>
          <t>ASTM B633 Type V/VI</t>
        </is>
      </c>
      <c r="AD169" s="46" t="n">
        <v>5000</v>
      </c>
      <c r="AE169" s="46" t="inlineStr">
        <is>
          <t>generic SAE table @ dash -6 (governing end)</t>
        </is>
      </c>
      <c r="AF169" s="46" t="n">
        <v>-65</v>
      </c>
      <c r="AG169" s="46" t="n">
        <v>400</v>
      </c>
      <c r="AH169" s="37" t="inlineStr">
        <is>
          <t>Ham-Let + hoseandfittings (pressure); Parker Cat.4300 (material); ASTM B633 (finish); see StandardsData</t>
        </is>
      </c>
    </row>
    <row r="170" ht="15" customHeight="1" s="35">
      <c r="A170" s="37" t="inlineStr">
        <is>
          <t>6802-06-04-NWO</t>
        </is>
      </c>
      <c r="B170" s="37" t="inlineStr">
        <is>
          <t>6802-6-4 NWO</t>
        </is>
      </c>
      <c r="C170" s="37" t="inlineStr">
        <is>
          <t>6802</t>
        </is>
      </c>
      <c r="D170" s="37" t="n">
        <v>158</v>
      </c>
      <c r="E170" s="37" t="inlineStr">
        <is>
          <t>45 deg</t>
        </is>
      </c>
      <c r="F170" s="37" t="inlineStr">
        <is>
          <t>45 deg Straight Thread Elbow, 9/16-18 x 7/16-20</t>
        </is>
      </c>
      <c r="G170" s="37" t="inlineStr">
        <is>
          <t>7/16-20</t>
        </is>
      </c>
      <c r="H170" s="37" t="inlineStr">
        <is>
          <t>9/16-18</t>
        </is>
      </c>
      <c r="I170" s="37" t="n"/>
      <c r="J170" s="37" t="inlineStr">
        <is>
          <t>SAE J1926-1</t>
        </is>
      </c>
      <c r="K170" s="37" t="inlineStr">
        <is>
          <t>SAE J514-1</t>
        </is>
      </c>
      <c r="L170" s="37" t="n">
        <v>0.83</v>
      </c>
      <c r="M170" s="37" t="n">
        <v>1.01</v>
      </c>
      <c r="N170" s="37" t="n">
        <v>0.5600000000000001</v>
      </c>
      <c r="O170" s="37" t="n">
        <v>0.63</v>
      </c>
      <c r="P170" s="37" t="n">
        <v>0.3</v>
      </c>
      <c r="Q170" s="37" t="n">
        <v>0.17</v>
      </c>
      <c r="R170" s="44" t="n">
        <v>0.63</v>
      </c>
      <c r="S170" s="44" t="n">
        <v>0.5600000000000001</v>
      </c>
      <c r="T170" s="37" t="n">
        <v>45</v>
      </c>
      <c r="U170" s="37" t="inlineStr">
        <is>
          <t>ASSUMED</t>
        </is>
      </c>
      <c r="V170" s="37" t="inlineStr">
        <is>
          <t>MS51528 covers matched-dash sizes only; Air-Way remains single source.</t>
        </is>
      </c>
      <c r="W170" s="37" t="inlineStr">
        <is>
          <t>BUILD</t>
        </is>
      </c>
      <c r="X170" s="37" t="inlineStr">
        <is>
          <t>Hex = Air-Way C4 column (per-part). Matched sizes in this topology corroborate the column.</t>
        </is>
      </c>
      <c r="Z170" s="45" t="inlineStr">
        <is>
          <t>Carbon Steel</t>
        </is>
      </c>
      <c r="AA170" s="45" t="inlineStr">
        <is>
          <t>ASTM A108 12L14</t>
        </is>
      </c>
      <c r="AB170" s="45" t="inlineStr">
        <is>
          <t>Trivalent Cr3 Zinc</t>
        </is>
      </c>
      <c r="AC170" s="45" t="inlineStr">
        <is>
          <t>ASTM B633 Type V/VI</t>
        </is>
      </c>
      <c r="AD170" s="46" t="n">
        <v>5000</v>
      </c>
      <c r="AE170" s="46" t="inlineStr">
        <is>
          <t>generic SAE table @ dash -6 (governing end)</t>
        </is>
      </c>
      <c r="AF170" s="46" t="n">
        <v>-65</v>
      </c>
      <c r="AG170" s="46" t="n">
        <v>400</v>
      </c>
      <c r="AH170" s="37" t="inlineStr">
        <is>
          <t>Ham-Let + hoseandfittings (pressure); Parker Cat.4300 (material); ASTM B633 (finish); see StandardsData</t>
        </is>
      </c>
    </row>
    <row r="171" ht="15" customHeight="1" s="35">
      <c r="A171" s="37" t="inlineStr">
        <is>
          <t>6802-06-04-NWO-FG</t>
        </is>
      </c>
      <c r="B171" s="37" t="inlineStr">
        <is>
          <t>6802-6-4 NWO-FG</t>
        </is>
      </c>
      <c r="C171" s="37" t="inlineStr">
        <is>
          <t>6802</t>
        </is>
      </c>
      <c r="D171" s="37" t="n">
        <v>158</v>
      </c>
      <c r="E171" s="37" t="inlineStr">
        <is>
          <t>45 deg</t>
        </is>
      </c>
      <c r="F171" s="37" t="inlineStr">
        <is>
          <t>45 deg Straight Thread Elbow, 9/16-18 x 7/16-20</t>
        </is>
      </c>
      <c r="G171" s="37" t="inlineStr">
        <is>
          <t>7/16-20</t>
        </is>
      </c>
      <c r="H171" s="37" t="inlineStr">
        <is>
          <t>9/16-18</t>
        </is>
      </c>
      <c r="I171" s="37" t="n"/>
      <c r="J171" s="37" t="inlineStr">
        <is>
          <t>SAE J1926-1</t>
        </is>
      </c>
      <c r="K171" s="37" t="inlineStr">
        <is>
          <t>SAE J514-1</t>
        </is>
      </c>
      <c r="L171" s="37" t="n">
        <v>0.83</v>
      </c>
      <c r="M171" s="37" t="n">
        <v>1.08</v>
      </c>
      <c r="N171" s="37" t="n">
        <v>0.5600000000000001</v>
      </c>
      <c r="O171" s="37" t="n">
        <v>0.5600000000000001</v>
      </c>
      <c r="P171" s="37" t="n">
        <v>0.3</v>
      </c>
      <c r="Q171" s="37" t="n">
        <v>0.17</v>
      </c>
      <c r="R171" s="44" t="n">
        <v>0.5600000000000001</v>
      </c>
      <c r="S171" s="44" t="n">
        <v>0.5600000000000001</v>
      </c>
      <c r="T171" s="37" t="n">
        <v>45</v>
      </c>
      <c r="U171" s="37" t="inlineStr">
        <is>
          <t>ASSUMED</t>
        </is>
      </c>
      <c r="V171" s="37" t="inlineStr">
        <is>
          <t>MS51528 covers matched-dash sizes only; Air-Way remains single source.</t>
        </is>
      </c>
      <c r="W171" s="37" t="inlineStr">
        <is>
          <t>BUILD</t>
        </is>
      </c>
      <c r="X171" s="37" t="inlineStr">
        <is>
          <t>Hex = Air-Way C4 column (per-part). Matched sizes in this topology corroborate the column.</t>
        </is>
      </c>
      <c r="Z171" s="45" t="inlineStr">
        <is>
          <t>Carbon Steel</t>
        </is>
      </c>
      <c r="AA171" s="45" t="inlineStr">
        <is>
          <t>ASTM A108 12L14</t>
        </is>
      </c>
      <c r="AB171" s="45" t="inlineStr">
        <is>
          <t>Trivalent Cr3 Zinc</t>
        </is>
      </c>
      <c r="AC171" s="45" t="inlineStr">
        <is>
          <t>ASTM B633 Type V/VI</t>
        </is>
      </c>
      <c r="AD171" s="46" t="n">
        <v>5000</v>
      </c>
      <c r="AE171" s="46" t="inlineStr">
        <is>
          <t>generic SAE table @ dash -6 (governing end)</t>
        </is>
      </c>
      <c r="AF171" s="46" t="n">
        <v>-65</v>
      </c>
      <c r="AG171" s="46" t="n">
        <v>400</v>
      </c>
      <c r="AH171" s="37" t="inlineStr">
        <is>
          <t>Ham-Let + hoseandfittings (pressure); Parker Cat.4300 (material); ASTM B633 (finish); see StandardsData</t>
        </is>
      </c>
    </row>
    <row r="172" ht="15" customHeight="1" s="35">
      <c r="A172" s="37" t="inlineStr">
        <is>
          <t>6802-06-06-NWO-FG</t>
        </is>
      </c>
      <c r="B172" s="37" t="inlineStr">
        <is>
          <t>6802-6-6 NWO-FG</t>
        </is>
      </c>
      <c r="C172" s="37" t="inlineStr">
        <is>
          <t>6802</t>
        </is>
      </c>
      <c r="D172" s="37" t="n">
        <v>158</v>
      </c>
      <c r="E172" s="37" t="inlineStr">
        <is>
          <t>45 deg</t>
        </is>
      </c>
      <c r="F172" s="37" t="inlineStr">
        <is>
          <t>45 deg Straight Thread Elbow, 9/16-18 x 9/16-18</t>
        </is>
      </c>
      <c r="G172" s="37" t="inlineStr">
        <is>
          <t>9/16-18</t>
        </is>
      </c>
      <c r="H172" s="37" t="inlineStr">
        <is>
          <t>9/16-18</t>
        </is>
      </c>
      <c r="I172" s="37" t="n"/>
      <c r="J172" s="37" t="inlineStr">
        <is>
          <t>SAE J1926-1</t>
        </is>
      </c>
      <c r="K172" s="37" t="inlineStr">
        <is>
          <t>SAE J514-1</t>
        </is>
      </c>
      <c r="L172" s="37" t="n">
        <v>0.83</v>
      </c>
      <c r="M172" s="37" t="n">
        <v>1.14</v>
      </c>
      <c r="N172" s="37" t="n">
        <v>0.6899999999999999</v>
      </c>
      <c r="O172" s="37" t="n">
        <v>0.5600000000000001</v>
      </c>
      <c r="P172" s="37" t="n">
        <v>0.3</v>
      </c>
      <c r="Q172" s="37" t="n">
        <v>0.3</v>
      </c>
      <c r="R172" s="45" t="n">
        <v>0.5600000000000001</v>
      </c>
      <c r="S172" s="45" t="n">
        <v>0.6899999999999999</v>
      </c>
      <c r="T172" s="37" t="n">
        <v>45</v>
      </c>
      <c r="U172" s="37" t="inlineStr">
        <is>
          <t>VERIFIED</t>
        </is>
      </c>
      <c r="V172" s="37" t="inlineStr">
        <is>
          <t>MS51528 cross-check 2026-09-04: threads, both legs, both bores AGREE.</t>
        </is>
      </c>
      <c r="W172" s="37" t="inlineStr">
        <is>
          <t>BUILD</t>
        </is>
      </c>
      <c r="X172" s="37" t="inlineStr">
        <is>
          <t>Hex = Air-Way C4 column, CONFIRMED vs PressureConnections/Purvis.</t>
        </is>
      </c>
      <c r="Z172" s="45" t="inlineStr">
        <is>
          <t>Carbon Steel</t>
        </is>
      </c>
      <c r="AA172" s="45" t="inlineStr">
        <is>
          <t>ASTM A108 12L14</t>
        </is>
      </c>
      <c r="AB172" s="45" t="inlineStr">
        <is>
          <t>Trivalent Cr3 Zinc</t>
        </is>
      </c>
      <c r="AC172" s="45" t="inlineStr">
        <is>
          <t>ASTM B633 Type V/VI</t>
        </is>
      </c>
      <c r="AD172" s="46" t="n">
        <v>5000</v>
      </c>
      <c r="AE172" s="46" t="inlineStr">
        <is>
          <t>generic SAE table @ dash -6 (governing end)</t>
        </is>
      </c>
      <c r="AF172" s="46" t="n">
        <v>-65</v>
      </c>
      <c r="AG172" s="46" t="n">
        <v>400</v>
      </c>
      <c r="AH172" s="37" t="inlineStr">
        <is>
          <t>Ham-Let + hoseandfittings (pressure); Parker Cat.4300 (material); ASTM B633 (finish); see StandardsData</t>
        </is>
      </c>
    </row>
    <row r="173" ht="15" customHeight="1" s="35">
      <c r="A173" s="37" t="inlineStr">
        <is>
          <t>6802-06-06-NWO</t>
        </is>
      </c>
      <c r="B173" s="37" t="inlineStr">
        <is>
          <t>6802-6-6 NWO</t>
        </is>
      </c>
      <c r="C173" s="37" t="inlineStr">
        <is>
          <t>6802</t>
        </is>
      </c>
      <c r="D173" s="37" t="n">
        <v>158</v>
      </c>
      <c r="E173" s="37" t="inlineStr">
        <is>
          <t>45 deg</t>
        </is>
      </c>
      <c r="F173" s="37" t="inlineStr">
        <is>
          <t>45 deg Straight Thread Elbow, 9/16-18 x 9/16-18</t>
        </is>
      </c>
      <c r="G173" s="37" t="inlineStr">
        <is>
          <t>9/16-18</t>
        </is>
      </c>
      <c r="H173" s="37" t="inlineStr">
        <is>
          <t>9/16-18</t>
        </is>
      </c>
      <c r="I173" s="37" t="n"/>
      <c r="J173" s="37" t="inlineStr">
        <is>
          <t>SAE J1926-1</t>
        </is>
      </c>
      <c r="K173" s="37" t="inlineStr">
        <is>
          <t>SAE J514-1</t>
        </is>
      </c>
      <c r="L173" s="37" t="n">
        <v>0.83</v>
      </c>
      <c r="M173" s="37" t="n">
        <v>1.14</v>
      </c>
      <c r="N173" s="37" t="n">
        <v>0.6899999999999999</v>
      </c>
      <c r="O173" s="37" t="n">
        <v>0.63</v>
      </c>
      <c r="P173" s="37" t="n">
        <v>0.3</v>
      </c>
      <c r="Q173" s="37" t="n">
        <v>0.3</v>
      </c>
      <c r="R173" s="45" t="n">
        <v>0.63</v>
      </c>
      <c r="S173" s="45" t="n">
        <v>0.6899999999999999</v>
      </c>
      <c r="T173" s="37" t="n">
        <v>45</v>
      </c>
      <c r="U173" s="37" t="inlineStr">
        <is>
          <t>VERIFIED</t>
        </is>
      </c>
      <c r="V173" s="37" t="inlineStr">
        <is>
          <t>MS51528 cross-check 2026-09-04: threads, both legs, both bores AGREE.</t>
        </is>
      </c>
      <c r="W173" s="37" t="inlineStr">
        <is>
          <t>BUILD</t>
        </is>
      </c>
      <c r="X173" s="37" t="inlineStr">
        <is>
          <t>Hex = Air-Way C4 column, CONFIRMED vs PressureConnections/Purvis.</t>
        </is>
      </c>
      <c r="Z173" s="45" t="inlineStr">
        <is>
          <t>Carbon Steel</t>
        </is>
      </c>
      <c r="AA173" s="45" t="inlineStr">
        <is>
          <t>ASTM A108 12L14</t>
        </is>
      </c>
      <c r="AB173" s="45" t="inlineStr">
        <is>
          <t>Trivalent Cr3 Zinc</t>
        </is>
      </c>
      <c r="AC173" s="45" t="inlineStr">
        <is>
          <t>ASTM B633 Type V/VI</t>
        </is>
      </c>
      <c r="AD173" s="46" t="n">
        <v>5000</v>
      </c>
      <c r="AE173" s="46" t="inlineStr">
        <is>
          <t>generic SAE table @ dash -6 (governing end)</t>
        </is>
      </c>
      <c r="AF173" s="46" t="n">
        <v>-65</v>
      </c>
      <c r="AG173" s="46" t="n">
        <v>400</v>
      </c>
      <c r="AH173" s="37" t="inlineStr">
        <is>
          <t>Ham-Let + hoseandfittings (pressure); Parker Cat.4300 (material); ASTM B633 (finish); see StandardsData</t>
        </is>
      </c>
    </row>
    <row r="174" ht="15" customHeight="1" s="35">
      <c r="A174" s="37" t="inlineStr">
        <is>
          <t>6802-06-08-NWO-FG</t>
        </is>
      </c>
      <c r="B174" s="37" t="inlineStr">
        <is>
          <t>6802-6-8 NWO-FG</t>
        </is>
      </c>
      <c r="C174" s="37" t="inlineStr">
        <is>
          <t>6802</t>
        </is>
      </c>
      <c r="D174" s="37" t="n">
        <v>158</v>
      </c>
      <c r="E174" s="37" t="inlineStr">
        <is>
          <t>45 deg</t>
        </is>
      </c>
      <c r="F174" s="37" t="inlineStr">
        <is>
          <t>45 deg Straight Thread Elbow, 9/16-18 x 3/4-16</t>
        </is>
      </c>
      <c r="G174" s="37" t="inlineStr">
        <is>
          <t>3/4-16</t>
        </is>
      </c>
      <c r="H174" s="37" t="inlineStr">
        <is>
          <t>9/16-18</t>
        </is>
      </c>
      <c r="I174" s="37" t="n"/>
      <c r="J174" s="37" t="inlineStr">
        <is>
          <t>SAE J1926-1</t>
        </is>
      </c>
      <c r="K174" s="37" t="inlineStr">
        <is>
          <t>SAE J514-1</t>
        </is>
      </c>
      <c r="L174" s="37" t="n">
        <v>0.87</v>
      </c>
      <c r="M174" s="37" t="n">
        <v>1.3</v>
      </c>
      <c r="N174" s="37" t="n">
        <v>0.88</v>
      </c>
      <c r="O174" s="37" t="n">
        <v>0.75</v>
      </c>
      <c r="P174" s="37" t="n">
        <v>0.3</v>
      </c>
      <c r="Q174" s="37" t="n">
        <v>0.39</v>
      </c>
      <c r="R174" s="44" t="n">
        <v>0.75</v>
      </c>
      <c r="S174" s="44" t="n">
        <v>0.88</v>
      </c>
      <c r="T174" s="37" t="n">
        <v>45</v>
      </c>
      <c r="U174" s="37" t="inlineStr">
        <is>
          <t>ASSUMED</t>
        </is>
      </c>
      <c r="V174" s="37" t="inlineStr">
        <is>
          <t>MS51528 covers matched-dash sizes only; Air-Way remains single source.</t>
        </is>
      </c>
      <c r="W174" s="37" t="inlineStr">
        <is>
          <t>BUILD</t>
        </is>
      </c>
      <c r="X174" s="37" t="inlineStr">
        <is>
          <t>Hex = Air-Way C4 column (per-part). Matched sizes in this topology corroborate the column.</t>
        </is>
      </c>
      <c r="Z174" s="45" t="inlineStr">
        <is>
          <t>Carbon Steel</t>
        </is>
      </c>
      <c r="AA174" s="45" t="inlineStr">
        <is>
          <t>ASTM A108 12L14</t>
        </is>
      </c>
      <c r="AB174" s="45" t="inlineStr">
        <is>
          <t>Trivalent Cr3 Zinc</t>
        </is>
      </c>
      <c r="AC174" s="45" t="inlineStr">
        <is>
          <t>ASTM B633 Type V/VI</t>
        </is>
      </c>
      <c r="AD174" s="46" t="n">
        <v>4500</v>
      </c>
      <c r="AE174" s="46" t="inlineStr">
        <is>
          <t>generic SAE table @ dash -8 (governing end)</t>
        </is>
      </c>
      <c r="AF174" s="46" t="n">
        <v>-65</v>
      </c>
      <c r="AG174" s="46" t="n">
        <v>400</v>
      </c>
      <c r="AH174" s="37" t="inlineStr">
        <is>
          <t>Ham-Let + hoseandfittings (pressure); Parker Cat.4300 (material); ASTM B633 (finish); see StandardsData</t>
        </is>
      </c>
    </row>
    <row r="175" ht="15" customHeight="1" s="35">
      <c r="A175" s="37" t="inlineStr">
        <is>
          <t>6802-06-08-NWO</t>
        </is>
      </c>
      <c r="B175" s="37" t="inlineStr">
        <is>
          <t>6802-6-8 NWO</t>
        </is>
      </c>
      <c r="C175" s="37" t="inlineStr">
        <is>
          <t>6802</t>
        </is>
      </c>
      <c r="D175" s="37" t="n">
        <v>158</v>
      </c>
      <c r="E175" s="37" t="inlineStr">
        <is>
          <t>45 deg</t>
        </is>
      </c>
      <c r="F175" s="37" t="inlineStr">
        <is>
          <t>45 deg Straight Thread Elbow, 9/16-18 x 3/4-16</t>
        </is>
      </c>
      <c r="G175" s="37" t="inlineStr">
        <is>
          <t>3/4-16</t>
        </is>
      </c>
      <c r="H175" s="37" t="inlineStr">
        <is>
          <t>9/16-18</t>
        </is>
      </c>
      <c r="I175" s="37" t="n"/>
      <c r="J175" s="37" t="inlineStr">
        <is>
          <t>SAE J1926-1</t>
        </is>
      </c>
      <c r="K175" s="37" t="inlineStr">
        <is>
          <t>SAE J514-1</t>
        </is>
      </c>
      <c r="L175" s="37" t="n">
        <v>0.88</v>
      </c>
      <c r="M175" s="37" t="n">
        <v>1.3</v>
      </c>
      <c r="N175" s="37" t="n">
        <v>0.88</v>
      </c>
      <c r="O175" s="37" t="n">
        <v>0.8100000000000001</v>
      </c>
      <c r="P175" s="37" t="n">
        <v>0.3</v>
      </c>
      <c r="Q175" s="37" t="n">
        <v>0.39</v>
      </c>
      <c r="R175" s="44" t="n">
        <v>0.8100000000000001</v>
      </c>
      <c r="S175" s="44" t="n">
        <v>0.88</v>
      </c>
      <c r="T175" s="37" t="n">
        <v>45</v>
      </c>
      <c r="U175" s="37" t="inlineStr">
        <is>
          <t>ASSUMED</t>
        </is>
      </c>
      <c r="V175" s="37" t="inlineStr">
        <is>
          <t>MS51528 covers matched-dash sizes only; Air-Way remains single source.</t>
        </is>
      </c>
      <c r="W175" s="37" t="inlineStr">
        <is>
          <t>BUILD</t>
        </is>
      </c>
      <c r="X175" s="37" t="inlineStr">
        <is>
          <t>Hex = Air-Way C4 column (per-part). Matched sizes in this topology corroborate the column.</t>
        </is>
      </c>
      <c r="Z175" s="45" t="inlineStr">
        <is>
          <t>Carbon Steel</t>
        </is>
      </c>
      <c r="AA175" s="45" t="inlineStr">
        <is>
          <t>ASTM A108 12L14</t>
        </is>
      </c>
      <c r="AB175" s="45" t="inlineStr">
        <is>
          <t>Trivalent Cr3 Zinc</t>
        </is>
      </c>
      <c r="AC175" s="45" t="inlineStr">
        <is>
          <t>ASTM B633 Type V/VI</t>
        </is>
      </c>
      <c r="AD175" s="46" t="n">
        <v>4500</v>
      </c>
      <c r="AE175" s="46" t="inlineStr">
        <is>
          <t>generic SAE table @ dash -8 (governing end)</t>
        </is>
      </c>
      <c r="AF175" s="46" t="n">
        <v>-65</v>
      </c>
      <c r="AG175" s="46" t="n">
        <v>400</v>
      </c>
      <c r="AH175" s="37" t="inlineStr">
        <is>
          <t>Ham-Let + hoseandfittings (pressure); Parker Cat.4300 (material); ASTM B633 (finish); see StandardsData</t>
        </is>
      </c>
    </row>
    <row r="176" ht="15" customHeight="1" s="35">
      <c r="A176" s="37" t="inlineStr">
        <is>
          <t>6802-06-10-NWO</t>
        </is>
      </c>
      <c r="B176" s="37" t="inlineStr">
        <is>
          <t>6802-6-10 NWO</t>
        </is>
      </c>
      <c r="C176" s="37" t="inlineStr">
        <is>
          <t>6802</t>
        </is>
      </c>
      <c r="D176" s="37" t="n">
        <v>158</v>
      </c>
      <c r="E176" s="37" t="inlineStr">
        <is>
          <t>45 deg</t>
        </is>
      </c>
      <c r="F176" s="37" t="inlineStr">
        <is>
          <t>45 deg Straight Thread Elbow, 9/16-18 x 7/8-14</t>
        </is>
      </c>
      <c r="G176" s="37" t="inlineStr">
        <is>
          <t>7/8-14</t>
        </is>
      </c>
      <c r="H176" s="37" t="inlineStr">
        <is>
          <t>9/16-18</t>
        </is>
      </c>
      <c r="I176" s="37" t="n"/>
      <c r="J176" s="37" t="inlineStr">
        <is>
          <t>SAE J1926-1</t>
        </is>
      </c>
      <c r="K176" s="37" t="inlineStr">
        <is>
          <t>SAE J514-1</t>
        </is>
      </c>
      <c r="L176" s="37" t="n">
        <v>0.91</v>
      </c>
      <c r="M176" s="37" t="n">
        <v>1.52</v>
      </c>
      <c r="N176" s="37" t="n">
        <v>1</v>
      </c>
      <c r="O176" s="37" t="n">
        <v>0.9399999999999999</v>
      </c>
      <c r="P176" s="37" t="n">
        <v>0.3</v>
      </c>
      <c r="Q176" s="37" t="n">
        <v>0.48</v>
      </c>
      <c r="R176" s="44" t="n">
        <v>0.9399999999999999</v>
      </c>
      <c r="S176" s="44" t="n">
        <v>1</v>
      </c>
      <c r="T176" s="37" t="n">
        <v>45</v>
      </c>
      <c r="U176" s="37" t="inlineStr">
        <is>
          <t>ASSUMED</t>
        </is>
      </c>
      <c r="V176" s="37" t="inlineStr">
        <is>
          <t>MS51528 covers matched-dash sizes only; Air-Way remains single source.</t>
        </is>
      </c>
      <c r="W176" s="37" t="inlineStr">
        <is>
          <t>BUILD</t>
        </is>
      </c>
      <c r="X176" s="37" t="inlineStr">
        <is>
          <t>Hex = Air-Way C4 column (per-part). Matched sizes in this topology corroborate the column.</t>
        </is>
      </c>
      <c r="Z176" s="45" t="inlineStr">
        <is>
          <t>Carbon Steel</t>
        </is>
      </c>
      <c r="AA176" s="45" t="inlineStr">
        <is>
          <t>ASTM A108 12L14</t>
        </is>
      </c>
      <c r="AB176" s="45" t="inlineStr">
        <is>
          <t>Trivalent Cr3 Zinc</t>
        </is>
      </c>
      <c r="AC176" s="45" t="inlineStr">
        <is>
          <t>ASTM B633 Type V/VI</t>
        </is>
      </c>
      <c r="AD176" s="46" t="n">
        <v>3500</v>
      </c>
      <c r="AE176" s="46" t="inlineStr">
        <is>
          <t>generic SAE table @ dash -10 (governing end)</t>
        </is>
      </c>
      <c r="AF176" s="46" t="n">
        <v>-65</v>
      </c>
      <c r="AG176" s="46" t="n">
        <v>400</v>
      </c>
      <c r="AH176" s="37" t="inlineStr">
        <is>
          <t>Ham-Let + hoseandfittings (pressure); Parker Cat.4300 (material); ASTM B633 (finish); see StandardsData</t>
        </is>
      </c>
    </row>
    <row r="177" ht="15" customHeight="1" s="35">
      <c r="A177" s="37" t="inlineStr">
        <is>
          <t>6802-06-12-NWO</t>
        </is>
      </c>
      <c r="B177" s="37" t="inlineStr">
        <is>
          <t>6802-6-12 NWO</t>
        </is>
      </c>
      <c r="C177" s="37" t="inlineStr">
        <is>
          <t>6802</t>
        </is>
      </c>
      <c r="D177" s="37" t="n">
        <v>158</v>
      </c>
      <c r="E177" s="37" t="inlineStr">
        <is>
          <t>45 deg</t>
        </is>
      </c>
      <c r="F177" s="37" t="inlineStr">
        <is>
          <t>45 deg Straight Thread Elbow, 9/16-18 x 1 1/16-12</t>
        </is>
      </c>
      <c r="G177" s="37" t="inlineStr">
        <is>
          <t>1 1/16-12</t>
        </is>
      </c>
      <c r="H177" s="37" t="inlineStr">
        <is>
          <t>9/16-18</t>
        </is>
      </c>
      <c r="I177" s="37" t="n"/>
      <c r="J177" s="37" t="inlineStr">
        <is>
          <t>SAE J1926-1</t>
        </is>
      </c>
      <c r="K177" s="37" t="inlineStr">
        <is>
          <t>SAE J514-1</t>
        </is>
      </c>
      <c r="L177" s="37" t="n">
        <v>0.93</v>
      </c>
      <c r="M177" s="37" t="n">
        <v>1.73</v>
      </c>
      <c r="N177" s="37" t="n">
        <v>1.25</v>
      </c>
      <c r="O177" s="37" t="n">
        <v>1.13</v>
      </c>
      <c r="P177" s="37" t="n">
        <v>0.3</v>
      </c>
      <c r="Q177" s="37" t="n">
        <v>0.61</v>
      </c>
      <c r="R177" s="44" t="n">
        <v>1.13</v>
      </c>
      <c r="S177" s="44" t="n">
        <v>1.25</v>
      </c>
      <c r="T177" s="37" t="n">
        <v>45</v>
      </c>
      <c r="U177" s="37" t="inlineStr">
        <is>
          <t>ASSUMED</t>
        </is>
      </c>
      <c r="V177" s="37" t="inlineStr">
        <is>
          <t>MS51528 covers matched-dash sizes only; Air-Way remains single source.</t>
        </is>
      </c>
      <c r="W177" s="37" t="inlineStr">
        <is>
          <t>BUILD</t>
        </is>
      </c>
      <c r="X177" s="37" t="inlineStr">
        <is>
          <t>Hex = Air-Way C4 column (per-part). Matched sizes in this topology corroborate the column.</t>
        </is>
      </c>
      <c r="Z177" s="45" t="inlineStr">
        <is>
          <t>Carbon Steel</t>
        </is>
      </c>
      <c r="AA177" s="45" t="inlineStr">
        <is>
          <t>ASTM A108 12L14</t>
        </is>
      </c>
      <c r="AB177" s="45" t="inlineStr">
        <is>
          <t>Trivalent Cr3 Zinc</t>
        </is>
      </c>
      <c r="AC177" s="45" t="inlineStr">
        <is>
          <t>ASTM B633 Type V/VI</t>
        </is>
      </c>
      <c r="AD177" s="46" t="n">
        <v>3500</v>
      </c>
      <c r="AE177" s="46" t="inlineStr">
        <is>
          <t>generic SAE table @ dash -12 (governing end)</t>
        </is>
      </c>
      <c r="AF177" s="46" t="n">
        <v>-65</v>
      </c>
      <c r="AG177" s="46" t="n">
        <v>400</v>
      </c>
      <c r="AH177" s="37" t="inlineStr">
        <is>
          <t>Ham-Let + hoseandfittings (pressure); Parker Cat.4300 (material); ASTM B633 (finish); see StandardsData</t>
        </is>
      </c>
    </row>
    <row r="178" ht="15" customHeight="1" s="35">
      <c r="A178" s="37" t="inlineStr">
        <is>
          <t>6802-08-04-NWO</t>
        </is>
      </c>
      <c r="B178" s="37" t="inlineStr">
        <is>
          <t>6802-8-4 NWO</t>
        </is>
      </c>
      <c r="C178" s="37" t="inlineStr">
        <is>
          <t>6802</t>
        </is>
      </c>
      <c r="D178" s="37" t="n">
        <v>158</v>
      </c>
      <c r="E178" s="37" t="inlineStr">
        <is>
          <t>45 deg</t>
        </is>
      </c>
      <c r="F178" s="37" t="inlineStr">
        <is>
          <t>45 deg Straight Thread Elbow, 3/4-16 x 7/16-20</t>
        </is>
      </c>
      <c r="G178" s="37" t="inlineStr">
        <is>
          <t>7/16-20</t>
        </is>
      </c>
      <c r="H178" s="37" t="inlineStr">
        <is>
          <t>3/4-16</t>
        </is>
      </c>
      <c r="I178" s="37" t="n"/>
      <c r="J178" s="37" t="inlineStr">
        <is>
          <t>SAE J1926-1</t>
        </is>
      </c>
      <c r="K178" s="37" t="inlineStr">
        <is>
          <t>SAE J514-1</t>
        </is>
      </c>
      <c r="L178" s="37" t="n">
        <v>0.98</v>
      </c>
      <c r="M178" s="37" t="n">
        <v>1.08</v>
      </c>
      <c r="N178" s="37" t="n">
        <v>0.5600000000000001</v>
      </c>
      <c r="O178" s="37" t="n">
        <v>0.8100000000000001</v>
      </c>
      <c r="P178" s="37" t="n">
        <v>0.39</v>
      </c>
      <c r="Q178" s="37" t="n">
        <v>0.17</v>
      </c>
      <c r="R178" s="44" t="n">
        <v>0.8100000000000001</v>
      </c>
      <c r="S178" s="44" t="n">
        <v>0.5600000000000001</v>
      </c>
      <c r="T178" s="37" t="n">
        <v>45</v>
      </c>
      <c r="U178" s="37" t="inlineStr">
        <is>
          <t>ASSUMED</t>
        </is>
      </c>
      <c r="V178" s="37" t="inlineStr">
        <is>
          <t>MS51528 covers matched-dash sizes only; Air-Way remains single source.</t>
        </is>
      </c>
      <c r="W178" s="37" t="inlineStr">
        <is>
          <t>BUILD</t>
        </is>
      </c>
      <c r="X178" s="37" t="inlineStr">
        <is>
          <t>Hex = Air-Way C4 column (per-part). Matched sizes in this topology corroborate the column.</t>
        </is>
      </c>
      <c r="Z178" s="45" t="inlineStr">
        <is>
          <t>Carbon Steel</t>
        </is>
      </c>
      <c r="AA178" s="45" t="inlineStr">
        <is>
          <t>ASTM A108 12L14</t>
        </is>
      </c>
      <c r="AB178" s="45" t="inlineStr">
        <is>
          <t>Trivalent Cr3 Zinc</t>
        </is>
      </c>
      <c r="AC178" s="45" t="inlineStr">
        <is>
          <t>ASTM B633 Type V/VI</t>
        </is>
      </c>
      <c r="AD178" s="46" t="n">
        <v>4500</v>
      </c>
      <c r="AE178" s="46" t="inlineStr">
        <is>
          <t>generic SAE table @ dash -8 (governing end)</t>
        </is>
      </c>
      <c r="AF178" s="46" t="n">
        <v>-65</v>
      </c>
      <c r="AG178" s="46" t="n">
        <v>400</v>
      </c>
      <c r="AH178" s="37" t="inlineStr">
        <is>
          <t>Ham-Let + hoseandfittings (pressure); Parker Cat.4300 (material); ASTM B633 (finish); see StandardsData</t>
        </is>
      </c>
    </row>
    <row r="179" ht="15" customHeight="1" s="35">
      <c r="A179" s="37" t="inlineStr">
        <is>
          <t>6802-08-06-NWO</t>
        </is>
      </c>
      <c r="B179" s="37" t="inlineStr">
        <is>
          <t>6802-8-6 NWO</t>
        </is>
      </c>
      <c r="C179" s="37" t="inlineStr">
        <is>
          <t>6802</t>
        </is>
      </c>
      <c r="D179" s="37" t="n">
        <v>158</v>
      </c>
      <c r="E179" s="37" t="inlineStr">
        <is>
          <t>45 deg</t>
        </is>
      </c>
      <c r="F179" s="37" t="inlineStr">
        <is>
          <t>45 deg Straight Thread Elbow, 3/4-16 x 9/16-18</t>
        </is>
      </c>
      <c r="G179" s="37" t="inlineStr">
        <is>
          <t>9/16-18</t>
        </is>
      </c>
      <c r="H179" s="37" t="inlineStr">
        <is>
          <t>3/4-16</t>
        </is>
      </c>
      <c r="I179" s="37" t="n"/>
      <c r="J179" s="37" t="inlineStr">
        <is>
          <t>SAE J1926-1</t>
        </is>
      </c>
      <c r="K179" s="37" t="inlineStr">
        <is>
          <t>SAE J514-1</t>
        </is>
      </c>
      <c r="L179" s="37" t="n">
        <v>0.98</v>
      </c>
      <c r="M179" s="37" t="n">
        <v>1.17</v>
      </c>
      <c r="N179" s="37" t="n">
        <v>0.6899999999999999</v>
      </c>
      <c r="O179" s="37" t="n">
        <v>0.8100000000000001</v>
      </c>
      <c r="P179" s="37" t="n">
        <v>0.39</v>
      </c>
      <c r="Q179" s="37" t="n">
        <v>0.3</v>
      </c>
      <c r="R179" s="44" t="n">
        <v>0.8100000000000001</v>
      </c>
      <c r="S179" s="44" t="n">
        <v>0.6899999999999999</v>
      </c>
      <c r="T179" s="37" t="n">
        <v>45</v>
      </c>
      <c r="U179" s="37" t="inlineStr">
        <is>
          <t>ASSUMED</t>
        </is>
      </c>
      <c r="V179" s="37" t="inlineStr">
        <is>
          <t>MS51528 covers matched-dash sizes only; Air-Way remains single source.</t>
        </is>
      </c>
      <c r="W179" s="37" t="inlineStr">
        <is>
          <t>BUILD</t>
        </is>
      </c>
      <c r="X179" s="37" t="inlineStr">
        <is>
          <t>Hex = Air-Way C4 column (per-part). Matched sizes in this topology corroborate the column.</t>
        </is>
      </c>
      <c r="Z179" s="45" t="inlineStr">
        <is>
          <t>Carbon Steel</t>
        </is>
      </c>
      <c r="AA179" s="45" t="inlineStr">
        <is>
          <t>ASTM A108 12L14</t>
        </is>
      </c>
      <c r="AB179" s="45" t="inlineStr">
        <is>
          <t>Trivalent Cr3 Zinc</t>
        </is>
      </c>
      <c r="AC179" s="45" t="inlineStr">
        <is>
          <t>ASTM B633 Type V/VI</t>
        </is>
      </c>
      <c r="AD179" s="46" t="n">
        <v>4500</v>
      </c>
      <c r="AE179" s="46" t="inlineStr">
        <is>
          <t>generic SAE table @ dash -8 (governing end)</t>
        </is>
      </c>
      <c r="AF179" s="46" t="n">
        <v>-65</v>
      </c>
      <c r="AG179" s="46" t="n">
        <v>400</v>
      </c>
      <c r="AH179" s="37" t="inlineStr">
        <is>
          <t>Ham-Let + hoseandfittings (pressure); Parker Cat.4300 (material); ASTM B633 (finish); see StandardsData</t>
        </is>
      </c>
    </row>
    <row r="180" ht="15" customHeight="1" s="35">
      <c r="A180" s="37" t="inlineStr">
        <is>
          <t>6802-08-06-NWO-FG</t>
        </is>
      </c>
      <c r="B180" s="37" t="inlineStr">
        <is>
          <t>6802-8-6 NWO-FG</t>
        </is>
      </c>
      <c r="C180" s="37" t="inlineStr">
        <is>
          <t>6802</t>
        </is>
      </c>
      <c r="D180" s="37" t="n">
        <v>158</v>
      </c>
      <c r="E180" s="37" t="inlineStr">
        <is>
          <t>45 deg</t>
        </is>
      </c>
      <c r="F180" s="37" t="inlineStr">
        <is>
          <t>45 deg Straight Thread Elbow, 3/4-16 x 9/16-18</t>
        </is>
      </c>
      <c r="G180" s="37" t="inlineStr">
        <is>
          <t>9/16-18</t>
        </is>
      </c>
      <c r="H180" s="37" t="inlineStr">
        <is>
          <t>3/4-16</t>
        </is>
      </c>
      <c r="I180" s="37" t="n"/>
      <c r="J180" s="37" t="inlineStr">
        <is>
          <t>SAE J1926-1</t>
        </is>
      </c>
      <c r="K180" s="37" t="inlineStr">
        <is>
          <t>SAE J514-1</t>
        </is>
      </c>
      <c r="L180" s="37" t="n">
        <v>0.98</v>
      </c>
      <c r="M180" s="37" t="n">
        <v>1.2</v>
      </c>
      <c r="N180" s="37" t="n">
        <v>0.6899999999999999</v>
      </c>
      <c r="O180" s="37" t="n">
        <v>0.75</v>
      </c>
      <c r="P180" s="37" t="n">
        <v>0.39</v>
      </c>
      <c r="Q180" s="37" t="n">
        <v>0.3</v>
      </c>
      <c r="R180" s="44" t="n">
        <v>0.75</v>
      </c>
      <c r="S180" s="44" t="n">
        <v>0.6899999999999999</v>
      </c>
      <c r="T180" s="37" t="n">
        <v>45</v>
      </c>
      <c r="U180" s="37" t="inlineStr">
        <is>
          <t>ASSUMED</t>
        </is>
      </c>
      <c r="V180" s="37" t="inlineStr">
        <is>
          <t>MS51528 covers matched-dash sizes only; Air-Way remains single source.</t>
        </is>
      </c>
      <c r="W180" s="37" t="inlineStr">
        <is>
          <t>BUILD</t>
        </is>
      </c>
      <c r="X180" s="37" t="inlineStr">
        <is>
          <t>Hex = Air-Way C4 column (per-part). Matched sizes in this topology corroborate the column.</t>
        </is>
      </c>
      <c r="Z180" s="45" t="inlineStr">
        <is>
          <t>Carbon Steel</t>
        </is>
      </c>
      <c r="AA180" s="45" t="inlineStr">
        <is>
          <t>ASTM A108 12L14</t>
        </is>
      </c>
      <c r="AB180" s="45" t="inlineStr">
        <is>
          <t>Trivalent Cr3 Zinc</t>
        </is>
      </c>
      <c r="AC180" s="45" t="inlineStr">
        <is>
          <t>ASTM B633 Type V/VI</t>
        </is>
      </c>
      <c r="AD180" s="46" t="n">
        <v>4500</v>
      </c>
      <c r="AE180" s="46" t="inlineStr">
        <is>
          <t>generic SAE table @ dash -8 (governing end)</t>
        </is>
      </c>
      <c r="AF180" s="46" t="n">
        <v>-65</v>
      </c>
      <c r="AG180" s="46" t="n">
        <v>400</v>
      </c>
      <c r="AH180" s="37" t="inlineStr">
        <is>
          <t>Ham-Let + hoseandfittings (pressure); Parker Cat.4300 (material); ASTM B633 (finish); see StandardsData</t>
        </is>
      </c>
    </row>
    <row r="181" ht="15" customHeight="1" s="35">
      <c r="A181" s="37" t="inlineStr">
        <is>
          <t>6802-08-08-NWO-FG</t>
        </is>
      </c>
      <c r="B181" s="37" t="inlineStr">
        <is>
          <t>6802-8-8 NWO-FG</t>
        </is>
      </c>
      <c r="C181" s="37" t="inlineStr">
        <is>
          <t>6802</t>
        </is>
      </c>
      <c r="D181" s="37" t="n">
        <v>158</v>
      </c>
      <c r="E181" s="37" t="inlineStr">
        <is>
          <t>45 deg</t>
        </is>
      </c>
      <c r="F181" s="37" t="inlineStr">
        <is>
          <t>45 deg Straight Thread Elbow, 3/4-16 x 3/4-16</t>
        </is>
      </c>
      <c r="G181" s="37" t="inlineStr">
        <is>
          <t>3/4-16</t>
        </is>
      </c>
      <c r="H181" s="37" t="inlineStr">
        <is>
          <t>3/4-16</t>
        </is>
      </c>
      <c r="I181" s="37" t="n"/>
      <c r="J181" s="37" t="inlineStr">
        <is>
          <t>SAE J1926-1</t>
        </is>
      </c>
      <c r="K181" s="37" t="inlineStr">
        <is>
          <t>SAE J514-1</t>
        </is>
      </c>
      <c r="L181" s="37" t="n">
        <v>0.98</v>
      </c>
      <c r="M181" s="37" t="n">
        <v>1.3</v>
      </c>
      <c r="N181" s="37" t="n">
        <v>0.88</v>
      </c>
      <c r="O181" s="37" t="n">
        <v>0.75</v>
      </c>
      <c r="P181" s="37" t="n">
        <v>0.39</v>
      </c>
      <c r="Q181" s="37" t="n">
        <v>0.39</v>
      </c>
      <c r="R181" s="45" t="n">
        <v>0.75</v>
      </c>
      <c r="S181" s="45" t="n">
        <v>0.88</v>
      </c>
      <c r="T181" s="37" t="n">
        <v>45</v>
      </c>
      <c r="U181" s="37" t="inlineStr">
        <is>
          <t>VERIFIED</t>
        </is>
      </c>
      <c r="V181" s="37" t="inlineStr">
        <is>
          <t>MS51528 cross-check 2026-09-04: threads, both legs, both bores AGREE.</t>
        </is>
      </c>
      <c r="W181" s="37" t="inlineStr">
        <is>
          <t>BUILD</t>
        </is>
      </c>
      <c r="X181" s="37" t="inlineStr">
        <is>
          <t>Hex = Air-Way C4 column, CONFIRMED vs PressureConnections/Purvis.</t>
        </is>
      </c>
      <c r="Z181" s="45" t="inlineStr">
        <is>
          <t>Carbon Steel</t>
        </is>
      </c>
      <c r="AA181" s="45" t="inlineStr">
        <is>
          <t>ASTM A108 12L14</t>
        </is>
      </c>
      <c r="AB181" s="45" t="inlineStr">
        <is>
          <t>Trivalent Cr3 Zinc</t>
        </is>
      </c>
      <c r="AC181" s="45" t="inlineStr">
        <is>
          <t>ASTM B633 Type V/VI</t>
        </is>
      </c>
      <c r="AD181" s="46" t="n">
        <v>4500</v>
      </c>
      <c r="AE181" s="46" t="inlineStr">
        <is>
          <t>generic SAE table @ dash -8 (governing end)</t>
        </is>
      </c>
      <c r="AF181" s="46" t="n">
        <v>-65</v>
      </c>
      <c r="AG181" s="46" t="n">
        <v>400</v>
      </c>
      <c r="AH181" s="37" t="inlineStr">
        <is>
          <t>Ham-Let + hoseandfittings (pressure); Parker Cat.4300 (material); ASTM B633 (finish); see StandardsData</t>
        </is>
      </c>
    </row>
    <row r="182" ht="15" customHeight="1" s="35">
      <c r="A182" s="37" t="inlineStr">
        <is>
          <t>6802-08-08-NWO</t>
        </is>
      </c>
      <c r="B182" s="37" t="inlineStr">
        <is>
          <t>6802-8-8 NWO</t>
        </is>
      </c>
      <c r="C182" s="37" t="inlineStr">
        <is>
          <t>6802</t>
        </is>
      </c>
      <c r="D182" s="37" t="n">
        <v>158</v>
      </c>
      <c r="E182" s="37" t="inlineStr">
        <is>
          <t>45 deg</t>
        </is>
      </c>
      <c r="F182" s="37" t="inlineStr">
        <is>
          <t>45 deg Straight Thread Elbow, 3/4-16 x 3/4-16</t>
        </is>
      </c>
      <c r="G182" s="37" t="inlineStr">
        <is>
          <t>3/4-16</t>
        </is>
      </c>
      <c r="H182" s="37" t="inlineStr">
        <is>
          <t>3/4-16</t>
        </is>
      </c>
      <c r="I182" s="37" t="n"/>
      <c r="J182" s="37" t="inlineStr">
        <is>
          <t>SAE J1926-1</t>
        </is>
      </c>
      <c r="K182" s="37" t="inlineStr">
        <is>
          <t>SAE J514-1</t>
        </is>
      </c>
      <c r="L182" s="37" t="n">
        <v>0.98</v>
      </c>
      <c r="M182" s="37" t="n">
        <v>1.3</v>
      </c>
      <c r="N182" s="37" t="n">
        <v>0.88</v>
      </c>
      <c r="O182" s="37" t="n">
        <v>0.8100000000000001</v>
      </c>
      <c r="P182" s="37" t="n">
        <v>0.39</v>
      </c>
      <c r="Q182" s="37" t="n">
        <v>0.39</v>
      </c>
      <c r="R182" s="45" t="n">
        <v>0.8100000000000001</v>
      </c>
      <c r="S182" s="45" t="n">
        <v>0.88</v>
      </c>
      <c r="T182" s="37" t="n">
        <v>45</v>
      </c>
      <c r="U182" s="37" t="inlineStr">
        <is>
          <t>VERIFIED</t>
        </is>
      </c>
      <c r="V182" s="37" t="inlineStr">
        <is>
          <t>MS51528 cross-check 2026-09-04: threads, both legs, both bores AGREE.</t>
        </is>
      </c>
      <c r="W182" s="37" t="inlineStr">
        <is>
          <t>BUILD</t>
        </is>
      </c>
      <c r="X182" s="37" t="inlineStr">
        <is>
          <t>Hex = Air-Way C4 column, CONFIRMED vs PressureConnections/Purvis.</t>
        </is>
      </c>
      <c r="Z182" s="45" t="inlineStr">
        <is>
          <t>Carbon Steel</t>
        </is>
      </c>
      <c r="AA182" s="45" t="inlineStr">
        <is>
          <t>ASTM A108 12L14</t>
        </is>
      </c>
      <c r="AB182" s="45" t="inlineStr">
        <is>
          <t>Trivalent Cr3 Zinc</t>
        </is>
      </c>
      <c r="AC182" s="45" t="inlineStr">
        <is>
          <t>ASTM B633 Type V/VI</t>
        </is>
      </c>
      <c r="AD182" s="46" t="n">
        <v>4500</v>
      </c>
      <c r="AE182" s="46" t="inlineStr">
        <is>
          <t>generic SAE table @ dash -8 (governing end)</t>
        </is>
      </c>
      <c r="AF182" s="46" t="n">
        <v>-65</v>
      </c>
      <c r="AG182" s="46" t="n">
        <v>400</v>
      </c>
      <c r="AH182" s="37" t="inlineStr">
        <is>
          <t>Ham-Let + hoseandfittings (pressure); Parker Cat.4300 (material); ASTM B633 (finish); see StandardsData</t>
        </is>
      </c>
    </row>
    <row r="183" ht="15" customHeight="1" s="35">
      <c r="A183" s="37" t="inlineStr">
        <is>
          <t>6802-08-10-NWO-FG</t>
        </is>
      </c>
      <c r="B183" s="37" t="inlineStr">
        <is>
          <t>6802-8-10 NWO-FG</t>
        </is>
      </c>
      <c r="C183" s="37" t="inlineStr">
        <is>
          <t>6802</t>
        </is>
      </c>
      <c r="D183" s="37" t="n">
        <v>158</v>
      </c>
      <c r="E183" s="37" t="inlineStr">
        <is>
          <t>45 deg</t>
        </is>
      </c>
      <c r="F183" s="37" t="inlineStr">
        <is>
          <t>45 deg Straight Thread Elbow, 3/4-16 x 7/8-14</t>
        </is>
      </c>
      <c r="G183" s="37" t="inlineStr">
        <is>
          <t>7/8-14</t>
        </is>
      </c>
      <c r="H183" s="37" t="inlineStr">
        <is>
          <t>3/4-16</t>
        </is>
      </c>
      <c r="I183" s="37" t="n"/>
      <c r="J183" s="37" t="inlineStr">
        <is>
          <t>SAE J1926-1</t>
        </is>
      </c>
      <c r="K183" s="37" t="inlineStr">
        <is>
          <t>SAE J514-1</t>
        </is>
      </c>
      <c r="L183" s="37" t="n">
        <v>0.99</v>
      </c>
      <c r="M183" s="37" t="n">
        <v>1.52</v>
      </c>
      <c r="N183" s="37" t="n">
        <v>1</v>
      </c>
      <c r="O183" s="37" t="n">
        <v>0.88</v>
      </c>
      <c r="P183" s="37" t="n">
        <v>0.39</v>
      </c>
      <c r="Q183" s="37" t="n">
        <v>0.48</v>
      </c>
      <c r="R183" s="44" t="n">
        <v>0.88</v>
      </c>
      <c r="S183" s="44" t="n">
        <v>1</v>
      </c>
      <c r="T183" s="37" t="n">
        <v>45</v>
      </c>
      <c r="U183" s="37" t="inlineStr">
        <is>
          <t>ASSUMED</t>
        </is>
      </c>
      <c r="V183" s="37" t="inlineStr">
        <is>
          <t>MS51528 covers matched-dash sizes only; Air-Way remains single source.</t>
        </is>
      </c>
      <c r="W183" s="37" t="inlineStr">
        <is>
          <t>BUILD</t>
        </is>
      </c>
      <c r="X183" s="37" t="inlineStr">
        <is>
          <t>Hex = Air-Way C4 column (per-part). Matched sizes in this topology corroborate the column.</t>
        </is>
      </c>
      <c r="Z183" s="45" t="inlineStr">
        <is>
          <t>Carbon Steel</t>
        </is>
      </c>
      <c r="AA183" s="45" t="inlineStr">
        <is>
          <t>ASTM A108 12L14</t>
        </is>
      </c>
      <c r="AB183" s="45" t="inlineStr">
        <is>
          <t>Trivalent Cr3 Zinc</t>
        </is>
      </c>
      <c r="AC183" s="45" t="inlineStr">
        <is>
          <t>ASTM B633 Type V/VI</t>
        </is>
      </c>
      <c r="AD183" s="46" t="n">
        <v>3500</v>
      </c>
      <c r="AE183" s="46" t="inlineStr">
        <is>
          <t>generic SAE table @ dash -10 (governing end)</t>
        </is>
      </c>
      <c r="AF183" s="46" t="n">
        <v>-65</v>
      </c>
      <c r="AG183" s="46" t="n">
        <v>400</v>
      </c>
      <c r="AH183" s="37" t="inlineStr">
        <is>
          <t>Ham-Let + hoseandfittings (pressure); Parker Cat.4300 (material); ASTM B633 (finish); see StandardsData</t>
        </is>
      </c>
    </row>
    <row r="184" ht="15" customHeight="1" s="35">
      <c r="A184" s="37" t="inlineStr">
        <is>
          <t>6802-08-10-NWO</t>
        </is>
      </c>
      <c r="B184" s="37" t="inlineStr">
        <is>
          <t>6802-8-10 NWO</t>
        </is>
      </c>
      <c r="C184" s="37" t="inlineStr">
        <is>
          <t>6802</t>
        </is>
      </c>
      <c r="D184" s="37" t="n">
        <v>158</v>
      </c>
      <c r="E184" s="37" t="inlineStr">
        <is>
          <t>45 deg</t>
        </is>
      </c>
      <c r="F184" s="37" t="inlineStr">
        <is>
          <t>45 deg Straight Thread Elbow, 3/4-16 x 7/8-14</t>
        </is>
      </c>
      <c r="G184" s="37" t="inlineStr">
        <is>
          <t>7/8-14</t>
        </is>
      </c>
      <c r="H184" s="37" t="inlineStr">
        <is>
          <t>3/4-16</t>
        </is>
      </c>
      <c r="I184" s="37" t="n"/>
      <c r="J184" s="37" t="inlineStr">
        <is>
          <t>SAE J1926-1</t>
        </is>
      </c>
      <c r="K184" s="37" t="inlineStr">
        <is>
          <t>SAE J514-1</t>
        </is>
      </c>
      <c r="L184" s="37" t="n">
        <v>0.99</v>
      </c>
      <c r="M184" s="37" t="n">
        <v>1.52</v>
      </c>
      <c r="N184" s="37" t="n">
        <v>1</v>
      </c>
      <c r="O184" s="37" t="n">
        <v>0.9399999999999999</v>
      </c>
      <c r="P184" s="37" t="n">
        <v>0.39</v>
      </c>
      <c r="Q184" s="37" t="n">
        <v>0.48</v>
      </c>
      <c r="R184" s="44" t="n">
        <v>0.9399999999999999</v>
      </c>
      <c r="S184" s="44" t="n">
        <v>1</v>
      </c>
      <c r="T184" s="37" t="n">
        <v>45</v>
      </c>
      <c r="U184" s="37" t="inlineStr">
        <is>
          <t>ASSUMED</t>
        </is>
      </c>
      <c r="V184" s="37" t="inlineStr">
        <is>
          <t>MS51528 covers matched-dash sizes only; Air-Way remains single source.</t>
        </is>
      </c>
      <c r="W184" s="37" t="inlineStr">
        <is>
          <t>BUILD</t>
        </is>
      </c>
      <c r="X184" s="37" t="inlineStr">
        <is>
          <t>Hex = Air-Way C4 column (per-part). Matched sizes in this topology corroborate the column.</t>
        </is>
      </c>
      <c r="Z184" s="45" t="inlineStr">
        <is>
          <t>Carbon Steel</t>
        </is>
      </c>
      <c r="AA184" s="45" t="inlineStr">
        <is>
          <t>ASTM A108 12L14</t>
        </is>
      </c>
      <c r="AB184" s="45" t="inlineStr">
        <is>
          <t>Trivalent Cr3 Zinc</t>
        </is>
      </c>
      <c r="AC184" s="45" t="inlineStr">
        <is>
          <t>ASTM B633 Type V/VI</t>
        </is>
      </c>
      <c r="AD184" s="46" t="n">
        <v>3500</v>
      </c>
      <c r="AE184" s="46" t="inlineStr">
        <is>
          <t>generic SAE table @ dash -10 (governing end)</t>
        </is>
      </c>
      <c r="AF184" s="46" t="n">
        <v>-65</v>
      </c>
      <c r="AG184" s="46" t="n">
        <v>400</v>
      </c>
      <c r="AH184" s="37" t="inlineStr">
        <is>
          <t>Ham-Let + hoseandfittings (pressure); Parker Cat.4300 (material); ASTM B633 (finish); see StandardsData</t>
        </is>
      </c>
    </row>
    <row r="185" ht="15" customHeight="1" s="35">
      <c r="A185" s="37" t="inlineStr">
        <is>
          <t>6802-08-12-NWO</t>
        </is>
      </c>
      <c r="B185" s="37" t="inlineStr">
        <is>
          <t>6802-8-12 NWO</t>
        </is>
      </c>
      <c r="C185" s="37" t="inlineStr">
        <is>
          <t>6802</t>
        </is>
      </c>
      <c r="D185" s="37" t="n">
        <v>158</v>
      </c>
      <c r="E185" s="37" t="inlineStr">
        <is>
          <t>45 deg</t>
        </is>
      </c>
      <c r="F185" s="37" t="inlineStr">
        <is>
          <t>45 deg Straight Thread Elbow, 3/4-16 x 1 1/16-12</t>
        </is>
      </c>
      <c r="G185" s="37" t="inlineStr">
        <is>
          <t>1 1/16-12</t>
        </is>
      </c>
      <c r="H185" s="37" t="inlineStr">
        <is>
          <t>3/4-16</t>
        </is>
      </c>
      <c r="I185" s="37" t="n"/>
      <c r="J185" s="37" t="inlineStr">
        <is>
          <t>SAE J1926-1</t>
        </is>
      </c>
      <c r="K185" s="37" t="inlineStr">
        <is>
          <t>SAE J514-1</t>
        </is>
      </c>
      <c r="L185" s="37" t="n">
        <v>1.05</v>
      </c>
      <c r="M185" s="37" t="n">
        <v>1.73</v>
      </c>
      <c r="N185" s="37" t="n">
        <v>1.25</v>
      </c>
      <c r="O185" s="37" t="n">
        <v>1.13</v>
      </c>
      <c r="P185" s="37" t="n">
        <v>0.39</v>
      </c>
      <c r="Q185" s="37" t="n">
        <v>0.61</v>
      </c>
      <c r="R185" s="44" t="n">
        <v>1.13</v>
      </c>
      <c r="S185" s="44" t="n">
        <v>1.25</v>
      </c>
      <c r="T185" s="37" t="n">
        <v>45</v>
      </c>
      <c r="U185" s="37" t="inlineStr">
        <is>
          <t>ASSUMED</t>
        </is>
      </c>
      <c r="V185" s="37" t="inlineStr">
        <is>
          <t>MS51528 covers matched-dash sizes only; Air-Way remains single source.</t>
        </is>
      </c>
      <c r="W185" s="37" t="inlineStr">
        <is>
          <t>BUILD</t>
        </is>
      </c>
      <c r="X185" s="37" t="inlineStr">
        <is>
          <t>Hex = Air-Way C4 column (per-part). Matched sizes in this topology corroborate the column.</t>
        </is>
      </c>
      <c r="Z185" s="45" t="inlineStr">
        <is>
          <t>Carbon Steel</t>
        </is>
      </c>
      <c r="AA185" s="45" t="inlineStr">
        <is>
          <t>ASTM A108 12L14</t>
        </is>
      </c>
      <c r="AB185" s="45" t="inlineStr">
        <is>
          <t>Trivalent Cr3 Zinc</t>
        </is>
      </c>
      <c r="AC185" s="45" t="inlineStr">
        <is>
          <t>ASTM B633 Type V/VI</t>
        </is>
      </c>
      <c r="AD185" s="46" t="n">
        <v>3500</v>
      </c>
      <c r="AE185" s="46" t="inlineStr">
        <is>
          <t>generic SAE table @ dash -12 (governing end)</t>
        </is>
      </c>
      <c r="AF185" s="46" t="n">
        <v>-65</v>
      </c>
      <c r="AG185" s="46" t="n">
        <v>400</v>
      </c>
      <c r="AH185" s="37" t="inlineStr">
        <is>
          <t>Ham-Let + hoseandfittings (pressure); Parker Cat.4300 (material); ASTM B633 (finish); see StandardsData</t>
        </is>
      </c>
    </row>
    <row r="186" ht="15" customHeight="1" s="35">
      <c r="A186" s="37" t="inlineStr">
        <is>
          <t>6802-10-08-NWO-FG</t>
        </is>
      </c>
      <c r="B186" s="37" t="inlineStr">
        <is>
          <t>6802-10-8 NWO-FG</t>
        </is>
      </c>
      <c r="C186" s="37" t="inlineStr">
        <is>
          <t>6802</t>
        </is>
      </c>
      <c r="D186" s="37" t="n">
        <v>158</v>
      </c>
      <c r="E186" s="37" t="inlineStr">
        <is>
          <t>45 deg</t>
        </is>
      </c>
      <c r="F186" s="37" t="inlineStr">
        <is>
          <t>45 deg Straight Thread Elbow, 7/8-14 x 3/4-16</t>
        </is>
      </c>
      <c r="G186" s="37" t="inlineStr">
        <is>
          <t>3/4-16</t>
        </is>
      </c>
      <c r="H186" s="37" t="inlineStr">
        <is>
          <t>7/8-14</t>
        </is>
      </c>
      <c r="I186" s="37" t="n"/>
      <c r="J186" s="37" t="inlineStr">
        <is>
          <t>SAE J1926-1</t>
        </is>
      </c>
      <c r="K186" s="37" t="inlineStr">
        <is>
          <t>SAE J514-1</t>
        </is>
      </c>
      <c r="L186" s="37" t="n">
        <v>1.11</v>
      </c>
      <c r="M186" s="37" t="n">
        <v>1.36</v>
      </c>
      <c r="N186" s="37" t="n">
        <v>0.88</v>
      </c>
      <c r="O186" s="37" t="n">
        <v>0.88</v>
      </c>
      <c r="P186" s="37" t="n">
        <v>0.48</v>
      </c>
      <c r="Q186" s="37" t="n">
        <v>0.39</v>
      </c>
      <c r="R186" s="44" t="n">
        <v>0.88</v>
      </c>
      <c r="S186" s="44" t="n">
        <v>0.88</v>
      </c>
      <c r="T186" s="37" t="n">
        <v>45</v>
      </c>
      <c r="U186" s="37" t="inlineStr">
        <is>
          <t>ASSUMED</t>
        </is>
      </c>
      <c r="V186" s="37" t="inlineStr">
        <is>
          <t>MS51528 covers matched-dash sizes only; Air-Way remains single source.</t>
        </is>
      </c>
      <c r="W186" s="37" t="inlineStr">
        <is>
          <t>BUILD</t>
        </is>
      </c>
      <c r="X186" s="37" t="inlineStr">
        <is>
          <t>Hex = Air-Way C4 column (per-part). Matched sizes in this topology corroborate the column.</t>
        </is>
      </c>
      <c r="Z186" s="45" t="inlineStr">
        <is>
          <t>Carbon Steel</t>
        </is>
      </c>
      <c r="AA186" s="45" t="inlineStr">
        <is>
          <t>ASTM A108 12L14</t>
        </is>
      </c>
      <c r="AB186" s="45" t="inlineStr">
        <is>
          <t>Trivalent Cr3 Zinc</t>
        </is>
      </c>
      <c r="AC186" s="45" t="inlineStr">
        <is>
          <t>ASTM B633 Type V/VI</t>
        </is>
      </c>
      <c r="AD186" s="46" t="n">
        <v>3500</v>
      </c>
      <c r="AE186" s="46" t="inlineStr">
        <is>
          <t>generic SAE table @ dash -10 (governing end)</t>
        </is>
      </c>
      <c r="AF186" s="46" t="n">
        <v>-65</v>
      </c>
      <c r="AG186" s="46" t="n">
        <v>400</v>
      </c>
      <c r="AH186" s="37" t="inlineStr">
        <is>
          <t>Ham-Let + hoseandfittings (pressure); Parker Cat.4300 (material); ASTM B633 (finish); see StandardsData</t>
        </is>
      </c>
    </row>
    <row r="187" ht="15" customHeight="1" s="35">
      <c r="A187" s="37" t="inlineStr">
        <is>
          <t>6802-10-08-NWO</t>
        </is>
      </c>
      <c r="B187" s="37" t="inlineStr">
        <is>
          <t>6802-10-8 NWO</t>
        </is>
      </c>
      <c r="C187" s="37" t="inlineStr">
        <is>
          <t>6802</t>
        </is>
      </c>
      <c r="D187" s="37" t="n">
        <v>158</v>
      </c>
      <c r="E187" s="37" t="inlineStr">
        <is>
          <t>45 deg</t>
        </is>
      </c>
      <c r="F187" s="37" t="inlineStr">
        <is>
          <t>45 deg Straight Thread Elbow, 7/8-14 x 3/4-16</t>
        </is>
      </c>
      <c r="G187" s="37" t="inlineStr">
        <is>
          <t>3/4-16</t>
        </is>
      </c>
      <c r="H187" s="37" t="inlineStr">
        <is>
          <t>7/8-14</t>
        </is>
      </c>
      <c r="I187" s="37" t="n"/>
      <c r="J187" s="37" t="inlineStr">
        <is>
          <t>SAE J1926-1</t>
        </is>
      </c>
      <c r="K187" s="37" t="inlineStr">
        <is>
          <t>SAE J514-1</t>
        </is>
      </c>
      <c r="L187" s="37" t="n">
        <v>1.11</v>
      </c>
      <c r="M187" s="37" t="n">
        <v>1.36</v>
      </c>
      <c r="N187" s="37" t="n">
        <v>0.88</v>
      </c>
      <c r="O187" s="37" t="n">
        <v>0.9399999999999999</v>
      </c>
      <c r="P187" s="37" t="n">
        <v>0.48</v>
      </c>
      <c r="Q187" s="37" t="n">
        <v>0.39</v>
      </c>
      <c r="R187" s="44" t="n">
        <v>0.9399999999999999</v>
      </c>
      <c r="S187" s="44" t="n">
        <v>0.88</v>
      </c>
      <c r="T187" s="37" t="n">
        <v>45</v>
      </c>
      <c r="U187" s="37" t="inlineStr">
        <is>
          <t>ASSUMED</t>
        </is>
      </c>
      <c r="V187" s="37" t="inlineStr">
        <is>
          <t>MS51528 covers matched-dash sizes only; Air-Way remains single source.</t>
        </is>
      </c>
      <c r="W187" s="37" t="inlineStr">
        <is>
          <t>BUILD</t>
        </is>
      </c>
      <c r="X187" s="37" t="inlineStr">
        <is>
          <t>Hex = Air-Way C4 column (per-part). Matched sizes in this topology corroborate the column.</t>
        </is>
      </c>
      <c r="Z187" s="45" t="inlineStr">
        <is>
          <t>Carbon Steel</t>
        </is>
      </c>
      <c r="AA187" s="45" t="inlineStr">
        <is>
          <t>ASTM A108 12L14</t>
        </is>
      </c>
      <c r="AB187" s="45" t="inlineStr">
        <is>
          <t>Trivalent Cr3 Zinc</t>
        </is>
      </c>
      <c r="AC187" s="45" t="inlineStr">
        <is>
          <t>ASTM B633 Type V/VI</t>
        </is>
      </c>
      <c r="AD187" s="46" t="n">
        <v>3500</v>
      </c>
      <c r="AE187" s="46" t="inlineStr">
        <is>
          <t>generic SAE table @ dash -10 (governing end)</t>
        </is>
      </c>
      <c r="AF187" s="46" t="n">
        <v>-65</v>
      </c>
      <c r="AG187" s="46" t="n">
        <v>400</v>
      </c>
      <c r="AH187" s="37" t="inlineStr">
        <is>
          <t>Ham-Let + hoseandfittings (pressure); Parker Cat.4300 (material); ASTM B633 (finish); see StandardsData</t>
        </is>
      </c>
    </row>
    <row r="188" ht="15" customHeight="1" s="35">
      <c r="A188" s="37" t="inlineStr">
        <is>
          <t>6802-10-10-NWO-FG</t>
        </is>
      </c>
      <c r="B188" s="37" t="inlineStr">
        <is>
          <t>6802-10-10 NWO-FG</t>
        </is>
      </c>
      <c r="C188" s="37" t="inlineStr">
        <is>
          <t>6802</t>
        </is>
      </c>
      <c r="D188" s="37" t="n">
        <v>158</v>
      </c>
      <c r="E188" s="37" t="inlineStr">
        <is>
          <t>45 deg</t>
        </is>
      </c>
      <c r="F188" s="37" t="inlineStr">
        <is>
          <t>45 deg Straight Thread Elbow, 7/8-14 x 7/8-14</t>
        </is>
      </c>
      <c r="G188" s="37" t="inlineStr">
        <is>
          <t>7/8-14</t>
        </is>
      </c>
      <c r="H188" s="37" t="inlineStr">
        <is>
          <t>7/8-14</t>
        </is>
      </c>
      <c r="I188" s="37" t="n"/>
      <c r="J188" s="37" t="inlineStr">
        <is>
          <t>SAE J1926-1</t>
        </is>
      </c>
      <c r="K188" s="37" t="inlineStr">
        <is>
          <t>SAE J514-1</t>
        </is>
      </c>
      <c r="L188" s="37" t="n">
        <v>1.11</v>
      </c>
      <c r="M188" s="37" t="n">
        <v>1.52</v>
      </c>
      <c r="N188" s="37" t="n">
        <v>1</v>
      </c>
      <c r="O188" s="37" t="n">
        <v>0.88</v>
      </c>
      <c r="P188" s="37" t="n">
        <v>0.48</v>
      </c>
      <c r="Q188" s="37" t="n">
        <v>0.48</v>
      </c>
      <c r="R188" s="45" t="n">
        <v>0.88</v>
      </c>
      <c r="S188" s="45" t="n">
        <v>1</v>
      </c>
      <c r="T188" s="37" t="n">
        <v>45</v>
      </c>
      <c r="U188" s="37" t="inlineStr">
        <is>
          <t>VERIFIED</t>
        </is>
      </c>
      <c r="V188" s="37" t="inlineStr">
        <is>
          <t>MS51528 cross-check 2026-09-04: threads, both legs, both bores AGREE.</t>
        </is>
      </c>
      <c r="W188" s="37" t="inlineStr">
        <is>
          <t>BUILD</t>
        </is>
      </c>
      <c r="X188" s="37" t="inlineStr">
        <is>
          <t>Hex = Air-Way C4 column, CONFIRMED vs PressureConnections/Purvis.</t>
        </is>
      </c>
      <c r="Z188" s="45" t="inlineStr">
        <is>
          <t>Carbon Steel</t>
        </is>
      </c>
      <c r="AA188" s="45" t="inlineStr">
        <is>
          <t>ASTM A108 12L14</t>
        </is>
      </c>
      <c r="AB188" s="45" t="inlineStr">
        <is>
          <t>Trivalent Cr3 Zinc</t>
        </is>
      </c>
      <c r="AC188" s="45" t="inlineStr">
        <is>
          <t>ASTM B633 Type V/VI</t>
        </is>
      </c>
      <c r="AD188" s="46" t="n">
        <v>3500</v>
      </c>
      <c r="AE188" s="46" t="inlineStr">
        <is>
          <t>generic SAE table @ dash -10 (governing end)</t>
        </is>
      </c>
      <c r="AF188" s="46" t="n">
        <v>-65</v>
      </c>
      <c r="AG188" s="46" t="n">
        <v>400</v>
      </c>
      <c r="AH188" s="37" t="inlineStr">
        <is>
          <t>Ham-Let + hoseandfittings (pressure); Parker Cat.4300 (material); ASTM B633 (finish); see StandardsData</t>
        </is>
      </c>
    </row>
    <row r="189" ht="15" customHeight="1" s="35">
      <c r="A189" s="37" t="inlineStr">
        <is>
          <t>6802-10-10-NWO</t>
        </is>
      </c>
      <c r="B189" s="37" t="inlineStr">
        <is>
          <t>6802-10-10 NWO</t>
        </is>
      </c>
      <c r="C189" s="37" t="inlineStr">
        <is>
          <t>6802</t>
        </is>
      </c>
      <c r="D189" s="37" t="n">
        <v>158</v>
      </c>
      <c r="E189" s="37" t="inlineStr">
        <is>
          <t>45 deg</t>
        </is>
      </c>
      <c r="F189" s="37" t="inlineStr">
        <is>
          <t>45 deg Straight Thread Elbow, 7/8-14 x 7/8-14</t>
        </is>
      </c>
      <c r="G189" s="37" t="inlineStr">
        <is>
          <t>7/8-14</t>
        </is>
      </c>
      <c r="H189" s="37" t="inlineStr">
        <is>
          <t>7/8-14</t>
        </is>
      </c>
      <c r="I189" s="37" t="n"/>
      <c r="J189" s="37" t="inlineStr">
        <is>
          <t>SAE J1926-1</t>
        </is>
      </c>
      <c r="K189" s="37" t="inlineStr">
        <is>
          <t>SAE J514-1</t>
        </is>
      </c>
      <c r="L189" s="37" t="n">
        <v>1.11</v>
      </c>
      <c r="M189" s="37" t="n">
        <v>1.52</v>
      </c>
      <c r="N189" s="37" t="n">
        <v>1</v>
      </c>
      <c r="O189" s="37" t="n">
        <v>0.9399999999999999</v>
      </c>
      <c r="P189" s="37" t="n">
        <v>0.48</v>
      </c>
      <c r="Q189" s="37" t="n">
        <v>0.48</v>
      </c>
      <c r="R189" s="45" t="n">
        <v>0.9399999999999999</v>
      </c>
      <c r="S189" s="45" t="n">
        <v>1</v>
      </c>
      <c r="T189" s="37" t="n">
        <v>45</v>
      </c>
      <c r="U189" s="37" t="inlineStr">
        <is>
          <t>VERIFIED</t>
        </is>
      </c>
      <c r="V189" s="37" t="inlineStr">
        <is>
          <t>MS51528 cross-check 2026-09-04: threads, both legs, both bores AGREE.</t>
        </is>
      </c>
      <c r="W189" s="37" t="inlineStr">
        <is>
          <t>BUILD</t>
        </is>
      </c>
      <c r="X189" s="37" t="inlineStr">
        <is>
          <t>Hex = Air-Way C4 column, CONFIRMED vs PressureConnections/Purvis.</t>
        </is>
      </c>
      <c r="Z189" s="45" t="inlineStr">
        <is>
          <t>Carbon Steel</t>
        </is>
      </c>
      <c r="AA189" s="45" t="inlineStr">
        <is>
          <t>ASTM A108 12L14</t>
        </is>
      </c>
      <c r="AB189" s="45" t="inlineStr">
        <is>
          <t>Trivalent Cr3 Zinc</t>
        </is>
      </c>
      <c r="AC189" s="45" t="inlineStr">
        <is>
          <t>ASTM B633 Type V/VI</t>
        </is>
      </c>
      <c r="AD189" s="46" t="n">
        <v>3500</v>
      </c>
      <c r="AE189" s="46" t="inlineStr">
        <is>
          <t>generic SAE table @ dash -10 (governing end)</t>
        </is>
      </c>
      <c r="AF189" s="46" t="n">
        <v>-65</v>
      </c>
      <c r="AG189" s="46" t="n">
        <v>400</v>
      </c>
      <c r="AH189" s="37" t="inlineStr">
        <is>
          <t>Ham-Let + hoseandfittings (pressure); Parker Cat.4300 (material); ASTM B633 (finish); see StandardsData</t>
        </is>
      </c>
    </row>
    <row r="190" ht="15" customHeight="1" s="35">
      <c r="A190" s="37" t="inlineStr">
        <is>
          <t>6802-10-12-NWO-FG</t>
        </is>
      </c>
      <c r="B190" s="37" t="inlineStr">
        <is>
          <t>6802-10-12 NWO-FG</t>
        </is>
      </c>
      <c r="C190" s="37" t="inlineStr">
        <is>
          <t>6802</t>
        </is>
      </c>
      <c r="D190" s="37" t="n">
        <v>158</v>
      </c>
      <c r="E190" s="37" t="inlineStr">
        <is>
          <t>45 deg</t>
        </is>
      </c>
      <c r="F190" s="37" t="inlineStr">
        <is>
          <t>45 deg Straight Thread Elbow, 7/8-14 x 1 1/16-12</t>
        </is>
      </c>
      <c r="G190" s="37" t="inlineStr">
        <is>
          <t>1 1/16-12</t>
        </is>
      </c>
      <c r="H190" s="37" t="inlineStr">
        <is>
          <t>7/8-14</t>
        </is>
      </c>
      <c r="I190" s="37" t="n"/>
      <c r="J190" s="37" t="inlineStr">
        <is>
          <t>SAE J1926-1</t>
        </is>
      </c>
      <c r="K190" s="37" t="inlineStr">
        <is>
          <t>SAE J514-1</t>
        </is>
      </c>
      <c r="L190" s="37" t="n">
        <v>1.16</v>
      </c>
      <c r="M190" s="37" t="n">
        <v>1.73</v>
      </c>
      <c r="N190" s="37" t="n">
        <v>1.25</v>
      </c>
      <c r="O190" s="37" t="n">
        <v>1.06</v>
      </c>
      <c r="P190" s="37" t="n">
        <v>0.48</v>
      </c>
      <c r="Q190" s="37" t="n">
        <v>0.61</v>
      </c>
      <c r="R190" s="44" t="n">
        <v>1.06</v>
      </c>
      <c r="S190" s="44" t="n">
        <v>1.25</v>
      </c>
      <c r="T190" s="37" t="n">
        <v>45</v>
      </c>
      <c r="U190" s="37" t="inlineStr">
        <is>
          <t>ASSUMED</t>
        </is>
      </c>
      <c r="V190" s="37" t="inlineStr">
        <is>
          <t>MS51528 covers matched-dash sizes only; Air-Way remains single source.</t>
        </is>
      </c>
      <c r="W190" s="37" t="inlineStr">
        <is>
          <t>BUILD</t>
        </is>
      </c>
      <c r="X190" s="37" t="inlineStr">
        <is>
          <t>Hex = Air-Way C4 column (per-part). Matched sizes in this topology corroborate the column.</t>
        </is>
      </c>
      <c r="Z190" s="45" t="inlineStr">
        <is>
          <t>Carbon Steel</t>
        </is>
      </c>
      <c r="AA190" s="45" t="inlineStr">
        <is>
          <t>ASTM A108 12L14</t>
        </is>
      </c>
      <c r="AB190" s="45" t="inlineStr">
        <is>
          <t>Trivalent Cr3 Zinc</t>
        </is>
      </c>
      <c r="AC190" s="45" t="inlineStr">
        <is>
          <t>ASTM B633 Type V/VI</t>
        </is>
      </c>
      <c r="AD190" s="46" t="n">
        <v>3500</v>
      </c>
      <c r="AE190" s="46" t="inlineStr">
        <is>
          <t>generic SAE table @ dash -12 (governing end)</t>
        </is>
      </c>
      <c r="AF190" s="46" t="n">
        <v>-65</v>
      </c>
      <c r="AG190" s="46" t="n">
        <v>400</v>
      </c>
      <c r="AH190" s="37" t="inlineStr">
        <is>
          <t>Ham-Let + hoseandfittings (pressure); Parker Cat.4300 (material); ASTM B633 (finish); see StandardsData</t>
        </is>
      </c>
    </row>
    <row r="191" ht="15" customHeight="1" s="35">
      <c r="A191" s="37" t="inlineStr">
        <is>
          <t>6802-10-12-NWO</t>
        </is>
      </c>
      <c r="B191" s="37" t="inlineStr">
        <is>
          <t>6802-10-12 NWO</t>
        </is>
      </c>
      <c r="C191" s="37" t="inlineStr">
        <is>
          <t>6802</t>
        </is>
      </c>
      <c r="D191" s="37" t="n">
        <v>158</v>
      </c>
      <c r="E191" s="37" t="inlineStr">
        <is>
          <t>45 deg</t>
        </is>
      </c>
      <c r="F191" s="37" t="inlineStr">
        <is>
          <t>45 deg Straight Thread Elbow, 7/8-14 x 1 1/16-12</t>
        </is>
      </c>
      <c r="G191" s="37" t="inlineStr">
        <is>
          <t>1 1/16-12</t>
        </is>
      </c>
      <c r="H191" s="37" t="inlineStr">
        <is>
          <t>7/8-14</t>
        </is>
      </c>
      <c r="I191" s="37" t="n"/>
      <c r="J191" s="37" t="inlineStr">
        <is>
          <t>SAE J1926-1</t>
        </is>
      </c>
      <c r="K191" s="37" t="inlineStr">
        <is>
          <t>SAE J514-1</t>
        </is>
      </c>
      <c r="L191" s="37" t="n">
        <v>1.22</v>
      </c>
      <c r="M191" s="37" t="n">
        <v>1.73</v>
      </c>
      <c r="N191" s="37" t="n">
        <v>1.25</v>
      </c>
      <c r="O191" s="37" t="n">
        <v>1.13</v>
      </c>
      <c r="P191" s="37" t="n">
        <v>0.48</v>
      </c>
      <c r="Q191" s="37" t="n">
        <v>0.61</v>
      </c>
      <c r="R191" s="44" t="n">
        <v>1.13</v>
      </c>
      <c r="S191" s="44" t="n">
        <v>1.25</v>
      </c>
      <c r="T191" s="37" t="n">
        <v>45</v>
      </c>
      <c r="U191" s="37" t="inlineStr">
        <is>
          <t>ASSUMED</t>
        </is>
      </c>
      <c r="V191" s="37" t="inlineStr">
        <is>
          <t>MS51528 covers matched-dash sizes only; Air-Way remains single source.</t>
        </is>
      </c>
      <c r="W191" s="37" t="inlineStr">
        <is>
          <t>BUILD</t>
        </is>
      </c>
      <c r="X191" s="37" t="inlineStr">
        <is>
          <t>Hex = Air-Way C4 column (per-part). Matched sizes in this topology corroborate the column.</t>
        </is>
      </c>
      <c r="Z191" s="45" t="inlineStr">
        <is>
          <t>Carbon Steel</t>
        </is>
      </c>
      <c r="AA191" s="45" t="inlineStr">
        <is>
          <t>ASTM A108 12L14</t>
        </is>
      </c>
      <c r="AB191" s="45" t="inlineStr">
        <is>
          <t>Trivalent Cr3 Zinc</t>
        </is>
      </c>
      <c r="AC191" s="45" t="inlineStr">
        <is>
          <t>ASTM B633 Type V/VI</t>
        </is>
      </c>
      <c r="AD191" s="46" t="n">
        <v>3500</v>
      </c>
      <c r="AE191" s="46" t="inlineStr">
        <is>
          <t>generic SAE table @ dash -12 (governing end)</t>
        </is>
      </c>
      <c r="AF191" s="46" t="n">
        <v>-65</v>
      </c>
      <c r="AG191" s="46" t="n">
        <v>400</v>
      </c>
      <c r="AH191" s="37" t="inlineStr">
        <is>
          <t>Ham-Let + hoseandfittings (pressure); Parker Cat.4300 (material); ASTM B633 (finish); see StandardsData</t>
        </is>
      </c>
    </row>
    <row r="192" ht="15" customHeight="1" s="35">
      <c r="A192" s="37" t="inlineStr">
        <is>
          <t>6802-12-08-NWO</t>
        </is>
      </c>
      <c r="B192" s="37" t="inlineStr">
        <is>
          <t>6802-12-8 NWO</t>
        </is>
      </c>
      <c r="C192" s="37" t="inlineStr">
        <is>
          <t>6802</t>
        </is>
      </c>
      <c r="D192" s="37" t="n">
        <v>158</v>
      </c>
      <c r="E192" s="37" t="inlineStr">
        <is>
          <t>45 deg</t>
        </is>
      </c>
      <c r="F192" s="37" t="inlineStr">
        <is>
          <t>45 deg Straight Thread Elbow, 1 1/16-12 x 3/4-16</t>
        </is>
      </c>
      <c r="G192" s="37" t="inlineStr">
        <is>
          <t>3/4-16</t>
        </is>
      </c>
      <c r="H192" s="37" t="inlineStr">
        <is>
          <t>1 1/16-12</t>
        </is>
      </c>
      <c r="I192" s="37" t="n"/>
      <c r="J192" s="37" t="inlineStr">
        <is>
          <t>SAE J1926-1</t>
        </is>
      </c>
      <c r="K192" s="37" t="inlineStr">
        <is>
          <t>SAE J514-1</t>
        </is>
      </c>
      <c r="L192" s="37" t="n">
        <v>1.28</v>
      </c>
      <c r="M192" s="37" t="n">
        <v>1.41</v>
      </c>
      <c r="N192" s="37" t="n">
        <v>0.88</v>
      </c>
      <c r="O192" s="37" t="n">
        <v>1.13</v>
      </c>
      <c r="P192" s="37" t="n">
        <v>0.61</v>
      </c>
      <c r="Q192" s="37" t="n">
        <v>0.39</v>
      </c>
      <c r="R192" s="44" t="n">
        <v>1.13</v>
      </c>
      <c r="S192" s="44" t="n">
        <v>0.88</v>
      </c>
      <c r="T192" s="37" t="n">
        <v>45</v>
      </c>
      <c r="U192" s="37" t="inlineStr">
        <is>
          <t>ASSUMED</t>
        </is>
      </c>
      <c r="V192" s="37" t="inlineStr">
        <is>
          <t>MS51528 covers matched-dash sizes only; Air-Way remains single source.</t>
        </is>
      </c>
      <c r="W192" s="37" t="inlineStr">
        <is>
          <t>BUILD</t>
        </is>
      </c>
      <c r="X192" s="37" t="inlineStr">
        <is>
          <t>Hex = Air-Way C4 column (per-part). Matched sizes in this topology corroborate the column.</t>
        </is>
      </c>
      <c r="Z192" s="45" t="inlineStr">
        <is>
          <t>Carbon Steel</t>
        </is>
      </c>
      <c r="AA192" s="45" t="inlineStr">
        <is>
          <t>ASTM A108 12L14</t>
        </is>
      </c>
      <c r="AB192" s="45" t="inlineStr">
        <is>
          <t>Trivalent Cr3 Zinc</t>
        </is>
      </c>
      <c r="AC192" s="45" t="inlineStr">
        <is>
          <t>ASTM B633 Type V/VI</t>
        </is>
      </c>
      <c r="AD192" s="46" t="n">
        <v>3500</v>
      </c>
      <c r="AE192" s="46" t="inlineStr">
        <is>
          <t>generic SAE table @ dash -12 (governing end)</t>
        </is>
      </c>
      <c r="AF192" s="46" t="n">
        <v>-65</v>
      </c>
      <c r="AG192" s="46" t="n">
        <v>400</v>
      </c>
      <c r="AH192" s="37" t="inlineStr">
        <is>
          <t>Ham-Let + hoseandfittings (pressure); Parker Cat.4300 (material); ASTM B633 (finish); see StandardsData</t>
        </is>
      </c>
    </row>
    <row r="193" ht="15" customHeight="1" s="35">
      <c r="A193" s="37" t="inlineStr">
        <is>
          <t>6802-12-10-NWO-FG</t>
        </is>
      </c>
      <c r="B193" s="37" t="inlineStr">
        <is>
          <t>6802-12-10 NWO-FG</t>
        </is>
      </c>
      <c r="C193" s="37" t="inlineStr">
        <is>
          <t>6802</t>
        </is>
      </c>
      <c r="D193" s="37" t="n">
        <v>158</v>
      </c>
      <c r="E193" s="37" t="inlineStr">
        <is>
          <t>45 deg</t>
        </is>
      </c>
      <c r="F193" s="37" t="inlineStr">
        <is>
          <t>45 deg Straight Thread Elbow, 1 1/16-12 x 7/8-14</t>
        </is>
      </c>
      <c r="G193" s="37" t="inlineStr">
        <is>
          <t>7/8-14</t>
        </is>
      </c>
      <c r="H193" s="37" t="inlineStr">
        <is>
          <t>1 1/16-12</t>
        </is>
      </c>
      <c r="I193" s="37" t="n"/>
      <c r="J193" s="37" t="inlineStr">
        <is>
          <t>SAE J1926-1</t>
        </is>
      </c>
      <c r="K193" s="37" t="inlineStr">
        <is>
          <t>SAE J514-1</t>
        </is>
      </c>
      <c r="L193" s="37" t="n">
        <v>1.28</v>
      </c>
      <c r="M193" s="37" t="n">
        <v>1.57</v>
      </c>
      <c r="N193" s="37" t="n">
        <v>1</v>
      </c>
      <c r="O193" s="37" t="n">
        <v>1.06</v>
      </c>
      <c r="P193" s="37" t="n">
        <v>0.61</v>
      </c>
      <c r="Q193" s="37" t="n">
        <v>0.48</v>
      </c>
      <c r="R193" s="44" t="n">
        <v>1.06</v>
      </c>
      <c r="S193" s="44" t="n">
        <v>1</v>
      </c>
      <c r="T193" s="37" t="n">
        <v>45</v>
      </c>
      <c r="U193" s="37" t="inlineStr">
        <is>
          <t>ASSUMED</t>
        </is>
      </c>
      <c r="V193" s="37" t="inlineStr">
        <is>
          <t>MS51528 covers matched-dash sizes only; Air-Way remains single source.</t>
        </is>
      </c>
      <c r="W193" s="37" t="inlineStr">
        <is>
          <t>BUILD</t>
        </is>
      </c>
      <c r="X193" s="37" t="inlineStr">
        <is>
          <t>Hex = Air-Way C4 column (per-part). Matched sizes in this topology corroborate the column.</t>
        </is>
      </c>
      <c r="Z193" s="45" t="inlineStr">
        <is>
          <t>Carbon Steel</t>
        </is>
      </c>
      <c r="AA193" s="45" t="inlineStr">
        <is>
          <t>ASTM A108 12L14</t>
        </is>
      </c>
      <c r="AB193" s="45" t="inlineStr">
        <is>
          <t>Trivalent Cr3 Zinc</t>
        </is>
      </c>
      <c r="AC193" s="45" t="inlineStr">
        <is>
          <t>ASTM B633 Type V/VI</t>
        </is>
      </c>
      <c r="AD193" s="46" t="n">
        <v>3500</v>
      </c>
      <c r="AE193" s="46" t="inlineStr">
        <is>
          <t>generic SAE table @ dash -12 (governing end)</t>
        </is>
      </c>
      <c r="AF193" s="46" t="n">
        <v>-65</v>
      </c>
      <c r="AG193" s="46" t="n">
        <v>400</v>
      </c>
      <c r="AH193" s="37" t="inlineStr">
        <is>
          <t>Ham-Let + hoseandfittings (pressure); Parker Cat.4300 (material); ASTM B633 (finish); see StandardsData</t>
        </is>
      </c>
    </row>
    <row r="194" ht="15" customHeight="1" s="35">
      <c r="A194" s="37" t="inlineStr">
        <is>
          <t>6802-12-10-NWO</t>
        </is>
      </c>
      <c r="B194" s="37" t="inlineStr">
        <is>
          <t>6802-12-10 NWO</t>
        </is>
      </c>
      <c r="C194" s="37" t="inlineStr">
        <is>
          <t>6802</t>
        </is>
      </c>
      <c r="D194" s="37" t="n">
        <v>158</v>
      </c>
      <c r="E194" s="37" t="inlineStr">
        <is>
          <t>45 deg</t>
        </is>
      </c>
      <c r="F194" s="37" t="inlineStr">
        <is>
          <t>45 deg Straight Thread Elbow, 1 1/16-12 x 7/8-14</t>
        </is>
      </c>
      <c r="G194" s="37" t="inlineStr">
        <is>
          <t>7/8-14</t>
        </is>
      </c>
      <c r="H194" s="37" t="inlineStr">
        <is>
          <t>1 1/16-12</t>
        </is>
      </c>
      <c r="I194" s="37" t="n"/>
      <c r="J194" s="37" t="inlineStr">
        <is>
          <t>SAE J1926-1</t>
        </is>
      </c>
      <c r="K194" s="37" t="inlineStr">
        <is>
          <t>SAE J514-1</t>
        </is>
      </c>
      <c r="L194" s="37" t="n">
        <v>1.28</v>
      </c>
      <c r="M194" s="37" t="n">
        <v>1.57</v>
      </c>
      <c r="N194" s="37" t="n">
        <v>1</v>
      </c>
      <c r="O194" s="37" t="n">
        <v>1.13</v>
      </c>
      <c r="P194" s="37" t="n">
        <v>0.61</v>
      </c>
      <c r="Q194" s="37" t="n">
        <v>0.48</v>
      </c>
      <c r="R194" s="44" t="n">
        <v>1.13</v>
      </c>
      <c r="S194" s="44" t="n">
        <v>1</v>
      </c>
      <c r="T194" s="37" t="n">
        <v>45</v>
      </c>
      <c r="U194" s="37" t="inlineStr">
        <is>
          <t>ASSUMED</t>
        </is>
      </c>
      <c r="V194" s="37" t="inlineStr">
        <is>
          <t>MS51528 covers matched-dash sizes only; Air-Way remains single source.</t>
        </is>
      </c>
      <c r="W194" s="37" t="inlineStr">
        <is>
          <t>BUILD</t>
        </is>
      </c>
      <c r="X194" s="37" t="inlineStr">
        <is>
          <t>Hex = Air-Way C4 column (per-part). Matched sizes in this topology corroborate the column.</t>
        </is>
      </c>
      <c r="Z194" s="45" t="inlineStr">
        <is>
          <t>Carbon Steel</t>
        </is>
      </c>
      <c r="AA194" s="45" t="inlineStr">
        <is>
          <t>ASTM A108 12L14</t>
        </is>
      </c>
      <c r="AB194" s="45" t="inlineStr">
        <is>
          <t>Trivalent Cr3 Zinc</t>
        </is>
      </c>
      <c r="AC194" s="45" t="inlineStr">
        <is>
          <t>ASTM B633 Type V/VI</t>
        </is>
      </c>
      <c r="AD194" s="46" t="n">
        <v>3500</v>
      </c>
      <c r="AE194" s="46" t="inlineStr">
        <is>
          <t>generic SAE table @ dash -12 (governing end)</t>
        </is>
      </c>
      <c r="AF194" s="46" t="n">
        <v>-65</v>
      </c>
      <c r="AG194" s="46" t="n">
        <v>400</v>
      </c>
      <c r="AH194" s="37" t="inlineStr">
        <is>
          <t>Ham-Let + hoseandfittings (pressure); Parker Cat.4300 (material); ASTM B633 (finish); see StandardsData</t>
        </is>
      </c>
    </row>
    <row r="195" ht="15" customHeight="1" s="35">
      <c r="A195" s="37" t="inlineStr">
        <is>
          <t>6802-12-12-NWO-FG</t>
        </is>
      </c>
      <c r="B195" s="37" t="inlineStr">
        <is>
          <t>6802-12-12 NWO-FG</t>
        </is>
      </c>
      <c r="C195" s="37" t="inlineStr">
        <is>
          <t>6802</t>
        </is>
      </c>
      <c r="D195" s="37" t="n">
        <v>158</v>
      </c>
      <c r="E195" s="37" t="inlineStr">
        <is>
          <t>45 deg</t>
        </is>
      </c>
      <c r="F195" s="37" t="inlineStr">
        <is>
          <t>45 deg Straight Thread Elbow, 1 1/16-12 x 1 1/16-12</t>
        </is>
      </c>
      <c r="G195" s="37" t="inlineStr">
        <is>
          <t>1 1/16-12</t>
        </is>
      </c>
      <c r="H195" s="37" t="inlineStr">
        <is>
          <t>1 1/16-12</t>
        </is>
      </c>
      <c r="I195" s="37" t="n"/>
      <c r="J195" s="37" t="inlineStr">
        <is>
          <t>SAE J1926-1</t>
        </is>
      </c>
      <c r="K195" s="37" t="inlineStr">
        <is>
          <t>SAE J514-1</t>
        </is>
      </c>
      <c r="L195" s="37" t="n">
        <v>1.28</v>
      </c>
      <c r="M195" s="37" t="n">
        <v>1.73</v>
      </c>
      <c r="N195" s="37" t="n">
        <v>1.25</v>
      </c>
      <c r="O195" s="37" t="n">
        <v>1.06</v>
      </c>
      <c r="P195" s="37" t="n">
        <v>0.61</v>
      </c>
      <c r="Q195" s="37" t="n">
        <v>0.61</v>
      </c>
      <c r="R195" s="45" t="n">
        <v>1.06</v>
      </c>
      <c r="S195" s="45" t="n">
        <v>1.25</v>
      </c>
      <c r="T195" s="37" t="n">
        <v>45</v>
      </c>
      <c r="U195" s="37" t="inlineStr">
        <is>
          <t>VERIFIED</t>
        </is>
      </c>
      <c r="V195" s="37" t="inlineStr">
        <is>
          <t>MS51528 cross-check 2026-09-04: threads, both legs, both bores AGREE.</t>
        </is>
      </c>
      <c r="W195" s="37" t="inlineStr">
        <is>
          <t>BUILD</t>
        </is>
      </c>
      <c r="X195" s="37" t="inlineStr">
        <is>
          <t>Hex = Air-Way C4 column, CONFIRMED vs PressureConnections/Purvis.</t>
        </is>
      </c>
      <c r="Z195" s="45" t="inlineStr">
        <is>
          <t>Carbon Steel</t>
        </is>
      </c>
      <c r="AA195" s="45" t="inlineStr">
        <is>
          <t>ASTM A108 12L14</t>
        </is>
      </c>
      <c r="AB195" s="45" t="inlineStr">
        <is>
          <t>Trivalent Cr3 Zinc</t>
        </is>
      </c>
      <c r="AC195" s="45" t="inlineStr">
        <is>
          <t>ASTM B633 Type V/VI</t>
        </is>
      </c>
      <c r="AD195" s="46" t="n">
        <v>3500</v>
      </c>
      <c r="AE195" s="46" t="inlineStr">
        <is>
          <t>generic SAE table @ dash -12 (governing end)</t>
        </is>
      </c>
      <c r="AF195" s="46" t="n">
        <v>-65</v>
      </c>
      <c r="AG195" s="46" t="n">
        <v>400</v>
      </c>
      <c r="AH195" s="37" t="inlineStr">
        <is>
          <t>Ham-Let + hoseandfittings (pressure); Parker Cat.4300 (material); ASTM B633 (finish); see StandardsData</t>
        </is>
      </c>
    </row>
    <row r="196" ht="15" customHeight="1" s="35">
      <c r="A196" s="37" t="inlineStr">
        <is>
          <t>6802-12-12-NWO</t>
        </is>
      </c>
      <c r="B196" s="37" t="inlineStr">
        <is>
          <t>6802-12-12 NWO</t>
        </is>
      </c>
      <c r="C196" s="37" t="inlineStr">
        <is>
          <t>6802</t>
        </is>
      </c>
      <c r="D196" s="37" t="n">
        <v>158</v>
      </c>
      <c r="E196" s="37" t="inlineStr">
        <is>
          <t>45 deg</t>
        </is>
      </c>
      <c r="F196" s="37" t="inlineStr">
        <is>
          <t>45 deg Straight Thread Elbow, 1 1/16-12 x 1 1/16-12</t>
        </is>
      </c>
      <c r="G196" s="37" t="inlineStr">
        <is>
          <t>1 1/16-12</t>
        </is>
      </c>
      <c r="H196" s="37" t="inlineStr">
        <is>
          <t>1 1/16-12</t>
        </is>
      </c>
      <c r="I196" s="37" t="n"/>
      <c r="J196" s="37" t="inlineStr">
        <is>
          <t>SAE J1926-1</t>
        </is>
      </c>
      <c r="K196" s="37" t="inlineStr">
        <is>
          <t>SAE J514-1</t>
        </is>
      </c>
      <c r="L196" s="37" t="n">
        <v>1.28</v>
      </c>
      <c r="M196" s="37" t="n">
        <v>1.73</v>
      </c>
      <c r="N196" s="37" t="n">
        <v>1.25</v>
      </c>
      <c r="O196" s="37" t="n">
        <v>1.13</v>
      </c>
      <c r="P196" s="37" t="n">
        <v>0.61</v>
      </c>
      <c r="Q196" s="37" t="n">
        <v>0.61</v>
      </c>
      <c r="R196" s="45" t="n">
        <v>1.13</v>
      </c>
      <c r="S196" s="45" t="n">
        <v>1.25</v>
      </c>
      <c r="T196" s="37" t="n">
        <v>45</v>
      </c>
      <c r="U196" s="37" t="inlineStr">
        <is>
          <t>VERIFIED</t>
        </is>
      </c>
      <c r="V196" s="37" t="inlineStr">
        <is>
          <t>MS51528 cross-check 2026-09-04: threads, both legs, both bores AGREE.</t>
        </is>
      </c>
      <c r="W196" s="37" t="inlineStr">
        <is>
          <t>BUILD</t>
        </is>
      </c>
      <c r="X196" s="37" t="inlineStr">
        <is>
          <t>Hex = Air-Way C4 column, CONFIRMED vs PressureConnections/Purvis.</t>
        </is>
      </c>
      <c r="Z196" s="45" t="inlineStr">
        <is>
          <t>Carbon Steel</t>
        </is>
      </c>
      <c r="AA196" s="45" t="inlineStr">
        <is>
          <t>ASTM A108 12L14</t>
        </is>
      </c>
      <c r="AB196" s="45" t="inlineStr">
        <is>
          <t>Trivalent Cr3 Zinc</t>
        </is>
      </c>
      <c r="AC196" s="45" t="inlineStr">
        <is>
          <t>ASTM B633 Type V/VI</t>
        </is>
      </c>
      <c r="AD196" s="46" t="n">
        <v>3500</v>
      </c>
      <c r="AE196" s="46" t="inlineStr">
        <is>
          <t>generic SAE table @ dash -12 (governing end)</t>
        </is>
      </c>
      <c r="AF196" s="46" t="n">
        <v>-65</v>
      </c>
      <c r="AG196" s="46" t="n">
        <v>400</v>
      </c>
      <c r="AH196" s="37" t="inlineStr">
        <is>
          <t>Ham-Let + hoseandfittings (pressure); Parker Cat.4300 (material); ASTM B633 (finish); see StandardsData</t>
        </is>
      </c>
    </row>
    <row r="197" ht="15" customHeight="1" s="35">
      <c r="A197" s="37" t="inlineStr">
        <is>
          <t>6802-12-14-NWO</t>
        </is>
      </c>
      <c r="B197" s="37" t="inlineStr">
        <is>
          <t>6802-12-14 NWO</t>
        </is>
      </c>
      <c r="C197" s="37" t="inlineStr">
        <is>
          <t>6802</t>
        </is>
      </c>
      <c r="D197" s="37" t="n">
        <v>158</v>
      </c>
      <c r="E197" s="37" t="inlineStr">
        <is>
          <t>45 deg</t>
        </is>
      </c>
      <c r="F197" s="37" t="inlineStr">
        <is>
          <t>45 deg Straight Thread Elbow, 1 1/16-12 x 1 3/16-12</t>
        </is>
      </c>
      <c r="G197" s="37" t="inlineStr">
        <is>
          <t>1 3/16-12</t>
        </is>
      </c>
      <c r="H197" s="37" t="inlineStr">
        <is>
          <t>1 1/16-12</t>
        </is>
      </c>
      <c r="I197" s="37" t="n"/>
      <c r="J197" s="37" t="inlineStr">
        <is>
          <t>SAE J1926-1</t>
        </is>
      </c>
      <c r="K197" s="37" t="inlineStr">
        <is>
          <t>SAE J514-1</t>
        </is>
      </c>
      <c r="L197" s="37" t="n">
        <v>1.38</v>
      </c>
      <c r="M197" s="37" t="n">
        <v>1.86</v>
      </c>
      <c r="N197" s="37" t="n">
        <v>1.38</v>
      </c>
      <c r="O197" s="37" t="n">
        <v>1.25</v>
      </c>
      <c r="P197" s="37" t="n">
        <v>0.61</v>
      </c>
      <c r="Q197" s="37" t="n">
        <v>0.72</v>
      </c>
      <c r="R197" s="44" t="n">
        <v>1.25</v>
      </c>
      <c r="S197" s="44" t="n">
        <v>1.38</v>
      </c>
      <c r="T197" s="37" t="n">
        <v>45</v>
      </c>
      <c r="U197" s="37" t="inlineStr">
        <is>
          <t>ASSUMED</t>
        </is>
      </c>
      <c r="V197" s="37" t="inlineStr">
        <is>
          <t>MS51528 covers matched-dash sizes only; Air-Way remains single source.</t>
        </is>
      </c>
      <c r="W197" s="37" t="inlineStr">
        <is>
          <t>BUILD</t>
        </is>
      </c>
      <c r="X197" s="37" t="inlineStr">
        <is>
          <t>Hex = Air-Way C4 column (per-part). Matched sizes in this topology corroborate the column.</t>
        </is>
      </c>
      <c r="Z197" s="45" t="inlineStr">
        <is>
          <t>Carbon Steel</t>
        </is>
      </c>
      <c r="AA197" s="45" t="inlineStr">
        <is>
          <t>ASTM A108 12L14</t>
        </is>
      </c>
      <c r="AB197" s="45" t="inlineStr">
        <is>
          <t>Trivalent Cr3 Zinc</t>
        </is>
      </c>
      <c r="AC197" s="45" t="inlineStr">
        <is>
          <t>ASTM B633 Type V/VI</t>
        </is>
      </c>
      <c r="AD197" s="46" t="n">
        <v>3000</v>
      </c>
      <c r="AE197" s="46" t="inlineStr">
        <is>
          <t>generic SAE table @ dash -14 (governing end)</t>
        </is>
      </c>
      <c r="AF197" s="46" t="n">
        <v>-65</v>
      </c>
      <c r="AG197" s="46" t="n">
        <v>400</v>
      </c>
      <c r="AH197" s="37" t="inlineStr">
        <is>
          <t>Ham-Let + hoseandfittings (pressure); Parker Cat.4300 (material); ASTM B633 (finish); see StandardsData</t>
        </is>
      </c>
    </row>
    <row r="198" ht="15" customHeight="1" s="35">
      <c r="A198" s="37" t="inlineStr">
        <is>
          <t>6802-12-16-NWO-FG</t>
        </is>
      </c>
      <c r="B198" s="37" t="inlineStr">
        <is>
          <t>6802-12-16 NWO-FG</t>
        </is>
      </c>
      <c r="C198" s="37" t="inlineStr">
        <is>
          <t>6802</t>
        </is>
      </c>
      <c r="D198" s="37" t="n">
        <v>158</v>
      </c>
      <c r="E198" s="37" t="inlineStr">
        <is>
          <t>45 deg</t>
        </is>
      </c>
      <c r="F198" s="37" t="inlineStr">
        <is>
          <t>45 deg Straight Thread Elbow, 1 1/16-12 x 1 5/16-12</t>
        </is>
      </c>
      <c r="G198" s="37" t="inlineStr">
        <is>
          <t>1 5/16-12</t>
        </is>
      </c>
      <c r="H198" s="37" t="inlineStr">
        <is>
          <t>1 1/16-12</t>
        </is>
      </c>
      <c r="I198" s="37" t="n"/>
      <c r="J198" s="37" t="inlineStr">
        <is>
          <t>SAE J1926-1</t>
        </is>
      </c>
      <c r="K198" s="37" t="inlineStr">
        <is>
          <t>SAE J514-1</t>
        </is>
      </c>
      <c r="L198" s="37" t="n">
        <v>1.42</v>
      </c>
      <c r="M198" s="37" t="n">
        <v>1.86</v>
      </c>
      <c r="N198" s="37" t="n">
        <v>1.5</v>
      </c>
      <c r="O198" s="37" t="n">
        <v>1.31</v>
      </c>
      <c r="P198" s="37" t="n">
        <v>0.61</v>
      </c>
      <c r="Q198" s="37" t="n">
        <v>0.84</v>
      </c>
      <c r="R198" s="44" t="n">
        <v>1.31</v>
      </c>
      <c r="S198" s="44" t="n">
        <v>1.5</v>
      </c>
      <c r="T198" s="37" t="n">
        <v>45</v>
      </c>
      <c r="U198" s="37" t="inlineStr">
        <is>
          <t>ASSUMED</t>
        </is>
      </c>
      <c r="V198" s="37" t="inlineStr">
        <is>
          <t>MS51528 covers matched-dash sizes only; Air-Way remains single source.</t>
        </is>
      </c>
      <c r="W198" s="37" t="inlineStr">
        <is>
          <t>BUILD</t>
        </is>
      </c>
      <c r="X198" s="37" t="inlineStr">
        <is>
          <t>Hex = Air-Way C4 column (per-part). Matched sizes in this topology corroborate the column.</t>
        </is>
      </c>
      <c r="Z198" s="45" t="inlineStr">
        <is>
          <t>Carbon Steel</t>
        </is>
      </c>
      <c r="AA198" s="45" t="inlineStr">
        <is>
          <t>ASTM A108 12L14</t>
        </is>
      </c>
      <c r="AB198" s="45" t="inlineStr">
        <is>
          <t>Trivalent Cr3 Zinc</t>
        </is>
      </c>
      <c r="AC198" s="45" t="inlineStr">
        <is>
          <t>ASTM B633 Type V/VI</t>
        </is>
      </c>
      <c r="AD198" s="46" t="n">
        <v>3000</v>
      </c>
      <c r="AE198" s="46" t="inlineStr">
        <is>
          <t>generic SAE table @ dash -16 (governing end)</t>
        </is>
      </c>
      <c r="AF198" s="46" t="n">
        <v>-65</v>
      </c>
      <c r="AG198" s="46" t="n">
        <v>400</v>
      </c>
      <c r="AH198" s="37" t="inlineStr">
        <is>
          <t>Ham-Let + hoseandfittings (pressure); Parker Cat.4300 (material); ASTM B633 (finish); see StandardsData</t>
        </is>
      </c>
    </row>
    <row r="199" ht="15" customHeight="1" s="35">
      <c r="A199" s="37" t="inlineStr">
        <is>
          <t>6802-12-16-NWO</t>
        </is>
      </c>
      <c r="B199" s="37" t="inlineStr">
        <is>
          <t>6802-12-16 NWO</t>
        </is>
      </c>
      <c r="C199" s="37" t="inlineStr">
        <is>
          <t>6802</t>
        </is>
      </c>
      <c r="D199" s="37" t="n">
        <v>158</v>
      </c>
      <c r="E199" s="37" t="inlineStr">
        <is>
          <t>45 deg</t>
        </is>
      </c>
      <c r="F199" s="37" t="inlineStr">
        <is>
          <t>45 deg Straight Thread Elbow, 1 1/16-12 x 1 5/16-12</t>
        </is>
      </c>
      <c r="G199" s="37" t="inlineStr">
        <is>
          <t>1 5/16-12</t>
        </is>
      </c>
      <c r="H199" s="37" t="inlineStr">
        <is>
          <t>1 1/16-12</t>
        </is>
      </c>
      <c r="I199" s="37" t="n"/>
      <c r="J199" s="37" t="inlineStr">
        <is>
          <t>SAE J1926-1</t>
        </is>
      </c>
      <c r="K199" s="37" t="inlineStr">
        <is>
          <t>SAE J514-1</t>
        </is>
      </c>
      <c r="L199" s="37" t="n">
        <v>1.45</v>
      </c>
      <c r="M199" s="37" t="n">
        <v>1.86</v>
      </c>
      <c r="N199" s="37" t="n">
        <v>1.5</v>
      </c>
      <c r="O199" s="37" t="n">
        <v>1.38</v>
      </c>
      <c r="P199" s="37" t="n">
        <v>0.61</v>
      </c>
      <c r="Q199" s="37" t="n">
        <v>0.84</v>
      </c>
      <c r="R199" s="44" t="n">
        <v>1.38</v>
      </c>
      <c r="S199" s="44" t="n">
        <v>1.5</v>
      </c>
      <c r="T199" s="37" t="n">
        <v>45</v>
      </c>
      <c r="U199" s="37" t="inlineStr">
        <is>
          <t>ASSUMED</t>
        </is>
      </c>
      <c r="V199" s="37" t="inlineStr">
        <is>
          <t>MS51528 covers matched-dash sizes only; Air-Way remains single source.</t>
        </is>
      </c>
      <c r="W199" s="37" t="inlineStr">
        <is>
          <t>BUILD</t>
        </is>
      </c>
      <c r="X199" s="37" t="inlineStr">
        <is>
          <t>Hex = Air-Way C4 column (per-part). Matched sizes in this topology corroborate the column.</t>
        </is>
      </c>
      <c r="Z199" s="45" t="inlineStr">
        <is>
          <t>Carbon Steel</t>
        </is>
      </c>
      <c r="AA199" s="45" t="inlineStr">
        <is>
          <t>ASTM A108 12L14</t>
        </is>
      </c>
      <c r="AB199" s="45" t="inlineStr">
        <is>
          <t>Trivalent Cr3 Zinc</t>
        </is>
      </c>
      <c r="AC199" s="45" t="inlineStr">
        <is>
          <t>ASTM B633 Type V/VI</t>
        </is>
      </c>
      <c r="AD199" s="46" t="n">
        <v>3000</v>
      </c>
      <c r="AE199" s="46" t="inlineStr">
        <is>
          <t>generic SAE table @ dash -16 (governing end)</t>
        </is>
      </c>
      <c r="AF199" s="46" t="n">
        <v>-65</v>
      </c>
      <c r="AG199" s="46" t="n">
        <v>400</v>
      </c>
      <c r="AH199" s="37" t="inlineStr">
        <is>
          <t>Ham-Let + hoseandfittings (pressure); Parker Cat.4300 (material); ASTM B633 (finish); see StandardsData</t>
        </is>
      </c>
    </row>
    <row r="200" ht="15" customHeight="1" s="35">
      <c r="A200" s="37" t="inlineStr">
        <is>
          <t>6802-14-14-NWO</t>
        </is>
      </c>
      <c r="B200" s="37" t="inlineStr">
        <is>
          <t>6802-14-14 NWO</t>
        </is>
      </c>
      <c r="C200" s="37" t="inlineStr">
        <is>
          <t>6802</t>
        </is>
      </c>
      <c r="D200" s="37" t="n">
        <v>158</v>
      </c>
      <c r="E200" s="37" t="inlineStr">
        <is>
          <t>45 deg</t>
        </is>
      </c>
      <c r="F200" s="37" t="inlineStr">
        <is>
          <t>45 deg Straight Thread Elbow, 1 3/16-12 x 1 3/16-12</t>
        </is>
      </c>
      <c r="G200" s="37" t="inlineStr">
        <is>
          <t>1 3/16-12</t>
        </is>
      </c>
      <c r="H200" s="37" t="inlineStr">
        <is>
          <t>1 3/16-12</t>
        </is>
      </c>
      <c r="I200" s="37" t="n"/>
      <c r="J200" s="37" t="inlineStr">
        <is>
          <t>SAE J1926-1</t>
        </is>
      </c>
      <c r="K200" s="37" t="inlineStr">
        <is>
          <t>SAE J514-1</t>
        </is>
      </c>
      <c r="L200" s="37" t="n">
        <v>1.45</v>
      </c>
      <c r="M200" s="37" t="n">
        <v>1.86</v>
      </c>
      <c r="N200" s="37" t="n">
        <v>1.38</v>
      </c>
      <c r="O200" s="37" t="n">
        <v>1.25</v>
      </c>
      <c r="P200" s="37" t="n">
        <v>0.72</v>
      </c>
      <c r="Q200" s="37" t="n">
        <v>0.72</v>
      </c>
      <c r="R200" s="45" t="n">
        <v>1.25</v>
      </c>
      <c r="S200" s="45" t="n">
        <v>1.38</v>
      </c>
      <c r="T200" s="37" t="n">
        <v>45</v>
      </c>
      <c r="U200" s="37" t="inlineStr">
        <is>
          <t>VERIFIED</t>
        </is>
      </c>
      <c r="V200" s="37" t="inlineStr">
        <is>
          <t>RESOLVED 2-1: legs 1.45/1.86 (Air-Way+Brennan drawing; MS51528 1.39/1.80 outvoted). 2026-09-05 Brennan product-drawing tiebreak</t>
        </is>
      </c>
      <c r="W200" s="37" t="inlineStr">
        <is>
          <t>BUILD</t>
        </is>
      </c>
      <c r="X200" s="37" t="inlineStr">
        <is>
          <t>Hex = Air-Way C4 column, CONFIRMED vs PressureConnections/Purvis. | MS51528 DIVERGES on legA,legB (AW M2=1.45,M8=1.86,D1=0.72,D2=0.72 vs MS M2=1.39,M3=1.8,D=0.718). Blocked pending decision.</t>
        </is>
      </c>
      <c r="Z200" s="45" t="inlineStr">
        <is>
          <t>Carbon Steel</t>
        </is>
      </c>
      <c r="AA200" s="45" t="inlineStr">
        <is>
          <t>ASTM A108 12L14</t>
        </is>
      </c>
      <c r="AB200" s="45" t="inlineStr">
        <is>
          <t>Trivalent Cr3 Zinc</t>
        </is>
      </c>
      <c r="AC200" s="45" t="inlineStr">
        <is>
          <t>ASTM B633 Type V/VI</t>
        </is>
      </c>
      <c r="AD200" s="46" t="n">
        <v>3000</v>
      </c>
      <c r="AE200" s="46" t="inlineStr">
        <is>
          <t>generic SAE table @ dash -14 (governing end)</t>
        </is>
      </c>
      <c r="AF200" s="46" t="n">
        <v>-65</v>
      </c>
      <c r="AG200" s="46" t="n">
        <v>400</v>
      </c>
      <c r="AH200" s="37" t="inlineStr">
        <is>
          <t>Ham-Let + hoseandfittings (pressure); Parker Cat.4300 (material); ASTM B633 (finish); see StandardsData</t>
        </is>
      </c>
    </row>
    <row r="201" ht="15" customHeight="1" s="35">
      <c r="A201" s="37" t="inlineStr">
        <is>
          <t>6802-16-12-NWO-FG</t>
        </is>
      </c>
      <c r="B201" s="37" t="inlineStr">
        <is>
          <t>6802-16-12 NWO-FG</t>
        </is>
      </c>
      <c r="C201" s="37" t="inlineStr">
        <is>
          <t>6802</t>
        </is>
      </c>
      <c r="D201" s="37" t="n">
        <v>158</v>
      </c>
      <c r="E201" s="37" t="inlineStr">
        <is>
          <t>45 deg</t>
        </is>
      </c>
      <c r="F201" s="37" t="inlineStr">
        <is>
          <t>45 deg Straight Thread Elbow, 1 5/16-12 x 1 1/16-12</t>
        </is>
      </c>
      <c r="G201" s="37" t="inlineStr">
        <is>
          <t>1 1/16-12</t>
        </is>
      </c>
      <c r="H201" s="37" t="inlineStr">
        <is>
          <t>1 5/16-12</t>
        </is>
      </c>
      <c r="I201" s="37" t="n"/>
      <c r="J201" s="37" t="inlineStr">
        <is>
          <t>SAE J1926-1</t>
        </is>
      </c>
      <c r="K201" s="37" t="inlineStr">
        <is>
          <t>SAE J514-1</t>
        </is>
      </c>
      <c r="L201" s="37" t="n">
        <v>1.47</v>
      </c>
      <c r="M201" s="37" t="n">
        <v>1.86</v>
      </c>
      <c r="N201" s="37" t="n">
        <v>1.25</v>
      </c>
      <c r="O201" s="37" t="n">
        <v>1.31</v>
      </c>
      <c r="P201" s="37" t="n">
        <v>0.84</v>
      </c>
      <c r="Q201" s="37" t="n">
        <v>0.61</v>
      </c>
      <c r="R201" s="44" t="n">
        <v>1.31</v>
      </c>
      <c r="S201" s="44" t="n">
        <v>1.25</v>
      </c>
      <c r="T201" s="37" t="n">
        <v>45</v>
      </c>
      <c r="U201" s="37" t="inlineStr">
        <is>
          <t>ASSUMED</t>
        </is>
      </c>
      <c r="V201" s="37" t="inlineStr">
        <is>
          <t>MS51528 covers matched-dash sizes only; Air-Way remains single source.</t>
        </is>
      </c>
      <c r="W201" s="37" t="inlineStr">
        <is>
          <t>BUILD</t>
        </is>
      </c>
      <c r="X201" s="37" t="inlineStr">
        <is>
          <t>Hex = Air-Way C4 column (per-part). Matched sizes in this topology corroborate the column.</t>
        </is>
      </c>
      <c r="Z201" s="45" t="inlineStr">
        <is>
          <t>Carbon Steel</t>
        </is>
      </c>
      <c r="AA201" s="45" t="inlineStr">
        <is>
          <t>ASTM A108 12L14</t>
        </is>
      </c>
      <c r="AB201" s="45" t="inlineStr">
        <is>
          <t>Trivalent Cr3 Zinc</t>
        </is>
      </c>
      <c r="AC201" s="45" t="inlineStr">
        <is>
          <t>ASTM B633 Type V/VI</t>
        </is>
      </c>
      <c r="AD201" s="46" t="n">
        <v>3000</v>
      </c>
      <c r="AE201" s="46" t="inlineStr">
        <is>
          <t>generic SAE table @ dash -16 (governing end)</t>
        </is>
      </c>
      <c r="AF201" s="46" t="n">
        <v>-65</v>
      </c>
      <c r="AG201" s="46" t="n">
        <v>400</v>
      </c>
      <c r="AH201" s="37" t="inlineStr">
        <is>
          <t>Ham-Let + hoseandfittings (pressure); Parker Cat.4300 (material); ASTM B633 (finish); see StandardsData</t>
        </is>
      </c>
    </row>
    <row r="202" ht="15" customHeight="1" s="35">
      <c r="A202" s="37" t="inlineStr">
        <is>
          <t>6802-16-12-NWO</t>
        </is>
      </c>
      <c r="B202" s="37" t="inlineStr">
        <is>
          <t>6802-16-12 NWO</t>
        </is>
      </c>
      <c r="C202" s="37" t="inlineStr">
        <is>
          <t>6802</t>
        </is>
      </c>
      <c r="D202" s="37" t="n">
        <v>158</v>
      </c>
      <c r="E202" s="37" t="inlineStr">
        <is>
          <t>45 deg</t>
        </is>
      </c>
      <c r="F202" s="37" t="inlineStr">
        <is>
          <t>45 deg Straight Thread Elbow, 1 5/16-12 x 1 1/16-12</t>
        </is>
      </c>
      <c r="G202" s="37" t="inlineStr">
        <is>
          <t>1 1/16-12</t>
        </is>
      </c>
      <c r="H202" s="37" t="inlineStr">
        <is>
          <t>1 5/16-12</t>
        </is>
      </c>
      <c r="I202" s="37" t="n"/>
      <c r="J202" s="37" t="inlineStr">
        <is>
          <t>SAE J1926-1</t>
        </is>
      </c>
      <c r="K202" s="37" t="inlineStr">
        <is>
          <t>SAE J514-1</t>
        </is>
      </c>
      <c r="L202" s="37" t="n">
        <v>1.47</v>
      </c>
      <c r="M202" s="37" t="n">
        <v>1.86</v>
      </c>
      <c r="N202" s="37" t="n">
        <v>1.25</v>
      </c>
      <c r="O202" s="37" t="n">
        <v>1.38</v>
      </c>
      <c r="P202" s="37" t="n">
        <v>0.84</v>
      </c>
      <c r="Q202" s="37" t="n">
        <v>0.61</v>
      </c>
      <c r="R202" s="44" t="n">
        <v>1.38</v>
      </c>
      <c r="S202" s="44" t="n">
        <v>1.25</v>
      </c>
      <c r="T202" s="37" t="n">
        <v>45</v>
      </c>
      <c r="U202" s="37" t="inlineStr">
        <is>
          <t>ASSUMED</t>
        </is>
      </c>
      <c r="V202" s="37" t="inlineStr">
        <is>
          <t>MS51528 covers matched-dash sizes only; Air-Way remains single source.</t>
        </is>
      </c>
      <c r="W202" s="37" t="inlineStr">
        <is>
          <t>BUILD</t>
        </is>
      </c>
      <c r="X202" s="37" t="inlineStr">
        <is>
          <t>Hex = Air-Way C4 column (per-part). Matched sizes in this topology corroborate the column.</t>
        </is>
      </c>
      <c r="Z202" s="45" t="inlineStr">
        <is>
          <t>Carbon Steel</t>
        </is>
      </c>
      <c r="AA202" s="45" t="inlineStr">
        <is>
          <t>ASTM A108 12L14</t>
        </is>
      </c>
      <c r="AB202" s="45" t="inlineStr">
        <is>
          <t>Trivalent Cr3 Zinc</t>
        </is>
      </c>
      <c r="AC202" s="45" t="inlineStr">
        <is>
          <t>ASTM B633 Type V/VI</t>
        </is>
      </c>
      <c r="AD202" s="46" t="n">
        <v>3000</v>
      </c>
      <c r="AE202" s="46" t="inlineStr">
        <is>
          <t>generic SAE table @ dash -16 (governing end)</t>
        </is>
      </c>
      <c r="AF202" s="46" t="n">
        <v>-65</v>
      </c>
      <c r="AG202" s="46" t="n">
        <v>400</v>
      </c>
      <c r="AH202" s="37" t="inlineStr">
        <is>
          <t>Ham-Let + hoseandfittings (pressure); Parker Cat.4300 (material); ASTM B633 (finish); see StandardsData</t>
        </is>
      </c>
    </row>
    <row r="203" ht="15" customHeight="1" s="35">
      <c r="A203" s="37" t="inlineStr">
        <is>
          <t>6802-16-16-NWO</t>
        </is>
      </c>
      <c r="B203" s="37" t="inlineStr">
        <is>
          <t>6802-16-16 NWO</t>
        </is>
      </c>
      <c r="C203" s="37" t="inlineStr">
        <is>
          <t>6802</t>
        </is>
      </c>
      <c r="D203" s="37" t="n">
        <v>158</v>
      </c>
      <c r="E203" s="37" t="inlineStr">
        <is>
          <t>45 deg</t>
        </is>
      </c>
      <c r="F203" s="37" t="inlineStr">
        <is>
          <t>45 deg Straight Thread Elbow, 1 5/16-12 x 1 5/16-12</t>
        </is>
      </c>
      <c r="G203" s="37" t="inlineStr">
        <is>
          <t>1 5/16-12</t>
        </is>
      </c>
      <c r="H203" s="37" t="inlineStr">
        <is>
          <t>1 5/16-12</t>
        </is>
      </c>
      <c r="I203" s="37" t="n"/>
      <c r="J203" s="37" t="inlineStr">
        <is>
          <t>SAE J1926-1</t>
        </is>
      </c>
      <c r="K203" s="37" t="inlineStr">
        <is>
          <t>SAE J514-1</t>
        </is>
      </c>
      <c r="L203" s="37" t="n">
        <v>1.47</v>
      </c>
      <c r="M203" s="37" t="n">
        <v>1.86</v>
      </c>
      <c r="N203" s="37" t="n">
        <v>1.5</v>
      </c>
      <c r="O203" s="37" t="n">
        <v>1.38</v>
      </c>
      <c r="P203" s="37" t="n">
        <v>0.84</v>
      </c>
      <c r="Q203" s="37" t="n">
        <v>0.84</v>
      </c>
      <c r="R203" s="45" t="n">
        <v>1.38</v>
      </c>
      <c r="S203" s="45" t="n">
        <v>1.5</v>
      </c>
      <c r="T203" s="37" t="n">
        <v>45</v>
      </c>
      <c r="U203" s="37" t="inlineStr">
        <is>
          <t>VERIFIED</t>
        </is>
      </c>
      <c r="V203" s="37" t="inlineStr">
        <is>
          <t>MS51528 cross-check 2026-09-04: threads, both legs, both bores AGREE.</t>
        </is>
      </c>
      <c r="W203" s="37" t="inlineStr">
        <is>
          <t>BUILD</t>
        </is>
      </c>
      <c r="X203" s="37" t="inlineStr">
        <is>
          <t>Hex = Air-Way C4 column, CONFIRMED vs PressureConnections/Purvis.</t>
        </is>
      </c>
      <c r="Z203" s="45" t="inlineStr">
        <is>
          <t>Carbon Steel</t>
        </is>
      </c>
      <c r="AA203" s="45" t="inlineStr">
        <is>
          <t>ASTM A108 12L14</t>
        </is>
      </c>
      <c r="AB203" s="45" t="inlineStr">
        <is>
          <t>Trivalent Cr3 Zinc</t>
        </is>
      </c>
      <c r="AC203" s="45" t="inlineStr">
        <is>
          <t>ASTM B633 Type V/VI</t>
        </is>
      </c>
      <c r="AD203" s="46" t="n">
        <v>3000</v>
      </c>
      <c r="AE203" s="46" t="inlineStr">
        <is>
          <t>generic SAE table @ dash -16 (governing end)</t>
        </is>
      </c>
      <c r="AF203" s="46" t="n">
        <v>-65</v>
      </c>
      <c r="AG203" s="46" t="n">
        <v>400</v>
      </c>
      <c r="AH203" s="37" t="inlineStr">
        <is>
          <t>Ham-Let + hoseandfittings (pressure); Parker Cat.4300 (material); ASTM B633 (finish); see StandardsData</t>
        </is>
      </c>
    </row>
    <row r="204" ht="15" customHeight="1" s="35">
      <c r="A204" s="37" t="inlineStr">
        <is>
          <t>6802-16-16-NWO-FG</t>
        </is>
      </c>
      <c r="B204" s="37" t="inlineStr">
        <is>
          <t>6802-16-16 NWO-FG</t>
        </is>
      </c>
      <c r="C204" s="37" t="inlineStr">
        <is>
          <t>6802</t>
        </is>
      </c>
      <c r="D204" s="37" t="n">
        <v>158</v>
      </c>
      <c r="E204" s="37" t="inlineStr">
        <is>
          <t>45 deg</t>
        </is>
      </c>
      <c r="F204" s="37" t="inlineStr">
        <is>
          <t>45 deg Straight Thread Elbow, 1 5/16-12 x 1 5/16-12</t>
        </is>
      </c>
      <c r="G204" s="37" t="inlineStr">
        <is>
          <t>1 5/16-12</t>
        </is>
      </c>
      <c r="H204" s="37" t="inlineStr">
        <is>
          <t>1 5/16-12</t>
        </is>
      </c>
      <c r="I204" s="37" t="n"/>
      <c r="J204" s="37" t="inlineStr">
        <is>
          <t>SAE J1926-1</t>
        </is>
      </c>
      <c r="K204" s="37" t="inlineStr">
        <is>
          <t>SAE J514-1</t>
        </is>
      </c>
      <c r="L204" s="37" t="n">
        <v>1.47</v>
      </c>
      <c r="M204" s="37" t="n">
        <v>1.86</v>
      </c>
      <c r="N204" s="37" t="n">
        <v>1.5</v>
      </c>
      <c r="O204" s="37" t="n">
        <v>1.31</v>
      </c>
      <c r="P204" s="37" t="n">
        <v>0.84</v>
      </c>
      <c r="Q204" s="37" t="n">
        <v>0.84</v>
      </c>
      <c r="R204" s="45" t="n">
        <v>1.31</v>
      </c>
      <c r="S204" s="45" t="n">
        <v>1.5</v>
      </c>
      <c r="T204" s="37" t="n">
        <v>45</v>
      </c>
      <c r="U204" s="37" t="inlineStr">
        <is>
          <t>VERIFIED</t>
        </is>
      </c>
      <c r="V204" s="37" t="inlineStr">
        <is>
          <t>MS51528 cross-check 2026-09-04: threads, both legs, both bores AGREE.</t>
        </is>
      </c>
      <c r="W204" s="37" t="inlineStr">
        <is>
          <t>BUILD</t>
        </is>
      </c>
      <c r="X204" s="37" t="inlineStr">
        <is>
          <t>Hex = Air-Way C4 column, CONFIRMED vs PressureConnections/Purvis.</t>
        </is>
      </c>
      <c r="Z204" s="45" t="inlineStr">
        <is>
          <t>Carbon Steel</t>
        </is>
      </c>
      <c r="AA204" s="45" t="inlineStr">
        <is>
          <t>ASTM A108 12L14</t>
        </is>
      </c>
      <c r="AB204" s="45" t="inlineStr">
        <is>
          <t>Trivalent Cr3 Zinc</t>
        </is>
      </c>
      <c r="AC204" s="45" t="inlineStr">
        <is>
          <t>ASTM B633 Type V/VI</t>
        </is>
      </c>
      <c r="AD204" s="46" t="n">
        <v>3000</v>
      </c>
      <c r="AE204" s="46" t="inlineStr">
        <is>
          <t>generic SAE table @ dash -16 (governing end)</t>
        </is>
      </c>
      <c r="AF204" s="46" t="n">
        <v>-65</v>
      </c>
      <c r="AG204" s="46" t="n">
        <v>400</v>
      </c>
      <c r="AH204" s="37" t="inlineStr">
        <is>
          <t>Ham-Let + hoseandfittings (pressure); Parker Cat.4300 (material); ASTM B633 (finish); see StandardsData</t>
        </is>
      </c>
    </row>
    <row r="205" ht="15" customHeight="1" s="35">
      <c r="A205" s="37" t="inlineStr">
        <is>
          <t>6802-16-20-NWO-FG</t>
        </is>
      </c>
      <c r="B205" s="37" t="inlineStr">
        <is>
          <t>6802-16-20 NWO-FG</t>
        </is>
      </c>
      <c r="C205" s="37" t="inlineStr">
        <is>
          <t>6802</t>
        </is>
      </c>
      <c r="D205" s="37" t="n">
        <v>158</v>
      </c>
      <c r="E205" s="37" t="inlineStr">
        <is>
          <t>45 deg</t>
        </is>
      </c>
      <c r="F205" s="37" t="inlineStr">
        <is>
          <t>45 deg Straight Thread Elbow, 1 5/16-12 x 1 5/8-12</t>
        </is>
      </c>
      <c r="G205" s="37" t="inlineStr">
        <is>
          <t>1 5/8-12</t>
        </is>
      </c>
      <c r="H205" s="37" t="inlineStr">
        <is>
          <t>1 5/16-12</t>
        </is>
      </c>
      <c r="I205" s="37" t="n"/>
      <c r="J205" s="37" t="inlineStr">
        <is>
          <t>SAE J1926-1</t>
        </is>
      </c>
      <c r="K205" s="37" t="inlineStr">
        <is>
          <t>SAE J514-1</t>
        </is>
      </c>
      <c r="L205" s="37" t="n">
        <v>1.54</v>
      </c>
      <c r="M205" s="37" t="n">
        <v>1.91</v>
      </c>
      <c r="N205" s="37" t="n">
        <v>1.88</v>
      </c>
      <c r="O205" s="37" t="n">
        <v>1.63</v>
      </c>
      <c r="P205" s="37" t="n">
        <v>0.84</v>
      </c>
      <c r="Q205" s="37" t="n">
        <v>1.08</v>
      </c>
      <c r="R205" s="44" t="n">
        <v>1.63</v>
      </c>
      <c r="S205" s="44" t="n">
        <v>1.88</v>
      </c>
      <c r="T205" s="37" t="n">
        <v>45</v>
      </c>
      <c r="U205" s="37" t="inlineStr">
        <is>
          <t>ASSUMED</t>
        </is>
      </c>
      <c r="V205" s="37" t="inlineStr">
        <is>
          <t>MS51528 covers matched-dash sizes only; Air-Way remains single source.</t>
        </is>
      </c>
      <c r="W205" s="37" t="inlineStr">
        <is>
          <t>BUILD</t>
        </is>
      </c>
      <c r="X205" s="37" t="inlineStr">
        <is>
          <t>Hex = Air-Way C4 column (per-part). Matched sizes in this topology corroborate the column.</t>
        </is>
      </c>
      <c r="Z205" s="45" t="inlineStr">
        <is>
          <t>Carbon Steel</t>
        </is>
      </c>
      <c r="AA205" s="45" t="inlineStr">
        <is>
          <t>ASTM A108 12L14</t>
        </is>
      </c>
      <c r="AB205" s="45" t="inlineStr">
        <is>
          <t>Trivalent Cr3 Zinc</t>
        </is>
      </c>
      <c r="AC205" s="45" t="inlineStr">
        <is>
          <t>ASTM B633 Type V/VI</t>
        </is>
      </c>
      <c r="AD205" s="46" t="n">
        <v>2500</v>
      </c>
      <c r="AE205" s="46" t="inlineStr">
        <is>
          <t>generic SAE table @ dash -20 (governing end)</t>
        </is>
      </c>
      <c r="AF205" s="46" t="n">
        <v>-65</v>
      </c>
      <c r="AG205" s="46" t="n">
        <v>400</v>
      </c>
      <c r="AH205" s="37" t="inlineStr">
        <is>
          <t>Ham-Let + hoseandfittings (pressure); Parker Cat.4300 (material); ASTM B633 (finish); see StandardsData</t>
        </is>
      </c>
    </row>
    <row r="206" ht="15" customHeight="1" s="35">
      <c r="A206" s="37" t="inlineStr">
        <is>
          <t>6802-16-20-NWO</t>
        </is>
      </c>
      <c r="B206" s="37" t="inlineStr">
        <is>
          <t>6802-16-20 NWO</t>
        </is>
      </c>
      <c r="C206" s="37" t="inlineStr">
        <is>
          <t>6802</t>
        </is>
      </c>
      <c r="D206" s="37" t="n">
        <v>158</v>
      </c>
      <c r="E206" s="37" t="inlineStr">
        <is>
          <t>45 deg</t>
        </is>
      </c>
      <c r="F206" s="37" t="inlineStr">
        <is>
          <t>45 deg Straight Thread Elbow, 1 5/16-12 x 1 5/8-12</t>
        </is>
      </c>
      <c r="G206" s="37" t="inlineStr">
        <is>
          <t>1 5/8-12</t>
        </is>
      </c>
      <c r="H206" s="37" t="inlineStr">
        <is>
          <t>1 5/16-12</t>
        </is>
      </c>
      <c r="I206" s="37" t="n"/>
      <c r="J206" s="37" t="inlineStr">
        <is>
          <t>SAE J1926-1</t>
        </is>
      </c>
      <c r="K206" s="37" t="inlineStr">
        <is>
          <t>SAE J514-1</t>
        </is>
      </c>
      <c r="L206" s="37" t="n">
        <v>1.55</v>
      </c>
      <c r="M206" s="37" t="n">
        <v>1.91</v>
      </c>
      <c r="N206" s="37" t="n">
        <v>1.88</v>
      </c>
      <c r="O206" s="37" t="n">
        <v>1.75</v>
      </c>
      <c r="P206" s="37" t="n">
        <v>0.84</v>
      </c>
      <c r="Q206" s="37" t="n">
        <v>1.08</v>
      </c>
      <c r="R206" s="44" t="n">
        <v>1.75</v>
      </c>
      <c r="S206" s="44" t="n">
        <v>1.88</v>
      </c>
      <c r="T206" s="37" t="n">
        <v>45</v>
      </c>
      <c r="U206" s="37" t="inlineStr">
        <is>
          <t>ASSUMED</t>
        </is>
      </c>
      <c r="V206" s="37" t="inlineStr">
        <is>
          <t>MS51528 covers matched-dash sizes only; Air-Way remains single source.</t>
        </is>
      </c>
      <c r="W206" s="37" t="inlineStr">
        <is>
          <t>BUILD</t>
        </is>
      </c>
      <c r="X206" s="37" t="inlineStr">
        <is>
          <t>Hex = Air-Way C4 column (per-part). Matched sizes in this topology corroborate the column.</t>
        </is>
      </c>
      <c r="Z206" s="45" t="inlineStr">
        <is>
          <t>Carbon Steel</t>
        </is>
      </c>
      <c r="AA206" s="45" t="inlineStr">
        <is>
          <t>ASTM A108 12L14</t>
        </is>
      </c>
      <c r="AB206" s="45" t="inlineStr">
        <is>
          <t>Trivalent Cr3 Zinc</t>
        </is>
      </c>
      <c r="AC206" s="45" t="inlineStr">
        <is>
          <t>ASTM B633 Type V/VI</t>
        </is>
      </c>
      <c r="AD206" s="46" t="n">
        <v>2500</v>
      </c>
      <c r="AE206" s="46" t="inlineStr">
        <is>
          <t>generic SAE table @ dash -20 (governing end)</t>
        </is>
      </c>
      <c r="AF206" s="46" t="n">
        <v>-65</v>
      </c>
      <c r="AG206" s="46" t="n">
        <v>400</v>
      </c>
      <c r="AH206" s="37" t="inlineStr">
        <is>
          <t>Ham-Let + hoseandfittings (pressure); Parker Cat.4300 (material); ASTM B633 (finish); see StandardsData</t>
        </is>
      </c>
    </row>
    <row r="207" ht="15" customHeight="1" s="35">
      <c r="A207" s="37" t="inlineStr">
        <is>
          <t>6802-16-24-NWO</t>
        </is>
      </c>
      <c r="B207" s="37" t="inlineStr">
        <is>
          <t>6802-16-24 NWO</t>
        </is>
      </c>
      <c r="C207" s="37" t="inlineStr">
        <is>
          <t>6802</t>
        </is>
      </c>
      <c r="D207" s="37" t="n">
        <v>158</v>
      </c>
      <c r="E207" s="37" t="inlineStr">
        <is>
          <t>45 deg</t>
        </is>
      </c>
      <c r="F207" s="37" t="inlineStr">
        <is>
          <t>45 deg Straight Thread Elbow, 1 5/16-12 x 1 7/8-12</t>
        </is>
      </c>
      <c r="G207" s="37" t="inlineStr">
        <is>
          <t>1 7/8-12</t>
        </is>
      </c>
      <c r="H207" s="37" t="inlineStr">
        <is>
          <t>1 5/16-12</t>
        </is>
      </c>
      <c r="I207" s="37" t="n"/>
      <c r="J207" s="37" t="inlineStr">
        <is>
          <t>SAE J1926-1</t>
        </is>
      </c>
      <c r="K207" s="37" t="inlineStr">
        <is>
          <t>SAE J514-1</t>
        </is>
      </c>
      <c r="L207" s="37" t="n">
        <v>1.65</v>
      </c>
      <c r="M207" s="37" t="n">
        <v>1.91</v>
      </c>
      <c r="N207" s="37" t="n">
        <v>2.13</v>
      </c>
      <c r="O207" s="37" t="n">
        <v>2</v>
      </c>
      <c r="P207" s="37" t="n">
        <v>0.84</v>
      </c>
      <c r="Q207" s="37" t="n">
        <v>0.84</v>
      </c>
      <c r="R207" s="44" t="n">
        <v>2</v>
      </c>
      <c r="S207" s="44" t="n">
        <v>2.13</v>
      </c>
      <c r="T207" s="37" t="n">
        <v>45</v>
      </c>
      <c r="U207" s="37" t="inlineStr">
        <is>
          <t>ASSUMED</t>
        </is>
      </c>
      <c r="V207" s="37" t="inlineStr">
        <is>
          <t>MS51528 covers matched-dash sizes only; Air-Way remains single source.</t>
        </is>
      </c>
      <c r="W207" s="37" t="inlineStr">
        <is>
          <t>BUILD</t>
        </is>
      </c>
      <c r="X207" s="37" t="inlineStr">
        <is>
          <t>Hex = Air-Way C4 column (per-part). Matched sizes in this topology corroborate the column.</t>
        </is>
      </c>
      <c r="Z207" s="45" t="inlineStr">
        <is>
          <t>Carbon Steel</t>
        </is>
      </c>
      <c r="AA207" s="45" t="inlineStr">
        <is>
          <t>ASTM A108 12L14</t>
        </is>
      </c>
      <c r="AB207" s="45" t="inlineStr">
        <is>
          <t>Trivalent Cr3 Zinc</t>
        </is>
      </c>
      <c r="AC207" s="45" t="inlineStr">
        <is>
          <t>ASTM B633 Type V/VI</t>
        </is>
      </c>
      <c r="AD207" s="46" t="n">
        <v>2000</v>
      </c>
      <c r="AE207" s="46" t="inlineStr">
        <is>
          <t>generic SAE table @ dash -24 (governing end)</t>
        </is>
      </c>
      <c r="AF207" s="46" t="n">
        <v>-65</v>
      </c>
      <c r="AG207" s="46" t="n">
        <v>400</v>
      </c>
      <c r="AH207" s="37" t="inlineStr">
        <is>
          <t>Ham-Let + hoseandfittings (pressure); Parker Cat.4300 (material); ASTM B633 (finish); see StandardsData</t>
        </is>
      </c>
    </row>
    <row r="208" ht="15" customHeight="1" s="35">
      <c r="A208" s="37" t="inlineStr">
        <is>
          <t>6802-20-16-NWO-FG</t>
        </is>
      </c>
      <c r="B208" s="37" t="inlineStr">
        <is>
          <t>6802-20-16 NWO-FG</t>
        </is>
      </c>
      <c r="C208" s="37" t="inlineStr">
        <is>
          <t>6802</t>
        </is>
      </c>
      <c r="D208" s="37" t="n">
        <v>158</v>
      </c>
      <c r="E208" s="37" t="inlineStr">
        <is>
          <t>45 deg</t>
        </is>
      </c>
      <c r="F208" s="37" t="inlineStr">
        <is>
          <t>45 deg Straight Thread Elbow, 1 5/8-12 x 1 5/16-12</t>
        </is>
      </c>
      <c r="G208" s="37" t="inlineStr">
        <is>
          <t>1 5/16-12</t>
        </is>
      </c>
      <c r="H208" s="37" t="inlineStr">
        <is>
          <t>1 5/8-12</t>
        </is>
      </c>
      <c r="I208" s="37" t="n"/>
      <c r="J208" s="37" t="inlineStr">
        <is>
          <t>SAE J1926-1</t>
        </is>
      </c>
      <c r="K208" s="37" t="inlineStr">
        <is>
          <t>SAE J514-1</t>
        </is>
      </c>
      <c r="L208" s="37" t="n">
        <v>1.59</v>
      </c>
      <c r="M208" s="37" t="n">
        <v>1.91</v>
      </c>
      <c r="N208" s="37" t="n">
        <v>1.5</v>
      </c>
      <c r="O208" s="37" t="n">
        <v>1.63</v>
      </c>
      <c r="P208" s="37" t="n">
        <v>1.08</v>
      </c>
      <c r="Q208" s="37" t="n">
        <v>0.84</v>
      </c>
      <c r="R208" s="44" t="n">
        <v>1.63</v>
      </c>
      <c r="S208" s="44" t="n">
        <v>1.5</v>
      </c>
      <c r="T208" s="37" t="n">
        <v>45</v>
      </c>
      <c r="U208" s="37" t="inlineStr">
        <is>
          <t>ASSUMED</t>
        </is>
      </c>
      <c r="V208" s="37" t="inlineStr">
        <is>
          <t>MS51528 covers matched-dash sizes only; Air-Way remains single source.</t>
        </is>
      </c>
      <c r="W208" s="37" t="inlineStr">
        <is>
          <t>BUILD</t>
        </is>
      </c>
      <c r="X208" s="37" t="inlineStr">
        <is>
          <t>Hex = Air-Way C4 column (per-part). Matched sizes in this topology corroborate the column.</t>
        </is>
      </c>
      <c r="Z208" s="45" t="inlineStr">
        <is>
          <t>Carbon Steel</t>
        </is>
      </c>
      <c r="AA208" s="45" t="inlineStr">
        <is>
          <t>ASTM A108 12L14</t>
        </is>
      </c>
      <c r="AB208" s="45" t="inlineStr">
        <is>
          <t>Trivalent Cr3 Zinc</t>
        </is>
      </c>
      <c r="AC208" s="45" t="inlineStr">
        <is>
          <t>ASTM B633 Type V/VI</t>
        </is>
      </c>
      <c r="AD208" s="46" t="n">
        <v>2500</v>
      </c>
      <c r="AE208" s="46" t="inlineStr">
        <is>
          <t>generic SAE table @ dash -20 (governing end)</t>
        </is>
      </c>
      <c r="AF208" s="46" t="n">
        <v>-65</v>
      </c>
      <c r="AG208" s="46" t="n">
        <v>400</v>
      </c>
      <c r="AH208" s="37" t="inlineStr">
        <is>
          <t>Ham-Let + hoseandfittings (pressure); Parker Cat.4300 (material); ASTM B633 (finish); see StandardsData</t>
        </is>
      </c>
    </row>
    <row r="209" ht="15" customHeight="1" s="35">
      <c r="A209" s="37" t="inlineStr">
        <is>
          <t>6802-20-20-NWO-FG</t>
        </is>
      </c>
      <c r="B209" s="37" t="inlineStr">
        <is>
          <t>6802-20-20 NWO-FG</t>
        </is>
      </c>
      <c r="C209" s="37" t="inlineStr">
        <is>
          <t>6802</t>
        </is>
      </c>
      <c r="D209" s="37" t="n">
        <v>158</v>
      </c>
      <c r="E209" s="37" t="inlineStr">
        <is>
          <t>45 deg</t>
        </is>
      </c>
      <c r="F209" s="37" t="inlineStr">
        <is>
          <t>45 deg Straight Thread Elbow, 1 5/8-12 x 1 5/8-12</t>
        </is>
      </c>
      <c r="G209" s="37" t="inlineStr">
        <is>
          <t>1 5/8-12</t>
        </is>
      </c>
      <c r="H209" s="37" t="inlineStr">
        <is>
          <t>1 5/8-12</t>
        </is>
      </c>
      <c r="I209" s="37" t="n"/>
      <c r="J209" s="37" t="inlineStr">
        <is>
          <t>SAE J1926-1</t>
        </is>
      </c>
      <c r="K209" s="37" t="inlineStr">
        <is>
          <t>SAE J514-1</t>
        </is>
      </c>
      <c r="L209" s="37" t="n">
        <v>1.59</v>
      </c>
      <c r="M209" s="37" t="n">
        <v>1.91</v>
      </c>
      <c r="N209" s="37" t="n">
        <v>1.88</v>
      </c>
      <c r="O209" s="37" t="n">
        <v>1.63</v>
      </c>
      <c r="P209" s="37" t="n">
        <v>1.08</v>
      </c>
      <c r="Q209" s="37" t="n">
        <v>1.08</v>
      </c>
      <c r="R209" s="45" t="n">
        <v>1.63</v>
      </c>
      <c r="S209" s="45" t="n">
        <v>1.88</v>
      </c>
      <c r="T209" s="37" t="n">
        <v>45</v>
      </c>
      <c r="U209" s="37" t="inlineStr">
        <is>
          <t>VERIFIED</t>
        </is>
      </c>
      <c r="V209" s="37" t="inlineStr">
        <is>
          <t>MS51528 cross-check 2026-09-04: threads, both legs, both bores AGREE.</t>
        </is>
      </c>
      <c r="W209" s="37" t="inlineStr">
        <is>
          <t>BUILD</t>
        </is>
      </c>
      <c r="X209" s="37" t="inlineStr">
        <is>
          <t>Hex = Air-Way C4 column, CONFIRMED vs PressureConnections/Purvis.</t>
        </is>
      </c>
      <c r="Z209" s="45" t="inlineStr">
        <is>
          <t>Carbon Steel</t>
        </is>
      </c>
      <c r="AA209" s="45" t="inlineStr">
        <is>
          <t>ASTM A108 12L14</t>
        </is>
      </c>
      <c r="AB209" s="45" t="inlineStr">
        <is>
          <t>Trivalent Cr3 Zinc</t>
        </is>
      </c>
      <c r="AC209" s="45" t="inlineStr">
        <is>
          <t>ASTM B633 Type V/VI</t>
        </is>
      </c>
      <c r="AD209" s="46" t="n">
        <v>2500</v>
      </c>
      <c r="AE209" s="46" t="inlineStr">
        <is>
          <t>generic SAE table @ dash -20 (governing end)</t>
        </is>
      </c>
      <c r="AF209" s="46" t="n">
        <v>-65</v>
      </c>
      <c r="AG209" s="46" t="n">
        <v>400</v>
      </c>
      <c r="AH209" s="37" t="inlineStr">
        <is>
          <t>Ham-Let + hoseandfittings (pressure); Parker Cat.4300 (material); ASTM B633 (finish); see StandardsData</t>
        </is>
      </c>
    </row>
    <row r="210" ht="15" customHeight="1" s="35">
      <c r="A210" s="37" t="inlineStr">
        <is>
          <t>6802-20-20-NWO</t>
        </is>
      </c>
      <c r="B210" s="37" t="inlineStr">
        <is>
          <t>6802-20-20 NWO</t>
        </is>
      </c>
      <c r="C210" s="37" t="inlineStr">
        <is>
          <t>6802</t>
        </is>
      </c>
      <c r="D210" s="37" t="n">
        <v>158</v>
      </c>
      <c r="E210" s="37" t="inlineStr">
        <is>
          <t>45 deg</t>
        </is>
      </c>
      <c r="F210" s="37" t="inlineStr">
        <is>
          <t>45 deg Straight Thread Elbow, 1 5/8-12 x 1 5/8-12</t>
        </is>
      </c>
      <c r="G210" s="37" t="inlineStr">
        <is>
          <t>1 5/8-12</t>
        </is>
      </c>
      <c r="H210" s="37" t="inlineStr">
        <is>
          <t>1 5/8-12</t>
        </is>
      </c>
      <c r="I210" s="37" t="n"/>
      <c r="J210" s="37" t="inlineStr">
        <is>
          <t>SAE J1926-1</t>
        </is>
      </c>
      <c r="K210" s="37" t="inlineStr">
        <is>
          <t>SAE J514-1</t>
        </is>
      </c>
      <c r="L210" s="37" t="n">
        <v>1.59</v>
      </c>
      <c r="M210" s="37" t="n">
        <v>1.91</v>
      </c>
      <c r="N210" s="37" t="n">
        <v>1.88</v>
      </c>
      <c r="O210" s="37" t="n">
        <v>1.75</v>
      </c>
      <c r="P210" s="37" t="n">
        <v>1.08</v>
      </c>
      <c r="Q210" s="37" t="n">
        <v>1.08</v>
      </c>
      <c r="R210" s="45" t="n">
        <v>1.75</v>
      </c>
      <c r="S210" s="45" t="n">
        <v>1.88</v>
      </c>
      <c r="T210" s="37" t="n">
        <v>45</v>
      </c>
      <c r="U210" s="37" t="inlineStr">
        <is>
          <t>VERIFIED</t>
        </is>
      </c>
      <c r="V210" s="37" t="inlineStr">
        <is>
          <t>MS51528 cross-check 2026-09-04: threads, both legs, both bores AGREE.</t>
        </is>
      </c>
      <c r="W210" s="37" t="inlineStr">
        <is>
          <t>BUILD</t>
        </is>
      </c>
      <c r="X210" s="37" t="inlineStr">
        <is>
          <t>Hex = Air-Way C4 column, CONFIRMED vs PressureConnections/Purvis.</t>
        </is>
      </c>
      <c r="Z210" s="45" t="inlineStr">
        <is>
          <t>Carbon Steel</t>
        </is>
      </c>
      <c r="AA210" s="45" t="inlineStr">
        <is>
          <t>ASTM A108 12L14</t>
        </is>
      </c>
      <c r="AB210" s="45" t="inlineStr">
        <is>
          <t>Trivalent Cr3 Zinc</t>
        </is>
      </c>
      <c r="AC210" s="45" t="inlineStr">
        <is>
          <t>ASTM B633 Type V/VI</t>
        </is>
      </c>
      <c r="AD210" s="46" t="n">
        <v>2500</v>
      </c>
      <c r="AE210" s="46" t="inlineStr">
        <is>
          <t>generic SAE table @ dash -20 (governing end)</t>
        </is>
      </c>
      <c r="AF210" s="46" t="n">
        <v>-65</v>
      </c>
      <c r="AG210" s="46" t="n">
        <v>400</v>
      </c>
      <c r="AH210" s="37" t="inlineStr">
        <is>
          <t>Ham-Let + hoseandfittings (pressure); Parker Cat.4300 (material); ASTM B633 (finish); see StandardsData</t>
        </is>
      </c>
    </row>
    <row r="211" ht="15" customHeight="1" s="35">
      <c r="A211" s="37" t="inlineStr">
        <is>
          <t>6802-24-20-NWO</t>
        </is>
      </c>
      <c r="B211" s="37" t="inlineStr">
        <is>
          <t>6802-24-20 NWO</t>
        </is>
      </c>
      <c r="C211" s="37" t="inlineStr">
        <is>
          <t>6802</t>
        </is>
      </c>
      <c r="D211" s="37" t="n">
        <v>158</v>
      </c>
      <c r="E211" s="37" t="inlineStr">
        <is>
          <t>45 deg</t>
        </is>
      </c>
      <c r="F211" s="37" t="inlineStr">
        <is>
          <t>45 deg Straight Thread Elbow, 1 7/8-12 x 1 5/8-12</t>
        </is>
      </c>
      <c r="G211" s="37" t="inlineStr">
        <is>
          <t>1 5/8-12</t>
        </is>
      </c>
      <c r="H211" s="37" t="inlineStr">
        <is>
          <t>1 7/8-12</t>
        </is>
      </c>
      <c r="I211" s="37" t="n"/>
      <c r="J211" s="37" t="inlineStr">
        <is>
          <t>SAE J1926-1</t>
        </is>
      </c>
      <c r="K211" s="37" t="inlineStr">
        <is>
          <t>SAE J514-1</t>
        </is>
      </c>
      <c r="L211" s="37" t="n">
        <v>1.78</v>
      </c>
      <c r="M211" s="37" t="n">
        <v>1.91</v>
      </c>
      <c r="N211" s="37" t="n">
        <v>1.88</v>
      </c>
      <c r="O211" s="37" t="n">
        <v>2</v>
      </c>
      <c r="P211" s="37" t="n">
        <v>1.31</v>
      </c>
      <c r="Q211" s="37" t="n">
        <v>1.08</v>
      </c>
      <c r="R211" s="44" t="n">
        <v>2</v>
      </c>
      <c r="S211" s="44" t="n">
        <v>1.88</v>
      </c>
      <c r="T211" s="37" t="n">
        <v>45</v>
      </c>
      <c r="U211" s="37" t="inlineStr">
        <is>
          <t>ASSUMED</t>
        </is>
      </c>
      <c r="V211" s="37" t="inlineStr">
        <is>
          <t>MS51528 covers matched-dash sizes only; Air-Way remains single source.</t>
        </is>
      </c>
      <c r="W211" s="37" t="inlineStr">
        <is>
          <t>BUILD</t>
        </is>
      </c>
      <c r="X211" s="37" t="inlineStr">
        <is>
          <t>Hex = Air-Way C4 column (per-part). Matched sizes in this topology corroborate the column.</t>
        </is>
      </c>
      <c r="Z211" s="45" t="inlineStr">
        <is>
          <t>Carbon Steel</t>
        </is>
      </c>
      <c r="AA211" s="45" t="inlineStr">
        <is>
          <t>ASTM A108 12L14</t>
        </is>
      </c>
      <c r="AB211" s="45" t="inlineStr">
        <is>
          <t>Trivalent Cr3 Zinc</t>
        </is>
      </c>
      <c r="AC211" s="45" t="inlineStr">
        <is>
          <t>ASTM B633 Type V/VI</t>
        </is>
      </c>
      <c r="AD211" s="46" t="n">
        <v>2000</v>
      </c>
      <c r="AE211" s="46" t="inlineStr">
        <is>
          <t>generic SAE table @ dash -24 (governing end)</t>
        </is>
      </c>
      <c r="AF211" s="46" t="n">
        <v>-65</v>
      </c>
      <c r="AG211" s="46" t="n">
        <v>400</v>
      </c>
      <c r="AH211" s="37" t="inlineStr">
        <is>
          <t>Ham-Let + hoseandfittings (pressure); Parker Cat.4300 (material); ASTM B633 (finish); see StandardsData</t>
        </is>
      </c>
    </row>
    <row r="212" ht="15" customHeight="1" s="35">
      <c r="A212" s="37" t="inlineStr">
        <is>
          <t>6802-20-24-NWO</t>
        </is>
      </c>
      <c r="B212" s="37" t="inlineStr">
        <is>
          <t>6802-20-24 NWO</t>
        </is>
      </c>
      <c r="C212" s="37" t="inlineStr">
        <is>
          <t>6802</t>
        </is>
      </c>
      <c r="D212" s="37" t="n">
        <v>158</v>
      </c>
      <c r="E212" s="37" t="inlineStr">
        <is>
          <t>45 deg</t>
        </is>
      </c>
      <c r="F212" s="37" t="inlineStr">
        <is>
          <t>45 deg Straight Thread Elbow, 1 5/8-12 x 1 7/8-12</t>
        </is>
      </c>
      <c r="G212" s="37" t="inlineStr">
        <is>
          <t>1 7/8-12</t>
        </is>
      </c>
      <c r="H212" s="37" t="inlineStr">
        <is>
          <t>1 5/8-12</t>
        </is>
      </c>
      <c r="I212" s="37" t="n"/>
      <c r="J212" s="37" t="inlineStr">
        <is>
          <t>SAE J1926-1</t>
        </is>
      </c>
      <c r="K212" s="37" t="inlineStr">
        <is>
          <t>SAE J514-1</t>
        </is>
      </c>
      <c r="L212" s="37" t="n">
        <v>1.66</v>
      </c>
      <c r="M212" s="37" t="n">
        <v>1.91</v>
      </c>
      <c r="N212" s="37" t="n">
        <v>2.13</v>
      </c>
      <c r="O212" s="37" t="n">
        <v>2</v>
      </c>
      <c r="P212" s="37" t="n">
        <v>1.08</v>
      </c>
      <c r="Q212" s="37" t="n">
        <v>1.31</v>
      </c>
      <c r="R212" s="44" t="n">
        <v>2</v>
      </c>
      <c r="S212" s="44" t="n">
        <v>2.13</v>
      </c>
      <c r="T212" s="37" t="n">
        <v>45</v>
      </c>
      <c r="U212" s="37" t="inlineStr">
        <is>
          <t>ASSUMED</t>
        </is>
      </c>
      <c r="V212" s="37" t="inlineStr">
        <is>
          <t>MS51528 covers matched-dash sizes only; Air-Way remains single source.</t>
        </is>
      </c>
      <c r="W212" s="37" t="inlineStr">
        <is>
          <t>BUILD</t>
        </is>
      </c>
      <c r="X212" s="37" t="inlineStr">
        <is>
          <t>Hex = Air-Way C4 column (per-part). Matched sizes in this topology corroborate the column.</t>
        </is>
      </c>
      <c r="Z212" s="45" t="inlineStr">
        <is>
          <t>Carbon Steel</t>
        </is>
      </c>
      <c r="AA212" s="45" t="inlineStr">
        <is>
          <t>ASTM A108 12L14</t>
        </is>
      </c>
      <c r="AB212" s="45" t="inlineStr">
        <is>
          <t>Trivalent Cr3 Zinc</t>
        </is>
      </c>
      <c r="AC212" s="45" t="inlineStr">
        <is>
          <t>ASTM B633 Type V/VI</t>
        </is>
      </c>
      <c r="AD212" s="46" t="n">
        <v>2000</v>
      </c>
      <c r="AE212" s="46" t="inlineStr">
        <is>
          <t>generic SAE table @ dash -24 (governing end)</t>
        </is>
      </c>
      <c r="AF212" s="46" t="n">
        <v>-65</v>
      </c>
      <c r="AG212" s="46" t="n">
        <v>400</v>
      </c>
      <c r="AH212" s="37" t="inlineStr">
        <is>
          <t>Ham-Let + hoseandfittings (pressure); Parker Cat.4300 (material); ASTM B633 (finish); see StandardsData</t>
        </is>
      </c>
    </row>
    <row r="213" ht="15" customHeight="1" s="35">
      <c r="A213" s="37" t="inlineStr">
        <is>
          <t>6802-24-24-NWO-FG</t>
        </is>
      </c>
      <c r="B213" s="37" t="inlineStr">
        <is>
          <t>6802-24-24 NWO-FG</t>
        </is>
      </c>
      <c r="C213" s="37" t="inlineStr">
        <is>
          <t>6802</t>
        </is>
      </c>
      <c r="D213" s="37" t="n">
        <v>158</v>
      </c>
      <c r="E213" s="37" t="inlineStr">
        <is>
          <t>45 deg</t>
        </is>
      </c>
      <c r="F213" s="37" t="inlineStr">
        <is>
          <t>45 deg Straight Thread Elbow, 1 7/8-12 x 1 7/8-12</t>
        </is>
      </c>
      <c r="G213" s="37" t="inlineStr">
        <is>
          <t>1 7/8-12</t>
        </is>
      </c>
      <c r="H213" s="37" t="inlineStr">
        <is>
          <t>1 7/8-12</t>
        </is>
      </c>
      <c r="I213" s="37" t="n"/>
      <c r="J213" s="37" t="inlineStr">
        <is>
          <t>SAE J1926-1</t>
        </is>
      </c>
      <c r="K213" s="37" t="inlineStr">
        <is>
          <t>SAE J514-1</t>
        </is>
      </c>
      <c r="L213" s="37" t="n">
        <v>1.78</v>
      </c>
      <c r="M213" s="37" t="n">
        <v>1.91</v>
      </c>
      <c r="N213" s="37" t="n">
        <v>2.13</v>
      </c>
      <c r="O213" s="37" t="n">
        <v>1.87</v>
      </c>
      <c r="P213" s="37" t="n">
        <v>1.31</v>
      </c>
      <c r="Q213" s="37" t="n">
        <v>1.31</v>
      </c>
      <c r="R213" s="45" t="n">
        <v>1.87</v>
      </c>
      <c r="S213" s="45" t="n">
        <v>2.13</v>
      </c>
      <c r="T213" s="37" t="n">
        <v>45</v>
      </c>
      <c r="U213" s="37" t="inlineStr">
        <is>
          <t>VERIFIED</t>
        </is>
      </c>
      <c r="V213" s="37" t="inlineStr">
        <is>
          <t>MS51528 cross-check 2026-09-04: threads, both legs, both bores AGREE.</t>
        </is>
      </c>
      <c r="W213" s="37" t="inlineStr">
        <is>
          <t>BUILD</t>
        </is>
      </c>
      <c r="X213" s="37" t="inlineStr">
        <is>
          <t>Hex = Air-Way C4 column, CONFIRMED vs PressureConnections/Purvis.</t>
        </is>
      </c>
      <c r="Z213" s="45" t="inlineStr">
        <is>
          <t>Carbon Steel</t>
        </is>
      </c>
      <c r="AA213" s="45" t="inlineStr">
        <is>
          <t>ASTM A108 12L14</t>
        </is>
      </c>
      <c r="AB213" s="45" t="inlineStr">
        <is>
          <t>Trivalent Cr3 Zinc</t>
        </is>
      </c>
      <c r="AC213" s="45" t="inlineStr">
        <is>
          <t>ASTM B633 Type V/VI</t>
        </is>
      </c>
      <c r="AD213" s="46" t="n">
        <v>2000</v>
      </c>
      <c r="AE213" s="46" t="inlineStr">
        <is>
          <t>generic SAE table @ dash -24 (governing end)</t>
        </is>
      </c>
      <c r="AF213" s="46" t="n">
        <v>-65</v>
      </c>
      <c r="AG213" s="46" t="n">
        <v>400</v>
      </c>
      <c r="AH213" s="37" t="inlineStr">
        <is>
          <t>Ham-Let + hoseandfittings (pressure); Parker Cat.4300 (material); ASTM B633 (finish); see StandardsData</t>
        </is>
      </c>
    </row>
    <row r="214" ht="15" customHeight="1" s="35">
      <c r="A214" s="37" t="inlineStr">
        <is>
          <t>6802-24-24-NWO</t>
        </is>
      </c>
      <c r="B214" s="37" t="inlineStr">
        <is>
          <t>6802-24-24 NWO</t>
        </is>
      </c>
      <c r="C214" s="37" t="inlineStr">
        <is>
          <t>6802</t>
        </is>
      </c>
      <c r="D214" s="37" t="n">
        <v>158</v>
      </c>
      <c r="E214" s="37" t="inlineStr">
        <is>
          <t>45 deg</t>
        </is>
      </c>
      <c r="F214" s="37" t="inlineStr">
        <is>
          <t>45 deg Straight Thread Elbow, 1 7/8-12 x 1 7/8-12</t>
        </is>
      </c>
      <c r="G214" s="37" t="inlineStr">
        <is>
          <t>1 7/8-12</t>
        </is>
      </c>
      <c r="H214" s="37" t="inlineStr">
        <is>
          <t>1 7/8-12</t>
        </is>
      </c>
      <c r="I214" s="37" t="n"/>
      <c r="J214" s="37" t="inlineStr">
        <is>
          <t>SAE J1926-1</t>
        </is>
      </c>
      <c r="K214" s="37" t="inlineStr">
        <is>
          <t>SAE J514-1</t>
        </is>
      </c>
      <c r="L214" s="37" t="n">
        <v>1.78</v>
      </c>
      <c r="M214" s="37" t="n">
        <v>1.91</v>
      </c>
      <c r="N214" s="37" t="n">
        <v>2.13</v>
      </c>
      <c r="O214" s="37" t="n">
        <v>2</v>
      </c>
      <c r="P214" s="37" t="n">
        <v>1.31</v>
      </c>
      <c r="Q214" s="37" t="n">
        <v>1.31</v>
      </c>
      <c r="R214" s="45" t="n">
        <v>2</v>
      </c>
      <c r="S214" s="45" t="n">
        <v>2.13</v>
      </c>
      <c r="T214" s="37" t="n">
        <v>45</v>
      </c>
      <c r="U214" s="37" t="inlineStr">
        <is>
          <t>VERIFIED</t>
        </is>
      </c>
      <c r="V214" s="37" t="inlineStr">
        <is>
          <t>MS51528 cross-check 2026-09-04: threads, both legs, both bores AGREE.</t>
        </is>
      </c>
      <c r="W214" s="37" t="inlineStr">
        <is>
          <t>BUILD</t>
        </is>
      </c>
      <c r="X214" s="37" t="inlineStr">
        <is>
          <t>Hex = Air-Way C4 column, CONFIRMED vs PressureConnections/Purvis.</t>
        </is>
      </c>
      <c r="Z214" s="45" t="inlineStr">
        <is>
          <t>Carbon Steel</t>
        </is>
      </c>
      <c r="AA214" s="45" t="inlineStr">
        <is>
          <t>ASTM A108 12L14</t>
        </is>
      </c>
      <c r="AB214" s="45" t="inlineStr">
        <is>
          <t>Trivalent Cr3 Zinc</t>
        </is>
      </c>
      <c r="AC214" s="45" t="inlineStr">
        <is>
          <t>ASTM B633 Type V/VI</t>
        </is>
      </c>
      <c r="AD214" s="46" t="n">
        <v>2000</v>
      </c>
      <c r="AE214" s="46" t="inlineStr">
        <is>
          <t>generic SAE table @ dash -24 (governing end)</t>
        </is>
      </c>
      <c r="AF214" s="46" t="n">
        <v>-65</v>
      </c>
      <c r="AG214" s="46" t="n">
        <v>400</v>
      </c>
      <c r="AH214" s="37" t="inlineStr">
        <is>
          <t>Ham-Let + hoseandfittings (pressure); Parker Cat.4300 (material); ASTM B633 (finish); see StandardsData</t>
        </is>
      </c>
    </row>
    <row r="215" ht="15" customHeight="1" s="35">
      <c r="A215" s="37" t="inlineStr">
        <is>
          <t>6802-32-32-NWO</t>
        </is>
      </c>
      <c r="B215" s="37" t="inlineStr">
        <is>
          <t>6802-32-32 NWO</t>
        </is>
      </c>
      <c r="C215" s="37" t="inlineStr">
        <is>
          <t>6802</t>
        </is>
      </c>
      <c r="D215" s="37" t="n">
        <v>158</v>
      </c>
      <c r="E215" s="37" t="inlineStr">
        <is>
          <t>45 deg</t>
        </is>
      </c>
      <c r="F215" s="37" t="inlineStr">
        <is>
          <t>45 deg Straight Thread Elbow, 2 1/2-12 x 2 1/2-12</t>
        </is>
      </c>
      <c r="G215" s="37" t="inlineStr">
        <is>
          <t>2 1/2-12</t>
        </is>
      </c>
      <c r="H215" s="37" t="inlineStr">
        <is>
          <t>2 1/2-12</t>
        </is>
      </c>
      <c r="I215" s="37" t="n"/>
      <c r="J215" s="37" t="inlineStr">
        <is>
          <t>SAE J1926-1</t>
        </is>
      </c>
      <c r="K215" s="37" t="inlineStr">
        <is>
          <t>SAE J514-1</t>
        </is>
      </c>
      <c r="L215" s="37" t="n">
        <v>2.22</v>
      </c>
      <c r="M215" s="37" t="n">
        <v>1.86</v>
      </c>
      <c r="N215" s="37" t="n">
        <v>2.75</v>
      </c>
      <c r="O215" s="37" t="n">
        <v>2.63</v>
      </c>
      <c r="P215" s="37" t="n">
        <v>1.78</v>
      </c>
      <c r="Q215" s="37" t="n">
        <v>1.78</v>
      </c>
      <c r="R215" s="45" t="n">
        <v>2.63</v>
      </c>
      <c r="S215" s="45" t="n">
        <v>2.75</v>
      </c>
      <c r="T215" s="37" t="n">
        <v>45</v>
      </c>
      <c r="U215" s="37" t="inlineStr">
        <is>
          <t>VERIFIED</t>
        </is>
      </c>
      <c r="V215" s="37" t="inlineStr">
        <is>
          <t>MS51528 cross-check 2026-09-04: threads, both legs, both bores AGREE.</t>
        </is>
      </c>
      <c r="W215" s="37" t="inlineStr">
        <is>
          <t>BUILD</t>
        </is>
      </c>
      <c r="X215" s="37" t="inlineStr">
        <is>
          <t>Hex = Air-Way C4 column, CONFIRMED vs PressureConnections/Purvis.</t>
        </is>
      </c>
      <c r="Z215" s="45" t="inlineStr">
        <is>
          <t>Carbon Steel</t>
        </is>
      </c>
      <c r="AA215" s="45" t="inlineStr">
        <is>
          <t>ASTM A108 12L14</t>
        </is>
      </c>
      <c r="AB215" s="45" t="inlineStr">
        <is>
          <t>Trivalent Cr3 Zinc</t>
        </is>
      </c>
      <c r="AC215" s="45" t="inlineStr">
        <is>
          <t>ASTM B633 Type V/VI</t>
        </is>
      </c>
      <c r="AD215" s="46" t="n">
        <v>1500</v>
      </c>
      <c r="AE215" s="46" t="inlineStr">
        <is>
          <t>generic SAE table @ dash -32 (governing end)</t>
        </is>
      </c>
      <c r="AF215" s="46" t="n">
        <v>-65</v>
      </c>
      <c r="AG215" s="46" t="n">
        <v>400</v>
      </c>
      <c r="AH215" s="37" t="inlineStr">
        <is>
          <t>Ham-Let + hoseandfittings (pressure); Parker Cat.4300 (material); ASTM B633 (finish); see StandardsData</t>
        </is>
      </c>
    </row>
    <row r="216" ht="15" customHeight="1" s="35">
      <c r="A216" s="37" t="inlineStr">
        <is>
          <t>2501-02-02-FG</t>
        </is>
      </c>
      <c r="B216" s="37" t="inlineStr">
        <is>
          <t>2501-2-2-FG</t>
        </is>
      </c>
      <c r="C216" s="37" t="inlineStr">
        <is>
          <t>2501</t>
        </is>
      </c>
      <c r="D216" s="37" t="n">
        <v>118</v>
      </c>
      <c r="E216" s="37" t="inlineStr">
        <is>
          <t>90 deg</t>
        </is>
      </c>
      <c r="F216" s="37" t="inlineStr">
        <is>
          <t>90 deg Male Elbow, 5/16-24 x 1/8-27</t>
        </is>
      </c>
      <c r="G216" s="37" t="inlineStr">
        <is>
          <t>1/8-27</t>
        </is>
      </c>
      <c r="H216" s="37" t="inlineStr">
        <is>
          <t>5/16-24</t>
        </is>
      </c>
      <c r="I216" s="37" t="inlineStr">
        <is>
          <t>1/8</t>
        </is>
      </c>
      <c r="J216" s="37" t="inlineStr">
        <is>
          <t>ASME B1.20.3</t>
        </is>
      </c>
      <c r="K216" s="37" t="inlineStr">
        <is>
          <t>SAE J514-1</t>
        </is>
      </c>
      <c r="L216" s="37" t="n">
        <v>0.77</v>
      </c>
      <c r="M216" s="37" t="n">
        <v>0.72</v>
      </c>
      <c r="N216" s="37" t="n">
        <v>0.44</v>
      </c>
      <c r="O216" s="37" t="n">
        <v>0.06</v>
      </c>
      <c r="P216" s="37" t="n">
        <v>0.19</v>
      </c>
      <c r="Q216" s="37" t="n"/>
      <c r="R216" s="44" t="n"/>
      <c r="S216" s="45" t="n">
        <v>0.4375</v>
      </c>
      <c r="T216" s="37" t="n">
        <v>90</v>
      </c>
      <c r="U216" s="37" t="inlineStr">
        <is>
          <t>ASSUMED</t>
        </is>
      </c>
      <c r="V216" s="37" t="inlineStr">
        <is>
          <t>MS51504 cross-check 2026-09-04: B,M,N,D,D1 all AGREE (forged pattern).</t>
        </is>
      </c>
      <c r="W216" s="37" t="inlineStr">
        <is>
          <t>BUILD</t>
        </is>
      </c>
      <c r="X216" s="37" t="inlineStr">
        <is>
          <t>Dimensions verbatim from Air-Way, two reconciled passes. Hex/material/finish/pressure outstanding. | Single body hex 7/16 keyed to larger dash -2 (sources show hex follows larger end).</t>
        </is>
      </c>
      <c r="Z216" s="45" t="inlineStr">
        <is>
          <t>Carbon Steel</t>
        </is>
      </c>
      <c r="AA216" s="45" t="inlineStr">
        <is>
          <t>ASTM A108 12L14</t>
        </is>
      </c>
      <c r="AB216" s="45" t="inlineStr">
        <is>
          <t>Trivalent Cr3 Zinc</t>
        </is>
      </c>
      <c r="AC216" s="45" t="inlineStr">
        <is>
          <t>ASTM B633 Type V/VI</t>
        </is>
      </c>
      <c r="AD216" s="46" t="n">
        <v>5000</v>
      </c>
      <c r="AE216" s="46" t="inlineStr">
        <is>
          <t>generic SAE table @ dash -2 (governing end)</t>
        </is>
      </c>
      <c r="AF216" s="46" t="n">
        <v>-65</v>
      </c>
      <c r="AG216" s="46" t="n">
        <v>400</v>
      </c>
      <c r="AH216" s="37" t="inlineStr">
        <is>
          <t>Ham-Let + hoseandfittings (pressure); Parker Cat.4300 (material); ASTM B633 (finish); see StandardsData</t>
        </is>
      </c>
    </row>
    <row r="217" ht="15" customHeight="1" s="35">
      <c r="A217" s="37" t="inlineStr">
        <is>
          <t>2501-02-02</t>
        </is>
      </c>
      <c r="B217" s="37" t="inlineStr">
        <is>
          <t>2501-2-2</t>
        </is>
      </c>
      <c r="C217" s="37" t="inlineStr">
        <is>
          <t>2501</t>
        </is>
      </c>
      <c r="D217" s="37" t="n">
        <v>118</v>
      </c>
      <c r="E217" s="37" t="inlineStr">
        <is>
          <t>90 deg</t>
        </is>
      </c>
      <c r="F217" s="37" t="inlineStr">
        <is>
          <t>90 deg Male Elbow, 5/16-24 x 1/8-27</t>
        </is>
      </c>
      <c r="G217" s="37" t="inlineStr">
        <is>
          <t>1/8-27</t>
        </is>
      </c>
      <c r="H217" s="37" t="inlineStr">
        <is>
          <t>5/16-24</t>
        </is>
      </c>
      <c r="I217" s="37" t="inlineStr">
        <is>
          <t>1/8</t>
        </is>
      </c>
      <c r="J217" s="37" t="inlineStr">
        <is>
          <t>ASME B1.20.3</t>
        </is>
      </c>
      <c r="K217" s="37" t="inlineStr">
        <is>
          <t>SAE J514-1</t>
        </is>
      </c>
      <c r="L217" s="37" t="n">
        <v>0.8100000000000001</v>
      </c>
      <c r="M217" s="37" t="n">
        <v>0.78</v>
      </c>
      <c r="N217" s="37" t="n">
        <v>0.5</v>
      </c>
      <c r="O217" s="37" t="n">
        <v>0.06</v>
      </c>
      <c r="P217" s="37" t="n">
        <v>0.19</v>
      </c>
      <c r="Q217" s="37" t="n"/>
      <c r="R217" s="44" t="n"/>
      <c r="S217" s="45" t="n">
        <v>0.4375</v>
      </c>
      <c r="T217" s="37" t="n">
        <v>90</v>
      </c>
      <c r="U217" s="37" t="inlineStr">
        <is>
          <t>ASSUMED</t>
        </is>
      </c>
      <c r="V217" s="37" t="inlineStr">
        <is>
          <t>Non-forged leg pattern; MS51504 covers the forged pattern (FG sibling matches MS). Air-Way single source for these legs.</t>
        </is>
      </c>
      <c r="W217" s="37" t="inlineStr">
        <is>
          <t>BUILD</t>
        </is>
      </c>
      <c r="X217" s="37" t="inlineStr">
        <is>
          <t>Dimensions verbatim from Air-Way, two reconciled passes. Hex/material/finish/pressure outstanding. | Single body hex 7/16 keyed to larger dash -2 (sources show hex follows larger end).</t>
        </is>
      </c>
      <c r="Z217" s="45" t="inlineStr">
        <is>
          <t>Carbon Steel</t>
        </is>
      </c>
      <c r="AA217" s="45" t="inlineStr">
        <is>
          <t>ASTM A108 12L14</t>
        </is>
      </c>
      <c r="AB217" s="45" t="inlineStr">
        <is>
          <t>Trivalent Cr3 Zinc</t>
        </is>
      </c>
      <c r="AC217" s="45" t="inlineStr">
        <is>
          <t>ASTM B633 Type V/VI</t>
        </is>
      </c>
      <c r="AD217" s="46" t="n">
        <v>5000</v>
      </c>
      <c r="AE217" s="46" t="inlineStr">
        <is>
          <t>generic SAE table @ dash -2 (governing end)</t>
        </is>
      </c>
      <c r="AF217" s="46" t="n">
        <v>-65</v>
      </c>
      <c r="AG217" s="46" t="n">
        <v>400</v>
      </c>
      <c r="AH217" s="37" t="inlineStr">
        <is>
          <t>Ham-Let + hoseandfittings (pressure); Parker Cat.4300 (material); ASTM B633 (finish); see StandardsData</t>
        </is>
      </c>
    </row>
    <row r="218" ht="15" customHeight="1" s="35">
      <c r="A218" s="37" t="inlineStr">
        <is>
          <t>2501-02-04</t>
        </is>
      </c>
      <c r="B218" s="37" t="inlineStr">
        <is>
          <t>2501-2-4</t>
        </is>
      </c>
      <c r="C218" s="37" t="inlineStr">
        <is>
          <t>2501</t>
        </is>
      </c>
      <c r="D218" s="37" t="n">
        <v>118</v>
      </c>
      <c r="E218" s="37" t="inlineStr">
        <is>
          <t>90 deg</t>
        </is>
      </c>
      <c r="F218" s="37" t="inlineStr">
        <is>
          <t>90 deg Male Elbow, 5/16-24 x 1/4-18</t>
        </is>
      </c>
      <c r="G218" s="37" t="inlineStr">
        <is>
          <t>1/4-18</t>
        </is>
      </c>
      <c r="H218" s="37" t="inlineStr">
        <is>
          <t>5/16-24</t>
        </is>
      </c>
      <c r="I218" s="37" t="inlineStr">
        <is>
          <t>1/8</t>
        </is>
      </c>
      <c r="J218" s="37" t="inlineStr">
        <is>
          <t>ASME B1.20.3</t>
        </is>
      </c>
      <c r="K218" s="37" t="inlineStr">
        <is>
          <t>SAE J514-1</t>
        </is>
      </c>
      <c r="L218" s="37" t="n">
        <v>0.87</v>
      </c>
      <c r="M218" s="37" t="n">
        <v>1.09</v>
      </c>
      <c r="N218" s="37" t="n">
        <v>0.63</v>
      </c>
      <c r="O218" s="37" t="n">
        <v>0.06</v>
      </c>
      <c r="P218" s="37" t="n">
        <v>0.28</v>
      </c>
      <c r="Q218" s="37" t="n"/>
      <c r="R218" s="44" t="n"/>
      <c r="S218" s="45" t="n">
        <v>0.5625</v>
      </c>
      <c r="T218" s="37" t="n">
        <v>90</v>
      </c>
      <c r="U218" s="37" t="inlineStr">
        <is>
          <t>ASSUMED</t>
        </is>
      </c>
      <c r="V218" s="37" t="inlineStr">
        <is>
          <t>MS51504 has no row for this size combo; Air-Way remains single source.</t>
        </is>
      </c>
      <c r="W218" s="37" t="inlineStr">
        <is>
          <t>BUILD</t>
        </is>
      </c>
      <c r="X218" s="37" t="inlineStr">
        <is>
          <t>Dimensions verbatim from Air-Way, two reconciled passes. Hex/material/finish/pressure outstanding. | Single body hex 9/16 keyed to larger dash -4 (sources show hex follows larger end).</t>
        </is>
      </c>
      <c r="Z218" s="45" t="inlineStr">
        <is>
          <t>Carbon Steel</t>
        </is>
      </c>
      <c r="AA218" s="45" t="inlineStr">
        <is>
          <t>ASTM A108 12L14</t>
        </is>
      </c>
      <c r="AB218" s="45" t="inlineStr">
        <is>
          <t>Trivalent Cr3 Zinc</t>
        </is>
      </c>
      <c r="AC218" s="45" t="inlineStr">
        <is>
          <t>ASTM B633 Type V/VI</t>
        </is>
      </c>
      <c r="AD218" s="46" t="n">
        <v>5000</v>
      </c>
      <c r="AE218" s="46" t="inlineStr">
        <is>
          <t>generic SAE table @ dash -4 (governing end)</t>
        </is>
      </c>
      <c r="AF218" s="46" t="n">
        <v>-65</v>
      </c>
      <c r="AG218" s="46" t="n">
        <v>400</v>
      </c>
      <c r="AH218" s="37" t="inlineStr">
        <is>
          <t>Ham-Let + hoseandfittings (pressure); Parker Cat.4300 (material); ASTM B633 (finish); see StandardsData</t>
        </is>
      </c>
    </row>
    <row r="219" ht="15" customHeight="1" s="35">
      <c r="A219" s="37" t="inlineStr">
        <is>
          <t>2501-03-02-FG</t>
        </is>
      </c>
      <c r="B219" s="37" t="inlineStr">
        <is>
          <t>2501-3-2-FG</t>
        </is>
      </c>
      <c r="C219" s="37" t="inlineStr">
        <is>
          <t>2501</t>
        </is>
      </c>
      <c r="D219" s="37" t="n">
        <v>118</v>
      </c>
      <c r="E219" s="37" t="inlineStr">
        <is>
          <t>90 deg</t>
        </is>
      </c>
      <c r="F219" s="37" t="inlineStr">
        <is>
          <t>90 deg Male Elbow, 3/8-24 x 1/8-27</t>
        </is>
      </c>
      <c r="G219" s="37" t="inlineStr">
        <is>
          <t>1/8-27</t>
        </is>
      </c>
      <c r="H219" s="37" t="inlineStr">
        <is>
          <t>3/8-24</t>
        </is>
      </c>
      <c r="I219" s="37" t="inlineStr">
        <is>
          <t>3/16</t>
        </is>
      </c>
      <c r="J219" s="37" t="inlineStr">
        <is>
          <t>ASME B1.20.3</t>
        </is>
      </c>
      <c r="K219" s="37" t="inlineStr">
        <is>
          <t>SAE J514-1</t>
        </is>
      </c>
      <c r="L219" s="37" t="n">
        <v>0.83</v>
      </c>
      <c r="M219" s="37" t="n">
        <v>0.72</v>
      </c>
      <c r="N219" s="37" t="n">
        <v>0.44</v>
      </c>
      <c r="O219" s="37" t="n">
        <v>0.13</v>
      </c>
      <c r="P219" s="37" t="n">
        <v>0.19</v>
      </c>
      <c r="Q219" s="37" t="n"/>
      <c r="R219" s="44" t="n"/>
      <c r="S219" s="47" t="n"/>
      <c r="T219" s="37" t="n">
        <v>90</v>
      </c>
      <c r="U219" s="37" t="inlineStr">
        <is>
          <t>MISSING</t>
        </is>
      </c>
      <c r="V219" s="37" t="inlineStr">
        <is>
          <t>MS51504 cross-check 2026-09-04: B,M,N,D,D1 all AGREE (forged pattern).</t>
        </is>
      </c>
      <c r="W219" s="37" t="inlineStr">
        <is>
          <t>BUILD</t>
        </is>
      </c>
      <c r="X219" s="37" t="inlineStr">
        <is>
          <t>Dimensions verbatim from Air-Way, two reconciled passes. Hex/material/finish/pressure outstanding.</t>
        </is>
      </c>
      <c r="Z219" s="45" t="inlineStr">
        <is>
          <t>Carbon Steel</t>
        </is>
      </c>
      <c r="AA219" s="45" t="inlineStr">
        <is>
          <t>ASTM A108 12L14</t>
        </is>
      </c>
      <c r="AB219" s="45" t="inlineStr">
        <is>
          <t>Trivalent Cr3 Zinc</t>
        </is>
      </c>
      <c r="AC219" s="45" t="inlineStr">
        <is>
          <t>ASTM B633 Type V/VI</t>
        </is>
      </c>
      <c r="AD219" s="46" t="n">
        <v>5000</v>
      </c>
      <c r="AE219" s="46" t="inlineStr">
        <is>
          <t>generic SAE table @ dash -3 (governing end)</t>
        </is>
      </c>
      <c r="AF219" s="46" t="n">
        <v>-65</v>
      </c>
      <c r="AG219" s="46" t="n">
        <v>400</v>
      </c>
      <c r="AH219" s="37" t="inlineStr">
        <is>
          <t>Ham-Let + hoseandfittings (pressure); Parker Cat.4300 (material); ASTM B633 (finish); see StandardsData</t>
        </is>
      </c>
    </row>
    <row r="220" ht="15" customHeight="1" s="35">
      <c r="A220" s="37" t="inlineStr">
        <is>
          <t>2501-03-02</t>
        </is>
      </c>
      <c r="B220" s="37" t="inlineStr">
        <is>
          <t>2501-3-2</t>
        </is>
      </c>
      <c r="C220" s="37" t="inlineStr">
        <is>
          <t>2501</t>
        </is>
      </c>
      <c r="D220" s="37" t="n">
        <v>118</v>
      </c>
      <c r="E220" s="37" t="inlineStr">
        <is>
          <t>90 deg</t>
        </is>
      </c>
      <c r="F220" s="37" t="inlineStr">
        <is>
          <t>90 deg Male Elbow, 3/8-24 x 1/8-27</t>
        </is>
      </c>
      <c r="G220" s="37" t="inlineStr">
        <is>
          <t>1/8-27</t>
        </is>
      </c>
      <c r="H220" s="37" t="inlineStr">
        <is>
          <t>3/8-24</t>
        </is>
      </c>
      <c r="I220" s="37" t="inlineStr">
        <is>
          <t>3/16</t>
        </is>
      </c>
      <c r="J220" s="37" t="inlineStr">
        <is>
          <t>ASME B1.20.3</t>
        </is>
      </c>
      <c r="K220" s="37" t="inlineStr">
        <is>
          <t>SAE J514-1</t>
        </is>
      </c>
      <c r="L220" s="37" t="n">
        <v>0.86</v>
      </c>
      <c r="M220" s="37" t="n">
        <v>0.78</v>
      </c>
      <c r="N220" s="37" t="n">
        <v>0.5</v>
      </c>
      <c r="O220" s="37" t="n">
        <v>0.13</v>
      </c>
      <c r="P220" s="37" t="n">
        <v>0.19</v>
      </c>
      <c r="Q220" s="37" t="n"/>
      <c r="R220" s="44" t="n"/>
      <c r="S220" s="47" t="n"/>
      <c r="T220" s="37" t="n">
        <v>90</v>
      </c>
      <c r="U220" s="37" t="inlineStr">
        <is>
          <t>MISSING</t>
        </is>
      </c>
      <c r="V220" s="37" t="inlineStr">
        <is>
          <t>Non-forged leg pattern; MS51504 covers the forged pattern (FG sibling matches MS). Air-Way single source for these legs.</t>
        </is>
      </c>
      <c r="W220" s="37" t="inlineStr">
        <is>
          <t>BUILD</t>
        </is>
      </c>
      <c r="X220" s="37" t="inlineStr">
        <is>
          <t>Dimensions verbatim from Air-Way, two reconciled passes. Hex/material/finish/pressure outstanding.</t>
        </is>
      </c>
      <c r="Z220" s="45" t="inlineStr">
        <is>
          <t>Carbon Steel</t>
        </is>
      </c>
      <c r="AA220" s="45" t="inlineStr">
        <is>
          <t>ASTM A108 12L14</t>
        </is>
      </c>
      <c r="AB220" s="45" t="inlineStr">
        <is>
          <t>Trivalent Cr3 Zinc</t>
        </is>
      </c>
      <c r="AC220" s="45" t="inlineStr">
        <is>
          <t>ASTM B633 Type V/VI</t>
        </is>
      </c>
      <c r="AD220" s="46" t="n">
        <v>5000</v>
      </c>
      <c r="AE220" s="46" t="inlineStr">
        <is>
          <t>generic SAE table @ dash -3 (governing end)</t>
        </is>
      </c>
      <c r="AF220" s="46" t="n">
        <v>-65</v>
      </c>
      <c r="AG220" s="46" t="n">
        <v>400</v>
      </c>
      <c r="AH220" s="37" t="inlineStr">
        <is>
          <t>Ham-Let + hoseandfittings (pressure); Parker Cat.4300 (material); ASTM B633 (finish); see StandardsData</t>
        </is>
      </c>
    </row>
    <row r="221" ht="15" customHeight="1" s="35">
      <c r="A221" s="37" t="inlineStr">
        <is>
          <t>2501-04-02-FG</t>
        </is>
      </c>
      <c r="B221" s="37" t="inlineStr">
        <is>
          <t>2501-4-2-FG</t>
        </is>
      </c>
      <c r="C221" s="37" t="inlineStr">
        <is>
          <t>2501</t>
        </is>
      </c>
      <c r="D221" s="37" t="n">
        <v>118</v>
      </c>
      <c r="E221" s="37" t="inlineStr">
        <is>
          <t>90 deg</t>
        </is>
      </c>
      <c r="F221" s="37" t="inlineStr">
        <is>
          <t>90 deg Male Elbow, 7/16-20 x 1/8-27</t>
        </is>
      </c>
      <c r="G221" s="37" t="inlineStr">
        <is>
          <t>1/8-27</t>
        </is>
      </c>
      <c r="H221" s="37" t="inlineStr">
        <is>
          <t>7/16-20</t>
        </is>
      </c>
      <c r="I221" s="37" t="inlineStr">
        <is>
          <t>1/4</t>
        </is>
      </c>
      <c r="J221" s="37" t="inlineStr">
        <is>
          <t>ASME B1.20.3</t>
        </is>
      </c>
      <c r="K221" s="37" t="inlineStr">
        <is>
          <t>SAE J514-1</t>
        </is>
      </c>
      <c r="L221" s="37" t="n">
        <v>0.89</v>
      </c>
      <c r="M221" s="37" t="n">
        <v>0.78</v>
      </c>
      <c r="N221" s="37" t="n">
        <v>0.44</v>
      </c>
      <c r="O221" s="37" t="n">
        <v>0.17</v>
      </c>
      <c r="P221" s="37" t="n">
        <v>0.19</v>
      </c>
      <c r="Q221" s="37" t="n"/>
      <c r="R221" s="44" t="n"/>
      <c r="S221" s="45" t="n">
        <v>0.5625</v>
      </c>
      <c r="T221" s="37" t="n">
        <v>90</v>
      </c>
      <c r="U221" s="37" t="inlineStr">
        <is>
          <t>VERIFIED</t>
        </is>
      </c>
      <c r="V221" s="37" t="inlineStr">
        <is>
          <t>RESOLVED 2-1: N=0.78 (MS51504+Brennan drawing agree; Air-Way printed 0.76, outvoted). 2026-09-05 Brennan product-drawing tiebreak</t>
        </is>
      </c>
      <c r="W221" s="37" t="inlineStr">
        <is>
          <t>BUILD</t>
        </is>
      </c>
      <c r="X221" s="37" t="inlineStr">
        <is>
          <t>Dimensions verbatim from Air-Way, two reconciled passes. Hex/material/finish/pressure outstanding. | Single body hex 9/16 keyed to larger dash -4 (sources show hex follows larger end). | MS51504 DIVERGES on N -&gt; N: AW=0.76 vs MS=0.78. Blocked pending decision.</t>
        </is>
      </c>
      <c r="Z221" s="45" t="inlineStr">
        <is>
          <t>Carbon Steel</t>
        </is>
      </c>
      <c r="AA221" s="45" t="inlineStr">
        <is>
          <t>ASTM A108 12L14</t>
        </is>
      </c>
      <c r="AB221" s="45" t="inlineStr">
        <is>
          <t>Trivalent Cr3 Zinc</t>
        </is>
      </c>
      <c r="AC221" s="45" t="inlineStr">
        <is>
          <t>ASTM B633 Type V/VI</t>
        </is>
      </c>
      <c r="AD221" s="46" t="n">
        <v>5000</v>
      </c>
      <c r="AE221" s="46" t="inlineStr">
        <is>
          <t>generic SAE table @ dash -4 (governing end)</t>
        </is>
      </c>
      <c r="AF221" s="46" t="n">
        <v>-65</v>
      </c>
      <c r="AG221" s="46" t="n">
        <v>400</v>
      </c>
      <c r="AH221" s="37" t="inlineStr">
        <is>
          <t>Ham-Let + hoseandfittings (pressure); Parker Cat.4300 (material); ASTM B633 (finish); see StandardsData</t>
        </is>
      </c>
    </row>
    <row r="222" ht="15" customHeight="1" s="35">
      <c r="A222" s="37" t="inlineStr">
        <is>
          <t>2501-04-02</t>
        </is>
      </c>
      <c r="B222" s="37" t="inlineStr">
        <is>
          <t>2501-4-2</t>
        </is>
      </c>
      <c r="C222" s="37" t="inlineStr">
        <is>
          <t>2501</t>
        </is>
      </c>
      <c r="D222" s="37" t="n">
        <v>118</v>
      </c>
      <c r="E222" s="37" t="inlineStr">
        <is>
          <t>90 deg</t>
        </is>
      </c>
      <c r="F222" s="37" t="inlineStr">
        <is>
          <t>90 deg Male Elbow, 7/16-20 x 1/8-27</t>
        </is>
      </c>
      <c r="G222" s="37" t="inlineStr">
        <is>
          <t>1/8-27</t>
        </is>
      </c>
      <c r="H222" s="37" t="inlineStr">
        <is>
          <t>7/16-20</t>
        </is>
      </c>
      <c r="I222" s="37" t="inlineStr">
        <is>
          <t>1/4</t>
        </is>
      </c>
      <c r="J222" s="37" t="inlineStr">
        <is>
          <t>ASME B1.20.3</t>
        </is>
      </c>
      <c r="K222" s="37" t="inlineStr">
        <is>
          <t>SAE J514-1</t>
        </is>
      </c>
      <c r="L222" s="37" t="n">
        <v>0.89</v>
      </c>
      <c r="M222" s="37" t="n">
        <v>0.78</v>
      </c>
      <c r="N222" s="37" t="n">
        <v>0.5</v>
      </c>
      <c r="O222" s="37" t="n">
        <v>0.17</v>
      </c>
      <c r="P222" s="37" t="n">
        <v>0.19</v>
      </c>
      <c r="Q222" s="37" t="n"/>
      <c r="R222" s="44" t="n"/>
      <c r="S222" s="45" t="n">
        <v>0.5625</v>
      </c>
      <c r="T222" s="37" t="n">
        <v>90</v>
      </c>
      <c r="U222" s="37" t="inlineStr">
        <is>
          <t>ASSUMED</t>
        </is>
      </c>
      <c r="V222" s="37" t="inlineStr">
        <is>
          <t>Non-forged leg pattern; MS51504 covers the forged pattern (FG sibling matches MS). Air-Way single source for these legs.</t>
        </is>
      </c>
      <c r="W222" s="37" t="inlineStr">
        <is>
          <t>BUILD</t>
        </is>
      </c>
      <c r="X222" s="37" t="inlineStr">
        <is>
          <t>Dimensions verbatim from Air-Way, two reconciled passes. Hex/material/finish/pressure outstanding. | Single body hex 9/16 keyed to larger dash -4 (sources show hex follows larger end).</t>
        </is>
      </c>
      <c r="Z222" s="45" t="inlineStr">
        <is>
          <t>Carbon Steel</t>
        </is>
      </c>
      <c r="AA222" s="45" t="inlineStr">
        <is>
          <t>ASTM A108 12L14</t>
        </is>
      </c>
      <c r="AB222" s="45" t="inlineStr">
        <is>
          <t>Trivalent Cr3 Zinc</t>
        </is>
      </c>
      <c r="AC222" s="45" t="inlineStr">
        <is>
          <t>ASTM B633 Type V/VI</t>
        </is>
      </c>
      <c r="AD222" s="46" t="n">
        <v>5000</v>
      </c>
      <c r="AE222" s="46" t="inlineStr">
        <is>
          <t>generic SAE table @ dash -4 (governing end)</t>
        </is>
      </c>
      <c r="AF222" s="46" t="n">
        <v>-65</v>
      </c>
      <c r="AG222" s="46" t="n">
        <v>400</v>
      </c>
      <c r="AH222" s="37" t="inlineStr">
        <is>
          <t>Ham-Let + hoseandfittings (pressure); Parker Cat.4300 (material); ASTM B633 (finish); see StandardsData</t>
        </is>
      </c>
    </row>
    <row r="223" ht="15" customHeight="1" s="35">
      <c r="A223" s="37" t="inlineStr">
        <is>
          <t>2501-04-04-FG</t>
        </is>
      </c>
      <c r="B223" s="37" t="inlineStr">
        <is>
          <t>2501-4-4-FG</t>
        </is>
      </c>
      <c r="C223" s="37" t="inlineStr">
        <is>
          <t>2501</t>
        </is>
      </c>
      <c r="D223" s="37" t="n">
        <v>118</v>
      </c>
      <c r="E223" s="37" t="inlineStr">
        <is>
          <t>90 deg</t>
        </is>
      </c>
      <c r="F223" s="37" t="inlineStr">
        <is>
          <t>90 deg Male Elbow, 7/16-20 x 1/4-18</t>
        </is>
      </c>
      <c r="G223" s="37" t="inlineStr">
        <is>
          <t>1/4-18</t>
        </is>
      </c>
      <c r="H223" s="37" t="inlineStr">
        <is>
          <t>7/16-20</t>
        </is>
      </c>
      <c r="I223" s="37" t="inlineStr">
        <is>
          <t>1/4</t>
        </is>
      </c>
      <c r="J223" s="37" t="inlineStr">
        <is>
          <t>ASME B1.20.3</t>
        </is>
      </c>
      <c r="K223" s="37" t="inlineStr">
        <is>
          <t>SAE J514-1</t>
        </is>
      </c>
      <c r="L223" s="37" t="n">
        <v>1.05</v>
      </c>
      <c r="M223" s="37" t="n">
        <v>1.09</v>
      </c>
      <c r="N223" s="37" t="n">
        <v>0.5600000000000001</v>
      </c>
      <c r="O223" s="37" t="n">
        <v>0.17</v>
      </c>
      <c r="P223" s="37" t="n">
        <v>0.28</v>
      </c>
      <c r="Q223" s="37" t="n"/>
      <c r="R223" s="44" t="n"/>
      <c r="S223" s="45" t="n">
        <v>0.5625</v>
      </c>
      <c r="T223" s="37" t="n">
        <v>90</v>
      </c>
      <c r="U223" s="37" t="inlineStr">
        <is>
          <t>ASSUMED</t>
        </is>
      </c>
      <c r="V223" s="37" t="inlineStr">
        <is>
          <t>MS51504 cross-check 2026-09-04: B,M,N,D,D1 all AGREE (forged pattern).</t>
        </is>
      </c>
      <c r="W223" s="37" t="inlineStr">
        <is>
          <t>BUILD</t>
        </is>
      </c>
      <c r="X223" s="37" t="inlineStr">
        <is>
          <t>Dimensions verbatim from Air-Way, two reconciled passes. Hex/material/finish/pressure outstanding. | Single body hex 9/16 keyed to larger dash -4 (sources show hex follows larger end).</t>
        </is>
      </c>
      <c r="Z223" s="45" t="inlineStr">
        <is>
          <t>Carbon Steel</t>
        </is>
      </c>
      <c r="AA223" s="45" t="inlineStr">
        <is>
          <t>ASTM A108 12L14</t>
        </is>
      </c>
      <c r="AB223" s="45" t="inlineStr">
        <is>
          <t>Trivalent Cr3 Zinc</t>
        </is>
      </c>
      <c r="AC223" s="45" t="inlineStr">
        <is>
          <t>ASTM B633 Type V/VI</t>
        </is>
      </c>
      <c r="AD223" s="46" t="n">
        <v>5000</v>
      </c>
      <c r="AE223" s="46" t="inlineStr">
        <is>
          <t>generic SAE table @ dash -4 (governing end)</t>
        </is>
      </c>
      <c r="AF223" s="46" t="n">
        <v>-65</v>
      </c>
      <c r="AG223" s="46" t="n">
        <v>400</v>
      </c>
      <c r="AH223" s="37" t="inlineStr">
        <is>
          <t>Ham-Let + hoseandfittings (pressure); Parker Cat.4300 (material); ASTM B633 (finish); see StandardsData</t>
        </is>
      </c>
    </row>
    <row r="224" ht="15" customHeight="1" s="35">
      <c r="A224" s="37" t="inlineStr">
        <is>
          <t>2501-04-04</t>
        </is>
      </c>
      <c r="B224" s="37" t="inlineStr">
        <is>
          <t>2501-4-4</t>
        </is>
      </c>
      <c r="C224" s="37" t="inlineStr">
        <is>
          <t>2501</t>
        </is>
      </c>
      <c r="D224" s="37" t="n">
        <v>118</v>
      </c>
      <c r="E224" s="37" t="inlineStr">
        <is>
          <t>90 deg</t>
        </is>
      </c>
      <c r="F224" s="37" t="inlineStr">
        <is>
          <t>90 deg Male Elbow, 7/16-20 x 1/4-18</t>
        </is>
      </c>
      <c r="G224" s="37" t="inlineStr">
        <is>
          <t>1/4-18</t>
        </is>
      </c>
      <c r="H224" s="37" t="inlineStr">
        <is>
          <t>7/16-20</t>
        </is>
      </c>
      <c r="I224" s="37" t="inlineStr">
        <is>
          <t>1/4</t>
        </is>
      </c>
      <c r="J224" s="37" t="inlineStr">
        <is>
          <t>ASME B1.20.3</t>
        </is>
      </c>
      <c r="K224" s="37" t="inlineStr">
        <is>
          <t>SAE J514-1</t>
        </is>
      </c>
      <c r="L224" s="37" t="n">
        <v>0.95</v>
      </c>
      <c r="M224" s="37" t="n">
        <v>1.09</v>
      </c>
      <c r="N224" s="37" t="n">
        <v>0.63</v>
      </c>
      <c r="O224" s="37" t="n">
        <v>0.17</v>
      </c>
      <c r="P224" s="37" t="n">
        <v>0.28</v>
      </c>
      <c r="Q224" s="37" t="n"/>
      <c r="R224" s="44" t="n"/>
      <c r="S224" s="45" t="n">
        <v>0.5625</v>
      </c>
      <c r="T224" s="37" t="n">
        <v>90</v>
      </c>
      <c r="U224" s="37" t="inlineStr">
        <is>
          <t>ASSUMED</t>
        </is>
      </c>
      <c r="V224" s="37" t="inlineStr">
        <is>
          <t>Non-forged leg pattern; MS51504 covers the forged pattern (FG sibling matches MS). Air-Way single source for these legs.</t>
        </is>
      </c>
      <c r="W224" s="37" t="inlineStr">
        <is>
          <t>BUILD</t>
        </is>
      </c>
      <c r="X224" s="37" t="inlineStr">
        <is>
          <t>Dimensions verbatim from Air-Way, two reconciled passes. Hex/material/finish/pressure outstanding. | Single body hex 9/16 keyed to larger dash -4 (sources show hex follows larger end).</t>
        </is>
      </c>
      <c r="Z224" s="45" t="inlineStr">
        <is>
          <t>Carbon Steel</t>
        </is>
      </c>
      <c r="AA224" s="45" t="inlineStr">
        <is>
          <t>ASTM A108 12L14</t>
        </is>
      </c>
      <c r="AB224" s="45" t="inlineStr">
        <is>
          <t>Trivalent Cr3 Zinc</t>
        </is>
      </c>
      <c r="AC224" s="45" t="inlineStr">
        <is>
          <t>ASTM B633 Type V/VI</t>
        </is>
      </c>
      <c r="AD224" s="46" t="n">
        <v>5000</v>
      </c>
      <c r="AE224" s="46" t="inlineStr">
        <is>
          <t>generic SAE table @ dash -4 (governing end)</t>
        </is>
      </c>
      <c r="AF224" s="46" t="n">
        <v>-65</v>
      </c>
      <c r="AG224" s="46" t="n">
        <v>400</v>
      </c>
      <c r="AH224" s="37" t="inlineStr">
        <is>
          <t>Ham-Let + hoseandfittings (pressure); Parker Cat.4300 (material); ASTM B633 (finish); see StandardsData</t>
        </is>
      </c>
    </row>
    <row r="225" ht="15" customHeight="1" s="35">
      <c r="A225" s="37" t="inlineStr">
        <is>
          <t>2501-04-06-FG</t>
        </is>
      </c>
      <c r="B225" s="37" t="inlineStr">
        <is>
          <t>2501-4-6-FG</t>
        </is>
      </c>
      <c r="C225" s="37" t="inlineStr">
        <is>
          <t>2501</t>
        </is>
      </c>
      <c r="D225" s="37" t="n">
        <v>118</v>
      </c>
      <c r="E225" s="37" t="inlineStr">
        <is>
          <t>90 deg</t>
        </is>
      </c>
      <c r="F225" s="37" t="inlineStr">
        <is>
          <t>90 deg Male Elbow, 7/16-20 x 3/8-18</t>
        </is>
      </c>
      <c r="G225" s="37" t="inlineStr">
        <is>
          <t>3/8-18</t>
        </is>
      </c>
      <c r="H225" s="37" t="inlineStr">
        <is>
          <t>7/16-20</t>
        </is>
      </c>
      <c r="I225" s="37" t="inlineStr">
        <is>
          <t>1/4</t>
        </is>
      </c>
      <c r="J225" s="37" t="inlineStr">
        <is>
          <t>ASME B1.20.3</t>
        </is>
      </c>
      <c r="K225" s="37" t="inlineStr">
        <is>
          <t>SAE J514-1</t>
        </is>
      </c>
      <c r="L225" s="37" t="n">
        <v>1.12</v>
      </c>
      <c r="M225" s="37" t="n">
        <v>1.22</v>
      </c>
      <c r="N225" s="37" t="n">
        <v>0.75</v>
      </c>
      <c r="O225" s="37" t="n">
        <v>0.17</v>
      </c>
      <c r="P225" s="37" t="n">
        <v>0.41</v>
      </c>
      <c r="Q225" s="37" t="n"/>
      <c r="R225" s="44" t="n"/>
      <c r="S225" s="45" t="n">
        <v>0.75</v>
      </c>
      <c r="T225" s="37" t="n">
        <v>90</v>
      </c>
      <c r="U225" s="37" t="inlineStr">
        <is>
          <t>ASSUMED</t>
        </is>
      </c>
      <c r="V225" s="37" t="inlineStr">
        <is>
          <t>MS51504 has no row for this size combo; Air-Way remains single source.</t>
        </is>
      </c>
      <c r="W225" s="37" t="inlineStr">
        <is>
          <t>BUILD</t>
        </is>
      </c>
      <c r="X225" s="37" t="inlineStr">
        <is>
          <t>Dimensions verbatim from Air-Way, two reconciled passes. Hex/material/finish/pressure outstanding. | Single body hex 3/4 keyed to larger dash -6 (sources show hex follows larger end).</t>
        </is>
      </c>
      <c r="Z225" s="45" t="inlineStr">
        <is>
          <t>Carbon Steel</t>
        </is>
      </c>
      <c r="AA225" s="45" t="inlineStr">
        <is>
          <t>ASTM A108 12L14</t>
        </is>
      </c>
      <c r="AB225" s="45" t="inlineStr">
        <is>
          <t>Trivalent Cr3 Zinc</t>
        </is>
      </c>
      <c r="AC225" s="45" t="inlineStr">
        <is>
          <t>ASTM B633 Type V/VI</t>
        </is>
      </c>
      <c r="AD225" s="46" t="n">
        <v>5000</v>
      </c>
      <c r="AE225" s="46" t="inlineStr">
        <is>
          <t>generic SAE table @ dash -6 (governing end)</t>
        </is>
      </c>
      <c r="AF225" s="46" t="n">
        <v>-65</v>
      </c>
      <c r="AG225" s="46" t="n">
        <v>400</v>
      </c>
      <c r="AH225" s="37" t="inlineStr">
        <is>
          <t>Ham-Let + hoseandfittings (pressure); Parker Cat.4300 (material); ASTM B633 (finish); see StandardsData</t>
        </is>
      </c>
    </row>
    <row r="226" ht="15" customHeight="1" s="35">
      <c r="A226" s="37" t="inlineStr">
        <is>
          <t>2501-04-06</t>
        </is>
      </c>
      <c r="B226" s="37" t="inlineStr">
        <is>
          <t>2501-4-6</t>
        </is>
      </c>
      <c r="C226" s="37" t="inlineStr">
        <is>
          <t>2501</t>
        </is>
      </c>
      <c r="D226" s="37" t="n">
        <v>118</v>
      </c>
      <c r="E226" s="37" t="inlineStr">
        <is>
          <t>90 deg</t>
        </is>
      </c>
      <c r="F226" s="37" t="inlineStr">
        <is>
          <t>90 deg Male Elbow, 7/16-20 x 3/8-18</t>
        </is>
      </c>
      <c r="G226" s="37" t="inlineStr">
        <is>
          <t>3/8-18</t>
        </is>
      </c>
      <c r="H226" s="37" t="inlineStr">
        <is>
          <t>7/16-20</t>
        </is>
      </c>
      <c r="I226" s="37" t="inlineStr">
        <is>
          <t>1/4</t>
        </is>
      </c>
      <c r="J226" s="37" t="inlineStr">
        <is>
          <t>ASME B1.20.3</t>
        </is>
      </c>
      <c r="K226" s="37" t="inlineStr">
        <is>
          <t>SAE J514-1</t>
        </is>
      </c>
      <c r="L226" s="37" t="n">
        <v>1.05</v>
      </c>
      <c r="M226" s="37" t="n">
        <v>1.22</v>
      </c>
      <c r="N226" s="37" t="n">
        <v>0.8100000000000001</v>
      </c>
      <c r="O226" s="37" t="n">
        <v>0.17</v>
      </c>
      <c r="P226" s="37" t="n">
        <v>0.41</v>
      </c>
      <c r="Q226" s="37" t="n"/>
      <c r="R226" s="44" t="n"/>
      <c r="S226" s="45" t="n">
        <v>0.75</v>
      </c>
      <c r="T226" s="37" t="n">
        <v>90</v>
      </c>
      <c r="U226" s="37" t="inlineStr">
        <is>
          <t>ASSUMED</t>
        </is>
      </c>
      <c r="V226" s="37" t="inlineStr">
        <is>
          <t>MS51504 has no row for this size combo; Air-Way remains single source.</t>
        </is>
      </c>
      <c r="W226" s="37" t="inlineStr">
        <is>
          <t>BUILD</t>
        </is>
      </c>
      <c r="X226" s="37" t="inlineStr">
        <is>
          <t>Dimensions verbatim from Air-Way, two reconciled passes. Hex/material/finish/pressure outstanding. | Single body hex 3/4 keyed to larger dash -6 (sources show hex follows larger end).</t>
        </is>
      </c>
      <c r="Z226" s="45" t="inlineStr">
        <is>
          <t>Carbon Steel</t>
        </is>
      </c>
      <c r="AA226" s="45" t="inlineStr">
        <is>
          <t>ASTM A108 12L14</t>
        </is>
      </c>
      <c r="AB226" s="45" t="inlineStr">
        <is>
          <t>Trivalent Cr3 Zinc</t>
        </is>
      </c>
      <c r="AC226" s="45" t="inlineStr">
        <is>
          <t>ASTM B633 Type V/VI</t>
        </is>
      </c>
      <c r="AD226" s="46" t="n">
        <v>5000</v>
      </c>
      <c r="AE226" s="46" t="inlineStr">
        <is>
          <t>generic SAE table @ dash -6 (governing end)</t>
        </is>
      </c>
      <c r="AF226" s="46" t="n">
        <v>-65</v>
      </c>
      <c r="AG226" s="46" t="n">
        <v>400</v>
      </c>
      <c r="AH226" s="37" t="inlineStr">
        <is>
          <t>Ham-Let + hoseandfittings (pressure); Parker Cat.4300 (material); ASTM B633 (finish); see StandardsData</t>
        </is>
      </c>
    </row>
    <row r="227" ht="15" customHeight="1" s="35">
      <c r="A227" s="37" t="inlineStr">
        <is>
          <t>2501-04-08-FG</t>
        </is>
      </c>
      <c r="B227" s="37" t="inlineStr">
        <is>
          <t>2501-4-8-FG</t>
        </is>
      </c>
      <c r="C227" s="37" t="inlineStr">
        <is>
          <t>2501</t>
        </is>
      </c>
      <c r="D227" s="37" t="n">
        <v>118</v>
      </c>
      <c r="E227" s="37" t="inlineStr">
        <is>
          <t>90 deg</t>
        </is>
      </c>
      <c r="F227" s="37" t="inlineStr">
        <is>
          <t>90 deg Male Elbow, 7/16-20 x 1/2-14</t>
        </is>
      </c>
      <c r="G227" s="37" t="inlineStr">
        <is>
          <t>1/2-14</t>
        </is>
      </c>
      <c r="H227" s="37" t="inlineStr">
        <is>
          <t>7/16-20</t>
        </is>
      </c>
      <c r="I227" s="37" t="inlineStr">
        <is>
          <t>1/4</t>
        </is>
      </c>
      <c r="J227" s="37" t="inlineStr">
        <is>
          <t>ASME B1.20.3</t>
        </is>
      </c>
      <c r="K227" s="37" t="inlineStr">
        <is>
          <t>SAE J514-1</t>
        </is>
      </c>
      <c r="L227" s="37" t="n">
        <v>1.21</v>
      </c>
      <c r="M227" s="37" t="n">
        <v>1.47</v>
      </c>
      <c r="N227" s="37" t="n">
        <v>0.88</v>
      </c>
      <c r="O227" s="37" t="n">
        <v>0.17</v>
      </c>
      <c r="P227" s="37" t="n">
        <v>0.53</v>
      </c>
      <c r="Q227" s="37" t="n"/>
      <c r="R227" s="44" t="n"/>
      <c r="S227" s="45" t="n">
        <v>0.875</v>
      </c>
      <c r="T227" s="37" t="n">
        <v>90</v>
      </c>
      <c r="U227" s="37" t="inlineStr">
        <is>
          <t>ASSUMED</t>
        </is>
      </c>
      <c r="V227" s="37" t="inlineStr">
        <is>
          <t>MS51504 has no row for this size combo; Air-Way remains single source.</t>
        </is>
      </c>
      <c r="W227" s="37" t="inlineStr">
        <is>
          <t>BUILD</t>
        </is>
      </c>
      <c r="X227" s="37" t="inlineStr">
        <is>
          <t>Dimensions verbatim from Air-Way, two reconciled passes. Hex/material/finish/pressure outstanding. | Single body hex 7/8 keyed to larger dash -8 (sources show hex follows larger end).</t>
        </is>
      </c>
      <c r="Z227" s="45" t="inlineStr">
        <is>
          <t>Carbon Steel</t>
        </is>
      </c>
      <c r="AA227" s="45" t="inlineStr">
        <is>
          <t>ASTM A108 12L14</t>
        </is>
      </c>
      <c r="AB227" s="45" t="inlineStr">
        <is>
          <t>Trivalent Cr3 Zinc</t>
        </is>
      </c>
      <c r="AC227" s="45" t="inlineStr">
        <is>
          <t>ASTM B633 Type V/VI</t>
        </is>
      </c>
      <c r="AD227" s="46" t="n">
        <v>4500</v>
      </c>
      <c r="AE227" s="46" t="inlineStr">
        <is>
          <t>generic SAE table @ dash -8 (governing end)</t>
        </is>
      </c>
      <c r="AF227" s="46" t="n">
        <v>-65</v>
      </c>
      <c r="AG227" s="46" t="n">
        <v>400</v>
      </c>
      <c r="AH227" s="37" t="inlineStr">
        <is>
          <t>Ham-Let + hoseandfittings (pressure); Parker Cat.4300 (material); ASTM B633 (finish); see StandardsData</t>
        </is>
      </c>
    </row>
    <row r="228" ht="15" customHeight="1" s="35">
      <c r="A228" s="37" t="inlineStr">
        <is>
          <t>2501-04-08</t>
        </is>
      </c>
      <c r="B228" s="37" t="inlineStr">
        <is>
          <t>2501-4-8</t>
        </is>
      </c>
      <c r="C228" s="37" t="inlineStr">
        <is>
          <t>2501</t>
        </is>
      </c>
      <c r="D228" s="37" t="n">
        <v>118</v>
      </c>
      <c r="E228" s="37" t="inlineStr">
        <is>
          <t>90 deg</t>
        </is>
      </c>
      <c r="F228" s="37" t="inlineStr">
        <is>
          <t>90 deg Male Elbow, 7/16-20 x 1/2-14</t>
        </is>
      </c>
      <c r="G228" s="37" t="inlineStr">
        <is>
          <t>1/2-14</t>
        </is>
      </c>
      <c r="H228" s="37" t="inlineStr">
        <is>
          <t>7/16-20</t>
        </is>
      </c>
      <c r="I228" s="37" t="inlineStr">
        <is>
          <t>1/4</t>
        </is>
      </c>
      <c r="J228" s="37" t="inlineStr">
        <is>
          <t>ASME B1.20.3</t>
        </is>
      </c>
      <c r="K228" s="37" t="inlineStr">
        <is>
          <t>SAE J514-1</t>
        </is>
      </c>
      <c r="L228" s="37" t="n">
        <v>1.11</v>
      </c>
      <c r="M228" s="37" t="n">
        <v>1.47</v>
      </c>
      <c r="N228" s="37" t="n">
        <v>0.9399999999999999</v>
      </c>
      <c r="O228" s="37" t="n">
        <v>0.17</v>
      </c>
      <c r="P228" s="37" t="n">
        <v>0.53</v>
      </c>
      <c r="Q228" s="37" t="n"/>
      <c r="R228" s="44" t="n"/>
      <c r="S228" s="45" t="n">
        <v>0.875</v>
      </c>
      <c r="T228" s="37" t="n">
        <v>90</v>
      </c>
      <c r="U228" s="37" t="inlineStr">
        <is>
          <t>ASSUMED</t>
        </is>
      </c>
      <c r="V228" s="37" t="inlineStr">
        <is>
          <t>MS51504 has no row for this size combo; Air-Way remains single source.</t>
        </is>
      </c>
      <c r="W228" s="37" t="inlineStr">
        <is>
          <t>BUILD</t>
        </is>
      </c>
      <c r="X228" s="37" t="inlineStr">
        <is>
          <t>Dimensions verbatim from Air-Way, two reconciled passes. Hex/material/finish/pressure outstanding. | Single body hex 7/8 keyed to larger dash -8 (sources show hex follows larger end).</t>
        </is>
      </c>
      <c r="Z228" s="45" t="inlineStr">
        <is>
          <t>Carbon Steel</t>
        </is>
      </c>
      <c r="AA228" s="45" t="inlineStr">
        <is>
          <t>ASTM A108 12L14</t>
        </is>
      </c>
      <c r="AB228" s="45" t="inlineStr">
        <is>
          <t>Trivalent Cr3 Zinc</t>
        </is>
      </c>
      <c r="AC228" s="45" t="inlineStr">
        <is>
          <t>ASTM B633 Type V/VI</t>
        </is>
      </c>
      <c r="AD228" s="46" t="n">
        <v>4500</v>
      </c>
      <c r="AE228" s="46" t="inlineStr">
        <is>
          <t>generic SAE table @ dash -8 (governing end)</t>
        </is>
      </c>
      <c r="AF228" s="46" t="n">
        <v>-65</v>
      </c>
      <c r="AG228" s="46" t="n">
        <v>400</v>
      </c>
      <c r="AH228" s="37" t="inlineStr">
        <is>
          <t>Ham-Let + hoseandfittings (pressure); Parker Cat.4300 (material); ASTM B633 (finish); see StandardsData</t>
        </is>
      </c>
    </row>
    <row r="229" ht="15" customHeight="1" s="35">
      <c r="A229" s="37" t="inlineStr">
        <is>
          <t>2501-04-12</t>
        </is>
      </c>
      <c r="B229" s="37" t="inlineStr">
        <is>
          <t>2501-4-12</t>
        </is>
      </c>
      <c r="C229" s="37" t="inlineStr">
        <is>
          <t>2501</t>
        </is>
      </c>
      <c r="D229" s="37" t="n">
        <v>118</v>
      </c>
      <c r="E229" s="37" t="inlineStr">
        <is>
          <t>90 deg</t>
        </is>
      </c>
      <c r="F229" s="37" t="inlineStr">
        <is>
          <t>90 deg Male Elbow, 7/16-20 x 3/4-14</t>
        </is>
      </c>
      <c r="G229" s="37" t="inlineStr">
        <is>
          <t>3/4-14</t>
        </is>
      </c>
      <c r="H229" s="37" t="inlineStr">
        <is>
          <t>7/16-20</t>
        </is>
      </c>
      <c r="I229" s="37" t="inlineStr">
        <is>
          <t>1/4</t>
        </is>
      </c>
      <c r="J229" s="37" t="inlineStr">
        <is>
          <t>ASME B1.20.3</t>
        </is>
      </c>
      <c r="K229" s="37" t="inlineStr">
        <is>
          <t>SAE J514-1</t>
        </is>
      </c>
      <c r="L229" s="37" t="n">
        <v>1.2</v>
      </c>
      <c r="M229" s="37" t="n">
        <v>1.59</v>
      </c>
      <c r="N229" s="37" t="n">
        <v>1.13</v>
      </c>
      <c r="O229" s="37" t="n">
        <v>0.17</v>
      </c>
      <c r="P229" s="37" t="n">
        <v>0.72</v>
      </c>
      <c r="Q229" s="37" t="n"/>
      <c r="R229" s="44" t="n"/>
      <c r="S229" s="45" t="n">
        <v>1.0625</v>
      </c>
      <c r="T229" s="37" t="n">
        <v>90</v>
      </c>
      <c r="U229" s="37" t="inlineStr">
        <is>
          <t>ASSUMED</t>
        </is>
      </c>
      <c r="V229" s="37" t="inlineStr">
        <is>
          <t>MS51504 has no row for this size combo; Air-Way remains single source.</t>
        </is>
      </c>
      <c r="W229" s="37" t="inlineStr">
        <is>
          <t>BUILD</t>
        </is>
      </c>
      <c r="X229" s="37" t="inlineStr">
        <is>
          <t>Dimensions verbatim from Air-Way, two reconciled passes. Hex/material/finish/pressure outstanding. | Single body hex 1 1/16 keyed to larger dash -12 (sources show hex follows larger end).</t>
        </is>
      </c>
      <c r="Z229" s="45" t="inlineStr">
        <is>
          <t>Carbon Steel</t>
        </is>
      </c>
      <c r="AA229" s="45" t="inlineStr">
        <is>
          <t>ASTM A108 12L14</t>
        </is>
      </c>
      <c r="AB229" s="45" t="inlineStr">
        <is>
          <t>Trivalent Cr3 Zinc</t>
        </is>
      </c>
      <c r="AC229" s="45" t="inlineStr">
        <is>
          <t>ASTM B633 Type V/VI</t>
        </is>
      </c>
      <c r="AD229" s="46" t="n">
        <v>3500</v>
      </c>
      <c r="AE229" s="46" t="inlineStr">
        <is>
          <t>generic SAE table @ dash -12 (governing end)</t>
        </is>
      </c>
      <c r="AF229" s="46" t="n">
        <v>-65</v>
      </c>
      <c r="AG229" s="46" t="n">
        <v>400</v>
      </c>
      <c r="AH229" s="37" t="inlineStr">
        <is>
          <t>Ham-Let + hoseandfittings (pressure); Parker Cat.4300 (material); ASTM B633 (finish); see StandardsData</t>
        </is>
      </c>
    </row>
    <row r="230" ht="15" customHeight="1" s="35">
      <c r="A230" s="37" t="inlineStr">
        <is>
          <t>2501-05-02-FG</t>
        </is>
      </c>
      <c r="B230" s="37" t="inlineStr">
        <is>
          <t>2501-5-2-FG</t>
        </is>
      </c>
      <c r="C230" s="37" t="inlineStr">
        <is>
          <t>2501</t>
        </is>
      </c>
      <c r="D230" s="37" t="n">
        <v>118</v>
      </c>
      <c r="E230" s="37" t="inlineStr">
        <is>
          <t>90 deg</t>
        </is>
      </c>
      <c r="F230" s="37" t="inlineStr">
        <is>
          <t>90 deg Male Elbow, 1/2-20 x 1/8-27</t>
        </is>
      </c>
      <c r="G230" s="37" t="inlineStr">
        <is>
          <t>1/8-27</t>
        </is>
      </c>
      <c r="H230" s="37" t="inlineStr">
        <is>
          <t>1/2-20</t>
        </is>
      </c>
      <c r="I230" s="37" t="inlineStr">
        <is>
          <t>5/16</t>
        </is>
      </c>
      <c r="J230" s="37" t="inlineStr">
        <is>
          <t>ASME B1.20.3</t>
        </is>
      </c>
      <c r="K230" s="37" t="inlineStr">
        <is>
          <t>SAE J514-1</t>
        </is>
      </c>
      <c r="L230" s="37" t="n">
        <v>0.95</v>
      </c>
      <c r="M230" s="37" t="n">
        <v>0.78</v>
      </c>
      <c r="N230" s="37" t="n">
        <v>0.5600000000000001</v>
      </c>
      <c r="O230" s="37" t="n">
        <v>0.23</v>
      </c>
      <c r="P230" s="37" t="n">
        <v>0.19</v>
      </c>
      <c r="Q230" s="37" t="n"/>
      <c r="R230" s="44" t="n"/>
      <c r="S230" s="47" t="n"/>
      <c r="T230" s="37" t="n">
        <v>90</v>
      </c>
      <c r="U230" s="37" t="inlineStr">
        <is>
          <t>MISSING</t>
        </is>
      </c>
      <c r="V230" s="37" t="inlineStr">
        <is>
          <t>MS51504 cross-check 2026-09-04: B,M,N,D,D1 all AGREE (forged pattern).</t>
        </is>
      </c>
      <c r="W230" s="37" t="inlineStr">
        <is>
          <t>BUILD</t>
        </is>
      </c>
      <c r="X230" s="37" t="inlineStr">
        <is>
          <t>Dimensions verbatim from Air-Way, two reconciled passes. Hex/material/finish/pressure outstanding.</t>
        </is>
      </c>
      <c r="Z230" s="45" t="inlineStr">
        <is>
          <t>Carbon Steel</t>
        </is>
      </c>
      <c r="AA230" s="45" t="inlineStr">
        <is>
          <t>ASTM A108 12L14</t>
        </is>
      </c>
      <c r="AB230" s="45" t="inlineStr">
        <is>
          <t>Trivalent Cr3 Zinc</t>
        </is>
      </c>
      <c r="AC230" s="45" t="inlineStr">
        <is>
          <t>ASTM B633 Type V/VI</t>
        </is>
      </c>
      <c r="AD230" s="46" t="n">
        <v>5000</v>
      </c>
      <c r="AE230" s="46" t="inlineStr">
        <is>
          <t>generic SAE table @ dash -5 (governing end)</t>
        </is>
      </c>
      <c r="AF230" s="46" t="n">
        <v>-65</v>
      </c>
      <c r="AG230" s="46" t="n">
        <v>400</v>
      </c>
      <c r="AH230" s="37" t="inlineStr">
        <is>
          <t>Ham-Let + hoseandfittings (pressure); Parker Cat.4300 (material); ASTM B633 (finish); see StandardsData</t>
        </is>
      </c>
    </row>
    <row r="231" ht="15" customHeight="1" s="35">
      <c r="A231" s="37" t="inlineStr">
        <is>
          <t>2501-05-02</t>
        </is>
      </c>
      <c r="B231" s="37" t="inlineStr">
        <is>
          <t>2501-5-2</t>
        </is>
      </c>
      <c r="C231" s="37" t="inlineStr">
        <is>
          <t>2501</t>
        </is>
      </c>
      <c r="D231" s="37" t="n">
        <v>118</v>
      </c>
      <c r="E231" s="37" t="inlineStr">
        <is>
          <t>90 deg</t>
        </is>
      </c>
      <c r="F231" s="37" t="inlineStr">
        <is>
          <t>90 deg Male Elbow, 1/2-20 x 1/8-27</t>
        </is>
      </c>
      <c r="G231" s="37" t="inlineStr">
        <is>
          <t>1/8-27</t>
        </is>
      </c>
      <c r="H231" s="37" t="inlineStr">
        <is>
          <t>1/2-20</t>
        </is>
      </c>
      <c r="I231" s="37" t="inlineStr">
        <is>
          <t>5/16</t>
        </is>
      </c>
      <c r="J231" s="37" t="inlineStr">
        <is>
          <t>ASME B1.20.3</t>
        </is>
      </c>
      <c r="K231" s="37" t="inlineStr">
        <is>
          <t>SAE J514-1</t>
        </is>
      </c>
      <c r="L231" s="37" t="n">
        <v>0.95</v>
      </c>
      <c r="M231" s="37" t="n">
        <v>0.8100000000000001</v>
      </c>
      <c r="N231" s="37" t="n">
        <v>0.5600000000000001</v>
      </c>
      <c r="O231" s="37" t="n">
        <v>0.23</v>
      </c>
      <c r="P231" s="37" t="n">
        <v>0.19</v>
      </c>
      <c r="Q231" s="37" t="n"/>
      <c r="R231" s="44" t="n"/>
      <c r="S231" s="47" t="n"/>
      <c r="T231" s="37" t="n">
        <v>90</v>
      </c>
      <c r="U231" s="37" t="inlineStr">
        <is>
          <t>MISSING</t>
        </is>
      </c>
      <c r="V231" s="37" t="inlineStr">
        <is>
          <t>Non-forged leg pattern; MS51504 covers the forged pattern (FG sibling matches MS). Air-Way single source for these legs.</t>
        </is>
      </c>
      <c r="W231" s="37" t="inlineStr">
        <is>
          <t>BUILD</t>
        </is>
      </c>
      <c r="X231" s="37" t="inlineStr">
        <is>
          <t>Dimensions verbatim from Air-Way, two reconciled passes. Hex/material/finish/pressure outstanding.</t>
        </is>
      </c>
      <c r="Z231" s="45" t="inlineStr">
        <is>
          <t>Carbon Steel</t>
        </is>
      </c>
      <c r="AA231" s="45" t="inlineStr">
        <is>
          <t>ASTM A108 12L14</t>
        </is>
      </c>
      <c r="AB231" s="45" t="inlineStr">
        <is>
          <t>Trivalent Cr3 Zinc</t>
        </is>
      </c>
      <c r="AC231" s="45" t="inlineStr">
        <is>
          <t>ASTM B633 Type V/VI</t>
        </is>
      </c>
      <c r="AD231" s="46" t="n">
        <v>5000</v>
      </c>
      <c r="AE231" s="46" t="inlineStr">
        <is>
          <t>generic SAE table @ dash -5 (governing end)</t>
        </is>
      </c>
      <c r="AF231" s="46" t="n">
        <v>-65</v>
      </c>
      <c r="AG231" s="46" t="n">
        <v>400</v>
      </c>
      <c r="AH231" s="37" t="inlineStr">
        <is>
          <t>Ham-Let + hoseandfittings (pressure); Parker Cat.4300 (material); ASTM B633 (finish); see StandardsData</t>
        </is>
      </c>
    </row>
    <row r="232" ht="15" customHeight="1" s="35">
      <c r="A232" s="37" t="inlineStr">
        <is>
          <t>2501-05-04-FG</t>
        </is>
      </c>
      <c r="B232" s="37" t="inlineStr">
        <is>
          <t>2501-5-4-FG</t>
        </is>
      </c>
      <c r="C232" s="37" t="inlineStr">
        <is>
          <t>2501</t>
        </is>
      </c>
      <c r="D232" s="37" t="n">
        <v>118</v>
      </c>
      <c r="E232" s="37" t="inlineStr">
        <is>
          <t>90 deg</t>
        </is>
      </c>
      <c r="F232" s="37" t="inlineStr">
        <is>
          <t>90 deg Male Elbow, 1/2-20 x 1/4-18</t>
        </is>
      </c>
      <c r="G232" s="37" t="inlineStr">
        <is>
          <t>1/4-18</t>
        </is>
      </c>
      <c r="H232" s="37" t="inlineStr">
        <is>
          <t>1/2-20</t>
        </is>
      </c>
      <c r="I232" s="37" t="inlineStr">
        <is>
          <t>5/16</t>
        </is>
      </c>
      <c r="J232" s="37" t="inlineStr">
        <is>
          <t>ASME B1.20.3</t>
        </is>
      </c>
      <c r="K232" s="37" t="inlineStr">
        <is>
          <t>SAE J514-1</t>
        </is>
      </c>
      <c r="L232" s="37" t="n">
        <v>1.05</v>
      </c>
      <c r="M232" s="37" t="n">
        <v>1.09</v>
      </c>
      <c r="N232" s="37" t="n">
        <v>0.5600000000000001</v>
      </c>
      <c r="O232" s="37" t="n">
        <v>0.23</v>
      </c>
      <c r="P232" s="37" t="n">
        <v>0.28</v>
      </c>
      <c r="Q232" s="37" t="n"/>
      <c r="R232" s="44" t="n"/>
      <c r="S232" s="47" t="n"/>
      <c r="T232" s="37" t="n">
        <v>90</v>
      </c>
      <c r="U232" s="37" t="inlineStr">
        <is>
          <t>MISSING</t>
        </is>
      </c>
      <c r="V232" s="37" t="inlineStr">
        <is>
          <t>MS51504 cross-check 2026-09-04: B,M,N,D,D1 all AGREE (forged pattern).</t>
        </is>
      </c>
      <c r="W232" s="37" t="inlineStr">
        <is>
          <t>BUILD</t>
        </is>
      </c>
      <c r="X232" s="37" t="inlineStr">
        <is>
          <t>Dimensions verbatim from Air-Way, two reconciled passes. Hex/material/finish/pressure outstanding.</t>
        </is>
      </c>
      <c r="Z232" s="45" t="inlineStr">
        <is>
          <t>Carbon Steel</t>
        </is>
      </c>
      <c r="AA232" s="45" t="inlineStr">
        <is>
          <t>ASTM A108 12L14</t>
        </is>
      </c>
      <c r="AB232" s="45" t="inlineStr">
        <is>
          <t>Trivalent Cr3 Zinc</t>
        </is>
      </c>
      <c r="AC232" s="45" t="inlineStr">
        <is>
          <t>ASTM B633 Type V/VI</t>
        </is>
      </c>
      <c r="AD232" s="46" t="n">
        <v>5000</v>
      </c>
      <c r="AE232" s="46" t="inlineStr">
        <is>
          <t>generic SAE table @ dash -5 (governing end)</t>
        </is>
      </c>
      <c r="AF232" s="46" t="n">
        <v>-65</v>
      </c>
      <c r="AG232" s="46" t="n">
        <v>400</v>
      </c>
      <c r="AH232" s="37" t="inlineStr">
        <is>
          <t>Ham-Let + hoseandfittings (pressure); Parker Cat.4300 (material); ASTM B633 (finish); see StandardsData</t>
        </is>
      </c>
    </row>
    <row r="233" ht="15" customHeight="1" s="35">
      <c r="A233" s="37" t="inlineStr">
        <is>
          <t>2501-05-04</t>
        </is>
      </c>
      <c r="B233" s="37" t="inlineStr">
        <is>
          <t>2501-5-4</t>
        </is>
      </c>
      <c r="C233" s="37" t="inlineStr">
        <is>
          <t>2501</t>
        </is>
      </c>
      <c r="D233" s="37" t="n">
        <v>118</v>
      </c>
      <c r="E233" s="37" t="inlineStr">
        <is>
          <t>90 deg</t>
        </is>
      </c>
      <c r="F233" s="37" t="inlineStr">
        <is>
          <t>90 deg Male Elbow, 1/2-20 x 1/4-18</t>
        </is>
      </c>
      <c r="G233" s="37" t="inlineStr">
        <is>
          <t>1/4-18</t>
        </is>
      </c>
      <c r="H233" s="37" t="inlineStr">
        <is>
          <t>1/2-20</t>
        </is>
      </c>
      <c r="I233" s="37" t="inlineStr">
        <is>
          <t>5/16</t>
        </is>
      </c>
      <c r="J233" s="37" t="inlineStr">
        <is>
          <t>ASME B1.20.3</t>
        </is>
      </c>
      <c r="K233" s="37" t="inlineStr">
        <is>
          <t>SAE J514-1</t>
        </is>
      </c>
      <c r="L233" s="37" t="n">
        <v>0.98</v>
      </c>
      <c r="M233" s="37" t="n">
        <v>1.09</v>
      </c>
      <c r="N233" s="37" t="n">
        <v>0.63</v>
      </c>
      <c r="O233" s="37" t="n">
        <v>0.23</v>
      </c>
      <c r="P233" s="37" t="n">
        <v>0.28</v>
      </c>
      <c r="Q233" s="37" t="n"/>
      <c r="R233" s="44" t="n"/>
      <c r="S233" s="47" t="n"/>
      <c r="T233" s="37" t="n">
        <v>90</v>
      </c>
      <c r="U233" s="37" t="inlineStr">
        <is>
          <t>MISSING</t>
        </is>
      </c>
      <c r="V233" s="37" t="inlineStr">
        <is>
          <t>Non-forged leg pattern; MS51504 covers the forged pattern (FG sibling matches MS). Air-Way single source for these legs.</t>
        </is>
      </c>
      <c r="W233" s="37" t="inlineStr">
        <is>
          <t>BUILD</t>
        </is>
      </c>
      <c r="X233" s="37" t="inlineStr">
        <is>
          <t>Dimensions verbatim from Air-Way, two reconciled passes. Hex/material/finish/pressure outstanding.</t>
        </is>
      </c>
      <c r="Z233" s="45" t="inlineStr">
        <is>
          <t>Carbon Steel</t>
        </is>
      </c>
      <c r="AA233" s="45" t="inlineStr">
        <is>
          <t>ASTM A108 12L14</t>
        </is>
      </c>
      <c r="AB233" s="45" t="inlineStr">
        <is>
          <t>Trivalent Cr3 Zinc</t>
        </is>
      </c>
      <c r="AC233" s="45" t="inlineStr">
        <is>
          <t>ASTM B633 Type V/VI</t>
        </is>
      </c>
      <c r="AD233" s="46" t="n">
        <v>5000</v>
      </c>
      <c r="AE233" s="46" t="inlineStr">
        <is>
          <t>generic SAE table @ dash -5 (governing end)</t>
        </is>
      </c>
      <c r="AF233" s="46" t="n">
        <v>-65</v>
      </c>
      <c r="AG233" s="46" t="n">
        <v>400</v>
      </c>
      <c r="AH233" s="37" t="inlineStr">
        <is>
          <t>Ham-Let + hoseandfittings (pressure); Parker Cat.4300 (material); ASTM B633 (finish); see StandardsData</t>
        </is>
      </c>
    </row>
    <row r="234" ht="15" customHeight="1" s="35">
      <c r="A234" s="37" t="inlineStr">
        <is>
          <t>2501-05-06</t>
        </is>
      </c>
      <c r="B234" s="37" t="inlineStr">
        <is>
          <t>2501-5-6</t>
        </is>
      </c>
      <c r="C234" s="37" t="inlineStr">
        <is>
          <t>2501</t>
        </is>
      </c>
      <c r="D234" s="37" t="n">
        <v>118</v>
      </c>
      <c r="E234" s="37" t="inlineStr">
        <is>
          <t>90 deg</t>
        </is>
      </c>
      <c r="F234" s="37" t="inlineStr">
        <is>
          <t>90 deg Male Elbow, 1/2-20 x 3/8-18</t>
        </is>
      </c>
      <c r="G234" s="37" t="inlineStr">
        <is>
          <t>3/8-18</t>
        </is>
      </c>
      <c r="H234" s="37" t="inlineStr">
        <is>
          <t>1/2-20</t>
        </is>
      </c>
      <c r="I234" s="37" t="inlineStr">
        <is>
          <t>5/16</t>
        </is>
      </c>
      <c r="J234" s="37" t="inlineStr">
        <is>
          <t>ASME B1.20.3</t>
        </is>
      </c>
      <c r="K234" s="37" t="inlineStr">
        <is>
          <t>SAE J514-1</t>
        </is>
      </c>
      <c r="L234" s="37" t="n">
        <v>1.08</v>
      </c>
      <c r="M234" s="37" t="n">
        <v>1.22</v>
      </c>
      <c r="N234" s="37" t="n">
        <v>0.8100000000000001</v>
      </c>
      <c r="O234" s="37" t="n">
        <v>0.23</v>
      </c>
      <c r="P234" s="37" t="n">
        <v>0.41</v>
      </c>
      <c r="Q234" s="37" t="n"/>
      <c r="R234" s="44" t="n"/>
      <c r="S234" s="45" t="n">
        <v>0.75</v>
      </c>
      <c r="T234" s="37" t="n">
        <v>90</v>
      </c>
      <c r="U234" s="37" t="inlineStr">
        <is>
          <t>ASSUMED</t>
        </is>
      </c>
      <c r="V234" s="37" t="inlineStr">
        <is>
          <t>MS51504 has no row for this size combo; Air-Way remains single source.</t>
        </is>
      </c>
      <c r="W234" s="37" t="inlineStr">
        <is>
          <t>BUILD</t>
        </is>
      </c>
      <c r="X234" s="37" t="inlineStr">
        <is>
          <t>Dimensions verbatim from Air-Way, two reconciled passes. Hex/material/finish/pressure outstanding. | Single body hex 3/4 keyed to larger dash -6 (sources show hex follows larger end).</t>
        </is>
      </c>
      <c r="Z234" s="45" t="inlineStr">
        <is>
          <t>Carbon Steel</t>
        </is>
      </c>
      <c r="AA234" s="45" t="inlineStr">
        <is>
          <t>ASTM A108 12L14</t>
        </is>
      </c>
      <c r="AB234" s="45" t="inlineStr">
        <is>
          <t>Trivalent Cr3 Zinc</t>
        </is>
      </c>
      <c r="AC234" s="45" t="inlineStr">
        <is>
          <t>ASTM B633 Type V/VI</t>
        </is>
      </c>
      <c r="AD234" s="46" t="n">
        <v>5000</v>
      </c>
      <c r="AE234" s="46" t="inlineStr">
        <is>
          <t>generic SAE table @ dash -6 (governing end)</t>
        </is>
      </c>
      <c r="AF234" s="46" t="n">
        <v>-65</v>
      </c>
      <c r="AG234" s="46" t="n">
        <v>400</v>
      </c>
      <c r="AH234" s="37" t="inlineStr">
        <is>
          <t>Ham-Let + hoseandfittings (pressure); Parker Cat.4300 (material); ASTM B633 (finish); see StandardsData</t>
        </is>
      </c>
    </row>
    <row r="235" ht="15" customHeight="1" s="35">
      <c r="A235" s="37" t="inlineStr">
        <is>
          <t>2501-05-08</t>
        </is>
      </c>
      <c r="B235" s="37" t="inlineStr">
        <is>
          <t>2501-5-8</t>
        </is>
      </c>
      <c r="C235" s="37" t="inlineStr">
        <is>
          <t>2501</t>
        </is>
      </c>
      <c r="D235" s="37" t="n">
        <v>118</v>
      </c>
      <c r="E235" s="37" t="inlineStr">
        <is>
          <t>90 deg</t>
        </is>
      </c>
      <c r="F235" s="37" t="inlineStr">
        <is>
          <t>90 deg Male Elbow, 1/2-20 x 1/2-14</t>
        </is>
      </c>
      <c r="G235" s="37" t="inlineStr">
        <is>
          <t>1/2-14</t>
        </is>
      </c>
      <c r="H235" s="37" t="inlineStr">
        <is>
          <t>1/2-20</t>
        </is>
      </c>
      <c r="I235" s="37" t="inlineStr">
        <is>
          <t>5/16</t>
        </is>
      </c>
      <c r="J235" s="37" t="inlineStr">
        <is>
          <t>ASME B1.20.3</t>
        </is>
      </c>
      <c r="K235" s="37" t="inlineStr">
        <is>
          <t>SAE J514-1</t>
        </is>
      </c>
      <c r="L235" s="37" t="n">
        <v>1.14</v>
      </c>
      <c r="M235" s="37" t="n">
        <v>1.47</v>
      </c>
      <c r="N235" s="37" t="n">
        <v>0.9399999999999999</v>
      </c>
      <c r="O235" s="37" t="n">
        <v>0.23</v>
      </c>
      <c r="P235" s="37" t="n">
        <v>0.53</v>
      </c>
      <c r="Q235" s="37" t="n"/>
      <c r="R235" s="44" t="n"/>
      <c r="S235" s="45" t="n">
        <v>0.875</v>
      </c>
      <c r="T235" s="37" t="n">
        <v>90</v>
      </c>
      <c r="U235" s="37" t="inlineStr">
        <is>
          <t>ASSUMED</t>
        </is>
      </c>
      <c r="V235" s="37" t="inlineStr">
        <is>
          <t>MS51504 has no row for this size combo; Air-Way remains single source.</t>
        </is>
      </c>
      <c r="W235" s="37" t="inlineStr">
        <is>
          <t>BUILD</t>
        </is>
      </c>
      <c r="X235" s="37" t="inlineStr">
        <is>
          <t>Dimensions verbatim from Air-Way, two reconciled passes. Hex/material/finish/pressure outstanding. | Single body hex 7/8 keyed to larger dash -8 (sources show hex follows larger end).</t>
        </is>
      </c>
      <c r="Z235" s="45" t="inlineStr">
        <is>
          <t>Carbon Steel</t>
        </is>
      </c>
      <c r="AA235" s="45" t="inlineStr">
        <is>
          <t>ASTM A108 12L14</t>
        </is>
      </c>
      <c r="AB235" s="45" t="inlineStr">
        <is>
          <t>Trivalent Cr3 Zinc</t>
        </is>
      </c>
      <c r="AC235" s="45" t="inlineStr">
        <is>
          <t>ASTM B633 Type V/VI</t>
        </is>
      </c>
      <c r="AD235" s="46" t="n">
        <v>4500</v>
      </c>
      <c r="AE235" s="46" t="inlineStr">
        <is>
          <t>generic SAE table @ dash -8 (governing end)</t>
        </is>
      </c>
      <c r="AF235" s="46" t="n">
        <v>-65</v>
      </c>
      <c r="AG235" s="46" t="n">
        <v>400</v>
      </c>
      <c r="AH235" s="37" t="inlineStr">
        <is>
          <t>Ham-Let + hoseandfittings (pressure); Parker Cat.4300 (material); ASTM B633 (finish); see StandardsData</t>
        </is>
      </c>
    </row>
    <row r="236" ht="15" customHeight="1" s="35">
      <c r="A236" s="37" t="inlineStr">
        <is>
          <t>2501-06-02-FG</t>
        </is>
      </c>
      <c r="B236" s="37" t="inlineStr">
        <is>
          <t>2501-6-2-FG</t>
        </is>
      </c>
      <c r="C236" s="37" t="inlineStr">
        <is>
          <t>2501</t>
        </is>
      </c>
      <c r="D236" s="37" t="n">
        <v>118</v>
      </c>
      <c r="E236" s="37" t="inlineStr">
        <is>
          <t>90 deg</t>
        </is>
      </c>
      <c r="F236" s="37" t="inlineStr">
        <is>
          <t>90 deg Male Elbow, 9/16-18 x 1/8-27</t>
        </is>
      </c>
      <c r="G236" s="37" t="inlineStr">
        <is>
          <t>1/8-27</t>
        </is>
      </c>
      <c r="H236" s="37" t="inlineStr">
        <is>
          <t>9/16-18</t>
        </is>
      </c>
      <c r="I236" s="37" t="inlineStr">
        <is>
          <t>3/8</t>
        </is>
      </c>
      <c r="J236" s="37" t="inlineStr">
        <is>
          <t>ASME B1.20.3</t>
        </is>
      </c>
      <c r="K236" s="37" t="inlineStr">
        <is>
          <t>SAE J514-1</t>
        </is>
      </c>
      <c r="L236" s="37" t="n">
        <v>1.06</v>
      </c>
      <c r="M236" s="37" t="n">
        <v>0.9</v>
      </c>
      <c r="N236" s="37" t="n">
        <v>0.5600000000000001</v>
      </c>
      <c r="O236" s="37" t="n">
        <v>0.3</v>
      </c>
      <c r="P236" s="37" t="n">
        <v>0.19</v>
      </c>
      <c r="Q236" s="37" t="n"/>
      <c r="R236" s="44" t="n"/>
      <c r="S236" s="45" t="n">
        <v>0.75</v>
      </c>
      <c r="T236" s="37" t="n">
        <v>90</v>
      </c>
      <c r="U236" s="37" t="inlineStr">
        <is>
          <t>ASSUMED</t>
        </is>
      </c>
      <c r="V236" s="37" t="inlineStr">
        <is>
          <t>MS51504 cross-check 2026-09-04: B,M,N,D,D1 all AGREE (forged pattern).</t>
        </is>
      </c>
      <c r="W236" s="37" t="inlineStr">
        <is>
          <t>BUILD</t>
        </is>
      </c>
      <c r="X236" s="37" t="inlineStr">
        <is>
          <t>Dimensions verbatim from Air-Way, two reconciled passes. Hex/material/finish/pressure outstanding. | Single body hex 3/4 keyed to larger dash -6 (sources show hex follows larger end).</t>
        </is>
      </c>
      <c r="Z236" s="45" t="inlineStr">
        <is>
          <t>Carbon Steel</t>
        </is>
      </c>
      <c r="AA236" s="45" t="inlineStr">
        <is>
          <t>ASTM A108 12L14</t>
        </is>
      </c>
      <c r="AB236" s="45" t="inlineStr">
        <is>
          <t>Trivalent Cr3 Zinc</t>
        </is>
      </c>
      <c r="AC236" s="45" t="inlineStr">
        <is>
          <t>ASTM B633 Type V/VI</t>
        </is>
      </c>
      <c r="AD236" s="46" t="n">
        <v>5000</v>
      </c>
      <c r="AE236" s="46" t="inlineStr">
        <is>
          <t>generic SAE table @ dash -6 (governing end)</t>
        </is>
      </c>
      <c r="AF236" s="46" t="n">
        <v>-65</v>
      </c>
      <c r="AG236" s="46" t="n">
        <v>400</v>
      </c>
      <c r="AH236" s="37" t="inlineStr">
        <is>
          <t>Ham-Let + hoseandfittings (pressure); Parker Cat.4300 (material); ASTM B633 (finish); see StandardsData</t>
        </is>
      </c>
    </row>
    <row r="237" ht="15" customHeight="1" s="35">
      <c r="A237" s="37" t="inlineStr">
        <is>
          <t>2501-06-02</t>
        </is>
      </c>
      <c r="B237" s="37" t="inlineStr">
        <is>
          <t>2501-6-2</t>
        </is>
      </c>
      <c r="C237" s="37" t="inlineStr">
        <is>
          <t>2501</t>
        </is>
      </c>
      <c r="D237" s="37" t="n">
        <v>118</v>
      </c>
      <c r="E237" s="37" t="inlineStr">
        <is>
          <t>90 deg</t>
        </is>
      </c>
      <c r="F237" s="37" t="inlineStr">
        <is>
          <t>90 deg Male Elbow, 9/16-18 x 1/8-27</t>
        </is>
      </c>
      <c r="G237" s="37" t="inlineStr">
        <is>
          <t>1/8-27</t>
        </is>
      </c>
      <c r="H237" s="37" t="inlineStr">
        <is>
          <t>9/16-18</t>
        </is>
      </c>
      <c r="I237" s="37" t="inlineStr">
        <is>
          <t>3/8</t>
        </is>
      </c>
      <c r="J237" s="37" t="inlineStr">
        <is>
          <t>ASME B1.20.3</t>
        </is>
      </c>
      <c r="K237" s="37" t="inlineStr">
        <is>
          <t>SAE J514-1</t>
        </is>
      </c>
      <c r="L237" s="37" t="n">
        <v>1.08</v>
      </c>
      <c r="M237" s="37" t="n">
        <v>0.84</v>
      </c>
      <c r="N237" s="37" t="n">
        <v>0.63</v>
      </c>
      <c r="O237" s="37" t="n">
        <v>0.3</v>
      </c>
      <c r="P237" s="37" t="n">
        <v>0.19</v>
      </c>
      <c r="Q237" s="37" t="n"/>
      <c r="R237" s="44" t="n"/>
      <c r="S237" s="45" t="n">
        <v>0.75</v>
      </c>
      <c r="T237" s="37" t="n">
        <v>90</v>
      </c>
      <c r="U237" s="37" t="inlineStr">
        <is>
          <t>ASSUMED</t>
        </is>
      </c>
      <c r="V237" s="37" t="inlineStr">
        <is>
          <t>Non-forged leg pattern; MS51504 covers the forged pattern (FG sibling matches MS). Air-Way single source for these legs.</t>
        </is>
      </c>
      <c r="W237" s="37" t="inlineStr">
        <is>
          <t>BUILD</t>
        </is>
      </c>
      <c r="X237" s="37" t="inlineStr">
        <is>
          <t>Dimensions verbatim from Air-Way, two reconciled passes. Hex/material/finish/pressure outstanding. | Single body hex 3/4 keyed to larger dash -6 (sources show hex follows larger end).</t>
        </is>
      </c>
      <c r="Z237" s="45" t="inlineStr">
        <is>
          <t>Carbon Steel</t>
        </is>
      </c>
      <c r="AA237" s="45" t="inlineStr">
        <is>
          <t>ASTM A108 12L14</t>
        </is>
      </c>
      <c r="AB237" s="45" t="inlineStr">
        <is>
          <t>Trivalent Cr3 Zinc</t>
        </is>
      </c>
      <c r="AC237" s="45" t="inlineStr">
        <is>
          <t>ASTM B633 Type V/VI</t>
        </is>
      </c>
      <c r="AD237" s="46" t="n">
        <v>5000</v>
      </c>
      <c r="AE237" s="46" t="inlineStr">
        <is>
          <t>generic SAE table @ dash -6 (governing end)</t>
        </is>
      </c>
      <c r="AF237" s="46" t="n">
        <v>-65</v>
      </c>
      <c r="AG237" s="46" t="n">
        <v>400</v>
      </c>
      <c r="AH237" s="37" t="inlineStr">
        <is>
          <t>Ham-Let + hoseandfittings (pressure); Parker Cat.4300 (material); ASTM B633 (finish); see StandardsData</t>
        </is>
      </c>
    </row>
    <row r="238" ht="15" customHeight="1" s="35">
      <c r="A238" s="37" t="inlineStr">
        <is>
          <t>2501-06-04-FG</t>
        </is>
      </c>
      <c r="B238" s="37" t="inlineStr">
        <is>
          <t>2501-6-4-FG</t>
        </is>
      </c>
      <c r="C238" s="37" t="inlineStr">
        <is>
          <t>2501</t>
        </is>
      </c>
      <c r="D238" s="37" t="n">
        <v>118</v>
      </c>
      <c r="E238" s="37" t="inlineStr">
        <is>
          <t>90 deg</t>
        </is>
      </c>
      <c r="F238" s="37" t="inlineStr">
        <is>
          <t>90 deg Male Elbow, 9/16-18 x 1/4-18</t>
        </is>
      </c>
      <c r="G238" s="37" t="inlineStr">
        <is>
          <t>1/4-18</t>
        </is>
      </c>
      <c r="H238" s="37" t="inlineStr">
        <is>
          <t>9/16-18</t>
        </is>
      </c>
      <c r="I238" s="37" t="inlineStr">
        <is>
          <t>3/8</t>
        </is>
      </c>
      <c r="J238" s="37" t="inlineStr">
        <is>
          <t>ASME B1.20.3</t>
        </is>
      </c>
      <c r="K238" s="37" t="inlineStr">
        <is>
          <t>SAE J514-1</t>
        </is>
      </c>
      <c r="L238" s="37" t="n">
        <v>1.06</v>
      </c>
      <c r="M238" s="37" t="n">
        <v>1.09</v>
      </c>
      <c r="N238" s="37" t="n">
        <v>0.5600000000000001</v>
      </c>
      <c r="O238" s="37" t="n">
        <v>0.3</v>
      </c>
      <c r="P238" s="37" t="n">
        <v>0.28</v>
      </c>
      <c r="Q238" s="37" t="n"/>
      <c r="R238" s="44" t="n"/>
      <c r="S238" s="45" t="n">
        <v>0.75</v>
      </c>
      <c r="T238" s="37" t="n">
        <v>90</v>
      </c>
      <c r="U238" s="37" t="inlineStr">
        <is>
          <t>ASSUMED</t>
        </is>
      </c>
      <c r="V238" s="37" t="inlineStr">
        <is>
          <t>MS51504 cross-check 2026-09-04: B,M,N,D,D1 all AGREE (forged pattern).</t>
        </is>
      </c>
      <c r="W238" s="37" t="inlineStr">
        <is>
          <t>BUILD</t>
        </is>
      </c>
      <c r="X238" s="37" t="inlineStr">
        <is>
          <t>Dimensions verbatim from Air-Way, two reconciled passes. Hex/material/finish/pressure outstanding. | Single body hex 3/4 keyed to larger dash -6 (sources show hex follows larger end).</t>
        </is>
      </c>
      <c r="Z238" s="45" t="inlineStr">
        <is>
          <t>Carbon Steel</t>
        </is>
      </c>
      <c r="AA238" s="45" t="inlineStr">
        <is>
          <t>ASTM A108 12L14</t>
        </is>
      </c>
      <c r="AB238" s="45" t="inlineStr">
        <is>
          <t>Trivalent Cr3 Zinc</t>
        </is>
      </c>
      <c r="AC238" s="45" t="inlineStr">
        <is>
          <t>ASTM B633 Type V/VI</t>
        </is>
      </c>
      <c r="AD238" s="46" t="n">
        <v>5000</v>
      </c>
      <c r="AE238" s="46" t="inlineStr">
        <is>
          <t>generic SAE table @ dash -6 (governing end)</t>
        </is>
      </c>
      <c r="AF238" s="46" t="n">
        <v>-65</v>
      </c>
      <c r="AG238" s="46" t="n">
        <v>400</v>
      </c>
      <c r="AH238" s="37" t="inlineStr">
        <is>
          <t>Ham-Let + hoseandfittings (pressure); Parker Cat.4300 (material); ASTM B633 (finish); see StandardsData</t>
        </is>
      </c>
    </row>
    <row r="239" ht="15" customHeight="1" s="35">
      <c r="A239" s="37" t="inlineStr">
        <is>
          <t>2501-06-04</t>
        </is>
      </c>
      <c r="B239" s="37" t="inlineStr">
        <is>
          <t>2501-6-4</t>
        </is>
      </c>
      <c r="C239" s="37" t="inlineStr">
        <is>
          <t>2501</t>
        </is>
      </c>
      <c r="D239" s="37" t="n">
        <v>118</v>
      </c>
      <c r="E239" s="37" t="inlineStr">
        <is>
          <t>90 deg</t>
        </is>
      </c>
      <c r="F239" s="37" t="inlineStr">
        <is>
          <t>90 deg Male Elbow, 9/16-18 x 1/4-18</t>
        </is>
      </c>
      <c r="G239" s="37" t="inlineStr">
        <is>
          <t>1/4-18</t>
        </is>
      </c>
      <c r="H239" s="37" t="inlineStr">
        <is>
          <t>9/16-18</t>
        </is>
      </c>
      <c r="I239" s="37" t="inlineStr">
        <is>
          <t>3/8</t>
        </is>
      </c>
      <c r="J239" s="37" t="inlineStr">
        <is>
          <t>ASME B1.20.3</t>
        </is>
      </c>
      <c r="K239" s="37" t="inlineStr">
        <is>
          <t>SAE J514-1</t>
        </is>
      </c>
      <c r="L239" s="37" t="n">
        <v>1.06</v>
      </c>
      <c r="M239" s="37" t="n">
        <v>1.09</v>
      </c>
      <c r="N239" s="37" t="n">
        <v>0.63</v>
      </c>
      <c r="O239" s="37" t="n">
        <v>0.3</v>
      </c>
      <c r="P239" s="37" t="n">
        <v>0.28</v>
      </c>
      <c r="Q239" s="37" t="n"/>
      <c r="R239" s="44" t="n"/>
      <c r="S239" s="45" t="n">
        <v>0.75</v>
      </c>
      <c r="T239" s="37" t="n">
        <v>90</v>
      </c>
      <c r="U239" s="37" t="inlineStr">
        <is>
          <t>ASSUMED</t>
        </is>
      </c>
      <c r="V239" s="37" t="inlineStr">
        <is>
          <t>Non-forged leg pattern; MS51504 covers the forged pattern (FG sibling matches MS). Air-Way single source for these legs.</t>
        </is>
      </c>
      <c r="W239" s="37" t="inlineStr">
        <is>
          <t>BUILD</t>
        </is>
      </c>
      <c r="X239" s="37" t="inlineStr">
        <is>
          <t>Dimensions verbatim from Air-Way, two reconciled passes. Hex/material/finish/pressure outstanding. | Single body hex 3/4 keyed to larger dash -6 (sources show hex follows larger end).</t>
        </is>
      </c>
      <c r="Z239" s="45" t="inlineStr">
        <is>
          <t>Carbon Steel</t>
        </is>
      </c>
      <c r="AA239" s="45" t="inlineStr">
        <is>
          <t>ASTM A108 12L14</t>
        </is>
      </c>
      <c r="AB239" s="45" t="inlineStr">
        <is>
          <t>Trivalent Cr3 Zinc</t>
        </is>
      </c>
      <c r="AC239" s="45" t="inlineStr">
        <is>
          <t>ASTM B633 Type V/VI</t>
        </is>
      </c>
      <c r="AD239" s="46" t="n">
        <v>5000</v>
      </c>
      <c r="AE239" s="46" t="inlineStr">
        <is>
          <t>generic SAE table @ dash -6 (governing end)</t>
        </is>
      </c>
      <c r="AF239" s="46" t="n">
        <v>-65</v>
      </c>
      <c r="AG239" s="46" t="n">
        <v>400</v>
      </c>
      <c r="AH239" s="37" t="inlineStr">
        <is>
          <t>Ham-Let + hoseandfittings (pressure); Parker Cat.4300 (material); ASTM B633 (finish); see StandardsData</t>
        </is>
      </c>
    </row>
    <row r="240" ht="15" customHeight="1" s="35">
      <c r="A240" s="37" t="inlineStr">
        <is>
          <t>2501-06-06-FG</t>
        </is>
      </c>
      <c r="B240" s="37" t="inlineStr">
        <is>
          <t>2501-6-6-FG</t>
        </is>
      </c>
      <c r="C240" s="37" t="inlineStr">
        <is>
          <t>2501</t>
        </is>
      </c>
      <c r="D240" s="37" t="n">
        <v>118</v>
      </c>
      <c r="E240" s="37" t="inlineStr">
        <is>
          <t>90 deg</t>
        </is>
      </c>
      <c r="F240" s="37" t="inlineStr">
        <is>
          <t>90 deg Male Elbow, 9/16-18 x 3/8-18</t>
        </is>
      </c>
      <c r="G240" s="37" t="inlineStr">
        <is>
          <t>3/8-18</t>
        </is>
      </c>
      <c r="H240" s="37" t="inlineStr">
        <is>
          <t>9/16-18</t>
        </is>
      </c>
      <c r="I240" s="37" t="inlineStr">
        <is>
          <t>3/8</t>
        </is>
      </c>
      <c r="J240" s="37" t="inlineStr">
        <is>
          <t>ASME B1.20.3</t>
        </is>
      </c>
      <c r="K240" s="37" t="inlineStr">
        <is>
          <t>SAE J514-1</t>
        </is>
      </c>
      <c r="L240" s="37" t="n">
        <v>1.14</v>
      </c>
      <c r="M240" s="37" t="n">
        <v>1.22</v>
      </c>
      <c r="N240" s="37" t="n">
        <v>0.75</v>
      </c>
      <c r="O240" s="37" t="n">
        <v>0.3</v>
      </c>
      <c r="P240" s="37" t="n">
        <v>0.41</v>
      </c>
      <c r="Q240" s="37" t="n"/>
      <c r="R240" s="44" t="n"/>
      <c r="S240" s="45" t="n">
        <v>0.75</v>
      </c>
      <c r="T240" s="37" t="n">
        <v>90</v>
      </c>
      <c r="U240" s="37" t="inlineStr">
        <is>
          <t>ASSUMED</t>
        </is>
      </c>
      <c r="V240" s="37" t="inlineStr">
        <is>
          <t>MS51504 cross-check 2026-09-04: B,M,N,D,D1 all AGREE (forged pattern).</t>
        </is>
      </c>
      <c r="W240" s="37" t="inlineStr">
        <is>
          <t>BUILD</t>
        </is>
      </c>
      <c r="X240" s="37" t="inlineStr">
        <is>
          <t>Dimensions verbatim from Air-Way, two reconciled passes. Hex/material/finish/pressure outstanding. | Single body hex 3/4 keyed to larger dash -6 (sources show hex follows larger end).</t>
        </is>
      </c>
      <c r="Z240" s="45" t="inlineStr">
        <is>
          <t>Carbon Steel</t>
        </is>
      </c>
      <c r="AA240" s="45" t="inlineStr">
        <is>
          <t>ASTM A108 12L14</t>
        </is>
      </c>
      <c r="AB240" s="45" t="inlineStr">
        <is>
          <t>Trivalent Cr3 Zinc</t>
        </is>
      </c>
      <c r="AC240" s="45" t="inlineStr">
        <is>
          <t>ASTM B633 Type V/VI</t>
        </is>
      </c>
      <c r="AD240" s="46" t="n">
        <v>5000</v>
      </c>
      <c r="AE240" s="46" t="inlineStr">
        <is>
          <t>generic SAE table @ dash -6 (governing end)</t>
        </is>
      </c>
      <c r="AF240" s="46" t="n">
        <v>-65</v>
      </c>
      <c r="AG240" s="46" t="n">
        <v>400</v>
      </c>
      <c r="AH240" s="37" t="inlineStr">
        <is>
          <t>Ham-Let + hoseandfittings (pressure); Parker Cat.4300 (material); ASTM B633 (finish); see StandardsData</t>
        </is>
      </c>
    </row>
    <row r="241" ht="15" customHeight="1" s="35">
      <c r="A241" s="37" t="inlineStr">
        <is>
          <t>2501-06-06</t>
        </is>
      </c>
      <c r="B241" s="37" t="inlineStr">
        <is>
          <t>2501-6-6</t>
        </is>
      </c>
      <c r="C241" s="37" t="inlineStr">
        <is>
          <t>2501</t>
        </is>
      </c>
      <c r="D241" s="37" t="n">
        <v>118</v>
      </c>
      <c r="E241" s="37" t="inlineStr">
        <is>
          <t>90 deg</t>
        </is>
      </c>
      <c r="F241" s="37" t="inlineStr">
        <is>
          <t>90 deg Male Elbow, 9/16-18 x 3/8-18</t>
        </is>
      </c>
      <c r="G241" s="37" t="inlineStr">
        <is>
          <t>3/8-18</t>
        </is>
      </c>
      <c r="H241" s="37" t="inlineStr">
        <is>
          <t>9/16-18</t>
        </is>
      </c>
      <c r="I241" s="37" t="inlineStr">
        <is>
          <t>3/8</t>
        </is>
      </c>
      <c r="J241" s="37" t="inlineStr">
        <is>
          <t>ASME B1.20.3</t>
        </is>
      </c>
      <c r="K241" s="37" t="inlineStr">
        <is>
          <t>SAE J514-1</t>
        </is>
      </c>
      <c r="L241" s="37" t="n">
        <v>1.15</v>
      </c>
      <c r="M241" s="37" t="n">
        <v>1.22</v>
      </c>
      <c r="N241" s="37" t="n">
        <v>0.8100000000000001</v>
      </c>
      <c r="O241" s="37" t="n">
        <v>0.3</v>
      </c>
      <c r="P241" s="37" t="n">
        <v>0.41</v>
      </c>
      <c r="Q241" s="37" t="n"/>
      <c r="R241" s="44" t="n"/>
      <c r="S241" s="45" t="n">
        <v>0.75</v>
      </c>
      <c r="T241" s="37" t="n">
        <v>90</v>
      </c>
      <c r="U241" s="37" t="inlineStr">
        <is>
          <t>ASSUMED</t>
        </is>
      </c>
      <c r="V241" s="37" t="inlineStr">
        <is>
          <t>Non-forged leg pattern; MS51504 covers the forged pattern (FG sibling matches MS). Air-Way single source for these legs.</t>
        </is>
      </c>
      <c r="W241" s="37" t="inlineStr">
        <is>
          <t>BUILD</t>
        </is>
      </c>
      <c r="X241" s="37" t="inlineStr">
        <is>
          <t>Dimensions verbatim from Air-Way, two reconciled passes. Hex/material/finish/pressure outstanding. | Single body hex 3/4 keyed to larger dash -6 (sources show hex follows larger end).</t>
        </is>
      </c>
      <c r="Z241" s="45" t="inlineStr">
        <is>
          <t>Carbon Steel</t>
        </is>
      </c>
      <c r="AA241" s="45" t="inlineStr">
        <is>
          <t>ASTM A108 12L14</t>
        </is>
      </c>
      <c r="AB241" s="45" t="inlineStr">
        <is>
          <t>Trivalent Cr3 Zinc</t>
        </is>
      </c>
      <c r="AC241" s="45" t="inlineStr">
        <is>
          <t>ASTM B633 Type V/VI</t>
        </is>
      </c>
      <c r="AD241" s="46" t="n">
        <v>5000</v>
      </c>
      <c r="AE241" s="46" t="inlineStr">
        <is>
          <t>generic SAE table @ dash -6 (governing end)</t>
        </is>
      </c>
      <c r="AF241" s="46" t="n">
        <v>-65</v>
      </c>
      <c r="AG241" s="46" t="n">
        <v>400</v>
      </c>
      <c r="AH241" s="37" t="inlineStr">
        <is>
          <t>Ham-Let + hoseandfittings (pressure); Parker Cat.4300 (material); ASTM B633 (finish); see StandardsData</t>
        </is>
      </c>
    </row>
    <row r="242" ht="15" customHeight="1" s="35">
      <c r="A242" s="37" t="inlineStr">
        <is>
          <t>2501-06-08-FG</t>
        </is>
      </c>
      <c r="B242" s="37" t="inlineStr">
        <is>
          <t>2501-6-8-FG</t>
        </is>
      </c>
      <c r="C242" s="37" t="inlineStr">
        <is>
          <t>2501</t>
        </is>
      </c>
      <c r="D242" s="37" t="n">
        <v>118</v>
      </c>
      <c r="E242" s="37" t="inlineStr">
        <is>
          <t>90 deg</t>
        </is>
      </c>
      <c r="F242" s="37" t="inlineStr">
        <is>
          <t>90 deg Male Elbow, 9/16-18 x 1/2-14</t>
        </is>
      </c>
      <c r="G242" s="37" t="inlineStr">
        <is>
          <t>1/2-14</t>
        </is>
      </c>
      <c r="H242" s="37" t="inlineStr">
        <is>
          <t>9/16-18</t>
        </is>
      </c>
      <c r="I242" s="37" t="inlineStr">
        <is>
          <t>3/8</t>
        </is>
      </c>
      <c r="J242" s="37" t="inlineStr">
        <is>
          <t>ASME B1.20.3</t>
        </is>
      </c>
      <c r="K242" s="37" t="inlineStr">
        <is>
          <t>SAE J514-1</t>
        </is>
      </c>
      <c r="L242" s="37" t="n">
        <v>1.22</v>
      </c>
      <c r="M242" s="37" t="n">
        <v>1.47</v>
      </c>
      <c r="N242" s="37" t="n">
        <v>0.88</v>
      </c>
      <c r="O242" s="37" t="n">
        <v>0.3</v>
      </c>
      <c r="P242" s="37" t="n">
        <v>0.53</v>
      </c>
      <c r="Q242" s="37" t="n"/>
      <c r="R242" s="44" t="n"/>
      <c r="S242" s="45" t="n">
        <v>0.875</v>
      </c>
      <c r="T242" s="37" t="n">
        <v>90</v>
      </c>
      <c r="U242" s="37" t="inlineStr">
        <is>
          <t>ASSUMED</t>
        </is>
      </c>
      <c r="V242" s="37" t="inlineStr">
        <is>
          <t>MS51504 cross-check 2026-09-04: B,M,N,D,D1 all AGREE (forged pattern).</t>
        </is>
      </c>
      <c r="W242" s="37" t="inlineStr">
        <is>
          <t>BUILD</t>
        </is>
      </c>
      <c r="X242" s="37" t="inlineStr">
        <is>
          <t>Dimensions verbatim from Air-Way, two reconciled passes. Hex/material/finish/pressure outstanding. | Single body hex 7/8 keyed to larger dash -8 (sources show hex follows larger end).</t>
        </is>
      </c>
      <c r="Z242" s="45" t="inlineStr">
        <is>
          <t>Carbon Steel</t>
        </is>
      </c>
      <c r="AA242" s="45" t="inlineStr">
        <is>
          <t>ASTM A108 12L14</t>
        </is>
      </c>
      <c r="AB242" s="45" t="inlineStr">
        <is>
          <t>Trivalent Cr3 Zinc</t>
        </is>
      </c>
      <c r="AC242" s="45" t="inlineStr">
        <is>
          <t>ASTM B633 Type V/VI</t>
        </is>
      </c>
      <c r="AD242" s="46" t="n">
        <v>4500</v>
      </c>
      <c r="AE242" s="46" t="inlineStr">
        <is>
          <t>generic SAE table @ dash -8 (governing end)</t>
        </is>
      </c>
      <c r="AF242" s="46" t="n">
        <v>-65</v>
      </c>
      <c r="AG242" s="46" t="n">
        <v>400</v>
      </c>
      <c r="AH242" s="37" t="inlineStr">
        <is>
          <t>Ham-Let + hoseandfittings (pressure); Parker Cat.4300 (material); ASTM B633 (finish); see StandardsData</t>
        </is>
      </c>
    </row>
    <row r="243" ht="15" customHeight="1" s="35">
      <c r="A243" s="37" t="inlineStr">
        <is>
          <t>2501-06-08</t>
        </is>
      </c>
      <c r="B243" s="37" t="inlineStr">
        <is>
          <t>2501-6-8</t>
        </is>
      </c>
      <c r="C243" s="37" t="inlineStr">
        <is>
          <t>2501</t>
        </is>
      </c>
      <c r="D243" s="37" t="n">
        <v>118</v>
      </c>
      <c r="E243" s="37" t="inlineStr">
        <is>
          <t>90 deg</t>
        </is>
      </c>
      <c r="F243" s="37" t="inlineStr">
        <is>
          <t>90 deg Male Elbow, 9/16-18 x 1/2-14</t>
        </is>
      </c>
      <c r="G243" s="37" t="inlineStr">
        <is>
          <t>1/2-14</t>
        </is>
      </c>
      <c r="H243" s="37" t="inlineStr">
        <is>
          <t>9/16-18</t>
        </is>
      </c>
      <c r="I243" s="37" t="inlineStr">
        <is>
          <t>3/8</t>
        </is>
      </c>
      <c r="J243" s="37" t="inlineStr">
        <is>
          <t>ASME B1.20.3</t>
        </is>
      </c>
      <c r="K243" s="37" t="inlineStr">
        <is>
          <t>SAE J514-1</t>
        </is>
      </c>
      <c r="L243" s="37" t="n">
        <v>1.22</v>
      </c>
      <c r="M243" s="37" t="n">
        <v>1.47</v>
      </c>
      <c r="N243" s="37" t="n">
        <v>0.9399999999999999</v>
      </c>
      <c r="O243" s="37" t="n">
        <v>0.3</v>
      </c>
      <c r="P243" s="37" t="n">
        <v>0.53</v>
      </c>
      <c r="Q243" s="37" t="n"/>
      <c r="R243" s="44" t="n"/>
      <c r="S243" s="45" t="n">
        <v>0.875</v>
      </c>
      <c r="T243" s="37" t="n">
        <v>90</v>
      </c>
      <c r="U243" s="37" t="inlineStr">
        <is>
          <t>ASSUMED</t>
        </is>
      </c>
      <c r="V243" s="37" t="inlineStr">
        <is>
          <t>Non-forged leg pattern; MS51504 covers the forged pattern (FG sibling matches MS). Air-Way single source for these legs.</t>
        </is>
      </c>
      <c r="W243" s="37" t="inlineStr">
        <is>
          <t>BUILD</t>
        </is>
      </c>
      <c r="X243" s="37" t="inlineStr">
        <is>
          <t>Dimensions verbatim from Air-Way, two reconciled passes. Hex/material/finish/pressure outstanding. | Single body hex 7/8 keyed to larger dash -8 (sources show hex follows larger end).</t>
        </is>
      </c>
      <c r="Z243" s="45" t="inlineStr">
        <is>
          <t>Carbon Steel</t>
        </is>
      </c>
      <c r="AA243" s="45" t="inlineStr">
        <is>
          <t>ASTM A108 12L14</t>
        </is>
      </c>
      <c r="AB243" s="45" t="inlineStr">
        <is>
          <t>Trivalent Cr3 Zinc</t>
        </is>
      </c>
      <c r="AC243" s="45" t="inlineStr">
        <is>
          <t>ASTM B633 Type V/VI</t>
        </is>
      </c>
      <c r="AD243" s="46" t="n">
        <v>4500</v>
      </c>
      <c r="AE243" s="46" t="inlineStr">
        <is>
          <t>generic SAE table @ dash -8 (governing end)</t>
        </is>
      </c>
      <c r="AF243" s="46" t="n">
        <v>-65</v>
      </c>
      <c r="AG243" s="46" t="n">
        <v>400</v>
      </c>
      <c r="AH243" s="37" t="inlineStr">
        <is>
          <t>Ham-Let + hoseandfittings (pressure); Parker Cat.4300 (material); ASTM B633 (finish); see StandardsData</t>
        </is>
      </c>
    </row>
    <row r="244" ht="15" customHeight="1" s="35">
      <c r="A244" s="37" t="inlineStr">
        <is>
          <t>2501-06-12</t>
        </is>
      </c>
      <c r="B244" s="37" t="inlineStr">
        <is>
          <t>2501-6-12</t>
        </is>
      </c>
      <c r="C244" s="37" t="inlineStr">
        <is>
          <t>2501</t>
        </is>
      </c>
      <c r="D244" s="37" t="n">
        <v>118</v>
      </c>
      <c r="E244" s="37" t="inlineStr">
        <is>
          <t>90 deg</t>
        </is>
      </c>
      <c r="F244" s="37" t="inlineStr">
        <is>
          <t>90 deg Male Elbow, 9/16-18 x 3/4-14</t>
        </is>
      </c>
      <c r="G244" s="37" t="inlineStr">
        <is>
          <t>3/4-14</t>
        </is>
      </c>
      <c r="H244" s="37" t="inlineStr">
        <is>
          <t>9/16-18</t>
        </is>
      </c>
      <c r="I244" s="37" t="inlineStr">
        <is>
          <t>3/8</t>
        </is>
      </c>
      <c r="J244" s="37" t="inlineStr">
        <is>
          <t>ASME B1.20.3</t>
        </is>
      </c>
      <c r="K244" s="37" t="inlineStr">
        <is>
          <t>SAE J514-1</t>
        </is>
      </c>
      <c r="L244" s="37" t="n">
        <v>1.31</v>
      </c>
      <c r="M244" s="37" t="n">
        <v>1.59</v>
      </c>
      <c r="N244" s="37" t="n">
        <v>1.13</v>
      </c>
      <c r="O244" s="37" t="n">
        <v>0.3</v>
      </c>
      <c r="P244" s="37" t="n">
        <v>0.72</v>
      </c>
      <c r="Q244" s="37" t="n"/>
      <c r="R244" s="44" t="n"/>
      <c r="S244" s="45" t="n">
        <v>1.0625</v>
      </c>
      <c r="T244" s="37" t="n">
        <v>90</v>
      </c>
      <c r="U244" s="37" t="inlineStr">
        <is>
          <t>ASSUMED</t>
        </is>
      </c>
      <c r="V244" s="37" t="inlineStr">
        <is>
          <t>MS51504 has no row for this size combo; Air-Way remains single source.</t>
        </is>
      </c>
      <c r="W244" s="37" t="inlineStr">
        <is>
          <t>BUILD</t>
        </is>
      </c>
      <c r="X244" s="37" t="inlineStr">
        <is>
          <t>Dimensions verbatim from Air-Way, two reconciled passes. Hex/material/finish/pressure outstanding. | Single body hex 1 1/16 keyed to larger dash -12 (sources show hex follows larger end).</t>
        </is>
      </c>
      <c r="Z244" s="45" t="inlineStr">
        <is>
          <t>Carbon Steel</t>
        </is>
      </c>
      <c r="AA244" s="45" t="inlineStr">
        <is>
          <t>ASTM A108 12L14</t>
        </is>
      </c>
      <c r="AB244" s="45" t="inlineStr">
        <is>
          <t>Trivalent Cr3 Zinc</t>
        </is>
      </c>
      <c r="AC244" s="45" t="inlineStr">
        <is>
          <t>ASTM B633 Type V/VI</t>
        </is>
      </c>
      <c r="AD244" s="46" t="n">
        <v>3500</v>
      </c>
      <c r="AE244" s="46" t="inlineStr">
        <is>
          <t>generic SAE table @ dash -12 (governing end)</t>
        </is>
      </c>
      <c r="AF244" s="46" t="n">
        <v>-65</v>
      </c>
      <c r="AG244" s="46" t="n">
        <v>400</v>
      </c>
      <c r="AH244" s="37" t="inlineStr">
        <is>
          <t>Ham-Let + hoseandfittings (pressure); Parker Cat.4300 (material); ASTM B633 (finish); see StandardsData</t>
        </is>
      </c>
    </row>
    <row r="245" ht="15" customHeight="1" s="35">
      <c r="A245" s="37" t="inlineStr">
        <is>
          <t>2501-08-04-FG</t>
        </is>
      </c>
      <c r="B245" s="37" t="inlineStr">
        <is>
          <t>2501-8-4-FG</t>
        </is>
      </c>
      <c r="C245" s="37" t="inlineStr">
        <is>
          <t>2501</t>
        </is>
      </c>
      <c r="D245" s="37" t="n">
        <v>118</v>
      </c>
      <c r="E245" s="37" t="inlineStr">
        <is>
          <t>90 deg</t>
        </is>
      </c>
      <c r="F245" s="37" t="inlineStr">
        <is>
          <t>90 deg Male Elbow, 3/4-16 x 1/4-18</t>
        </is>
      </c>
      <c r="G245" s="37" t="inlineStr">
        <is>
          <t>1/4-18</t>
        </is>
      </c>
      <c r="H245" s="37" t="inlineStr">
        <is>
          <t>3/4-16</t>
        </is>
      </c>
      <c r="I245" s="37" t="inlineStr">
        <is>
          <t>1/2</t>
        </is>
      </c>
      <c r="J245" s="37" t="inlineStr">
        <is>
          <t>ASME B1.20.3</t>
        </is>
      </c>
      <c r="K245" s="37" t="inlineStr">
        <is>
          <t>SAE J514-1</t>
        </is>
      </c>
      <c r="L245" s="37" t="n">
        <v>1.25</v>
      </c>
      <c r="M245" s="37" t="n">
        <v>1.22</v>
      </c>
      <c r="N245" s="37" t="n">
        <v>0.75</v>
      </c>
      <c r="O245" s="37" t="n">
        <v>0.39</v>
      </c>
      <c r="P245" s="37" t="n">
        <v>0.28</v>
      </c>
      <c r="Q245" s="37" t="n"/>
      <c r="R245" s="44" t="n"/>
      <c r="S245" s="45" t="n">
        <v>0.875</v>
      </c>
      <c r="T245" s="37" t="n">
        <v>90</v>
      </c>
      <c r="U245" s="37" t="inlineStr">
        <is>
          <t>ASSUMED</t>
        </is>
      </c>
      <c r="V245" s="37" t="inlineStr">
        <is>
          <t>MS51504 cross-check 2026-09-04: B,M,N,D,D1 all AGREE (forged pattern).</t>
        </is>
      </c>
      <c r="W245" s="37" t="inlineStr">
        <is>
          <t>BUILD</t>
        </is>
      </c>
      <c r="X245" s="37" t="inlineStr">
        <is>
          <t>Dimensions verbatim from Air-Way, two reconciled passes. Hex/material/finish/pressure outstanding. | Single body hex 7/8 keyed to larger dash -8 (sources show hex follows larger end).</t>
        </is>
      </c>
      <c r="Z245" s="45" t="inlineStr">
        <is>
          <t>Carbon Steel</t>
        </is>
      </c>
      <c r="AA245" s="45" t="inlineStr">
        <is>
          <t>ASTM A108 12L14</t>
        </is>
      </c>
      <c r="AB245" s="45" t="inlineStr">
        <is>
          <t>Trivalent Cr3 Zinc</t>
        </is>
      </c>
      <c r="AC245" s="45" t="inlineStr">
        <is>
          <t>ASTM B633 Type V/VI</t>
        </is>
      </c>
      <c r="AD245" s="46" t="n">
        <v>4500</v>
      </c>
      <c r="AE245" s="46" t="inlineStr">
        <is>
          <t>generic SAE table @ dash -8 (governing end)</t>
        </is>
      </c>
      <c r="AF245" s="46" t="n">
        <v>-65</v>
      </c>
      <c r="AG245" s="46" t="n">
        <v>400</v>
      </c>
      <c r="AH245" s="37" t="inlineStr">
        <is>
          <t>Ham-Let + hoseandfittings (pressure); Parker Cat.4300 (material); ASTM B633 (finish); see StandardsData</t>
        </is>
      </c>
    </row>
    <row r="246" ht="15" customHeight="1" s="35">
      <c r="A246" s="37" t="inlineStr">
        <is>
          <t>2501-08-04</t>
        </is>
      </c>
      <c r="B246" s="37" t="inlineStr">
        <is>
          <t>2501-8-4</t>
        </is>
      </c>
      <c r="C246" s="37" t="inlineStr">
        <is>
          <t>2501</t>
        </is>
      </c>
      <c r="D246" s="37" t="n">
        <v>118</v>
      </c>
      <c r="E246" s="37" t="inlineStr">
        <is>
          <t>90 deg</t>
        </is>
      </c>
      <c r="F246" s="37" t="inlineStr">
        <is>
          <t>90 deg Male Elbow, 3/4-16 x 1/4-18</t>
        </is>
      </c>
      <c r="G246" s="37" t="inlineStr">
        <is>
          <t>1/4-18</t>
        </is>
      </c>
      <c r="H246" s="37" t="inlineStr">
        <is>
          <t>3/4-16</t>
        </is>
      </c>
      <c r="I246" s="37" t="inlineStr">
        <is>
          <t>1/2</t>
        </is>
      </c>
      <c r="J246" s="37" t="inlineStr">
        <is>
          <t>ASME B1.20.3</t>
        </is>
      </c>
      <c r="K246" s="37" t="inlineStr">
        <is>
          <t>SAE J514-1</t>
        </is>
      </c>
      <c r="L246" s="37" t="n">
        <v>1.25</v>
      </c>
      <c r="M246" s="37" t="n">
        <v>1.19</v>
      </c>
      <c r="N246" s="37" t="n">
        <v>0.8100000000000001</v>
      </c>
      <c r="O246" s="37" t="n">
        <v>0.39</v>
      </c>
      <c r="P246" s="37" t="n">
        <v>0.28</v>
      </c>
      <c r="Q246" s="37" t="n"/>
      <c r="R246" s="44" t="n"/>
      <c r="S246" s="45" t="n">
        <v>0.875</v>
      </c>
      <c r="T246" s="37" t="n">
        <v>90</v>
      </c>
      <c r="U246" s="37" t="inlineStr">
        <is>
          <t>ASSUMED</t>
        </is>
      </c>
      <c r="V246" s="37" t="inlineStr">
        <is>
          <t>Non-forged leg pattern; MS51504 covers the forged pattern (FG sibling matches MS). Air-Way single source for these legs.</t>
        </is>
      </c>
      <c r="W246" s="37" t="inlineStr">
        <is>
          <t>BUILD</t>
        </is>
      </c>
      <c r="X246" s="37" t="inlineStr">
        <is>
          <t>Dimensions verbatim from Air-Way, two reconciled passes. Hex/material/finish/pressure outstanding. | Single body hex 7/8 keyed to larger dash -8 (sources show hex follows larger end).</t>
        </is>
      </c>
      <c r="Z246" s="45" t="inlineStr">
        <is>
          <t>Carbon Steel</t>
        </is>
      </c>
      <c r="AA246" s="45" t="inlineStr">
        <is>
          <t>ASTM A108 12L14</t>
        </is>
      </c>
      <c r="AB246" s="45" t="inlineStr">
        <is>
          <t>Trivalent Cr3 Zinc</t>
        </is>
      </c>
      <c r="AC246" s="45" t="inlineStr">
        <is>
          <t>ASTM B633 Type V/VI</t>
        </is>
      </c>
      <c r="AD246" s="46" t="n">
        <v>4500</v>
      </c>
      <c r="AE246" s="46" t="inlineStr">
        <is>
          <t>generic SAE table @ dash -8 (governing end)</t>
        </is>
      </c>
      <c r="AF246" s="46" t="n">
        <v>-65</v>
      </c>
      <c r="AG246" s="46" t="n">
        <v>400</v>
      </c>
      <c r="AH246" s="37" t="inlineStr">
        <is>
          <t>Ham-Let + hoseandfittings (pressure); Parker Cat.4300 (material); ASTM B633 (finish); see StandardsData</t>
        </is>
      </c>
    </row>
    <row r="247" ht="15" customHeight="1" s="35">
      <c r="A247" s="37" t="inlineStr">
        <is>
          <t>2501-08-06-FG</t>
        </is>
      </c>
      <c r="B247" s="37" t="inlineStr">
        <is>
          <t>2501-8-6-FG</t>
        </is>
      </c>
      <c r="C247" s="37" t="inlineStr">
        <is>
          <t>2501</t>
        </is>
      </c>
      <c r="D247" s="37" t="n">
        <v>118</v>
      </c>
      <c r="E247" s="37" t="inlineStr">
        <is>
          <t>90 deg</t>
        </is>
      </c>
      <c r="F247" s="37" t="inlineStr">
        <is>
          <t>90 deg Male Elbow, 3/4-16 x 3/8-18</t>
        </is>
      </c>
      <c r="G247" s="37" t="inlineStr">
        <is>
          <t>3/8-18</t>
        </is>
      </c>
      <c r="H247" s="37" t="inlineStr">
        <is>
          <t>3/4-16</t>
        </is>
      </c>
      <c r="I247" s="37" t="inlineStr">
        <is>
          <t>1/2</t>
        </is>
      </c>
      <c r="J247" s="37" t="inlineStr">
        <is>
          <t>ASME B1.20.3</t>
        </is>
      </c>
      <c r="K247" s="37" t="inlineStr">
        <is>
          <t>SAE J514-1</t>
        </is>
      </c>
      <c r="L247" s="37" t="n">
        <v>1.25</v>
      </c>
      <c r="M247" s="37" t="n">
        <v>1.22</v>
      </c>
      <c r="N247" s="37" t="n">
        <v>0.75</v>
      </c>
      <c r="O247" s="37" t="n">
        <v>0.39</v>
      </c>
      <c r="P247" s="37" t="n">
        <v>0.41</v>
      </c>
      <c r="Q247" s="37" t="n"/>
      <c r="R247" s="44" t="n"/>
      <c r="S247" s="45" t="n">
        <v>0.875</v>
      </c>
      <c r="T247" s="37" t="n">
        <v>90</v>
      </c>
      <c r="U247" s="37" t="inlineStr">
        <is>
          <t>ASSUMED</t>
        </is>
      </c>
      <c r="V247" s="37" t="inlineStr">
        <is>
          <t>MS51504 cross-check 2026-09-04: B,M,N,D,D1 all AGREE (forged pattern).</t>
        </is>
      </c>
      <c r="W247" s="37" t="inlineStr">
        <is>
          <t>BUILD</t>
        </is>
      </c>
      <c r="X247" s="37" t="inlineStr">
        <is>
          <t>Dimensions verbatim from Air-Way, two reconciled passes. Hex/material/finish/pressure outstanding. | Single body hex 7/8 keyed to larger dash -8 (sources show hex follows larger end).</t>
        </is>
      </c>
      <c r="Z247" s="45" t="inlineStr">
        <is>
          <t>Carbon Steel</t>
        </is>
      </c>
      <c r="AA247" s="45" t="inlineStr">
        <is>
          <t>ASTM A108 12L14</t>
        </is>
      </c>
      <c r="AB247" s="45" t="inlineStr">
        <is>
          <t>Trivalent Cr3 Zinc</t>
        </is>
      </c>
      <c r="AC247" s="45" t="inlineStr">
        <is>
          <t>ASTM B633 Type V/VI</t>
        </is>
      </c>
      <c r="AD247" s="46" t="n">
        <v>4500</v>
      </c>
      <c r="AE247" s="46" t="inlineStr">
        <is>
          <t>generic SAE table @ dash -8 (governing end)</t>
        </is>
      </c>
      <c r="AF247" s="46" t="n">
        <v>-65</v>
      </c>
      <c r="AG247" s="46" t="n">
        <v>400</v>
      </c>
      <c r="AH247" s="37" t="inlineStr">
        <is>
          <t>Ham-Let + hoseandfittings (pressure); Parker Cat.4300 (material); ASTM B633 (finish); see StandardsData</t>
        </is>
      </c>
    </row>
    <row r="248" ht="15" customHeight="1" s="35">
      <c r="A248" s="37" t="inlineStr">
        <is>
          <t>2501-08-06</t>
        </is>
      </c>
      <c r="B248" s="37" t="inlineStr">
        <is>
          <t>2501-8-6</t>
        </is>
      </c>
      <c r="C248" s="37" t="inlineStr">
        <is>
          <t>2501</t>
        </is>
      </c>
      <c r="D248" s="37" t="n">
        <v>118</v>
      </c>
      <c r="E248" s="37" t="inlineStr">
        <is>
          <t>90 deg</t>
        </is>
      </c>
      <c r="F248" s="37" t="inlineStr">
        <is>
          <t>90 deg Male Elbow, 3/4-16 x 3/8-18</t>
        </is>
      </c>
      <c r="G248" s="37" t="inlineStr">
        <is>
          <t>3/8-18</t>
        </is>
      </c>
      <c r="H248" s="37" t="inlineStr">
        <is>
          <t>3/4-16</t>
        </is>
      </c>
      <c r="I248" s="37" t="inlineStr">
        <is>
          <t>1/2</t>
        </is>
      </c>
      <c r="J248" s="37" t="inlineStr">
        <is>
          <t>ASME B1.20.3</t>
        </is>
      </c>
      <c r="K248" s="37" t="inlineStr">
        <is>
          <t>SAE J514-1</t>
        </is>
      </c>
      <c r="L248" s="37" t="n">
        <v>1.25</v>
      </c>
      <c r="M248" s="37" t="n">
        <v>1.22</v>
      </c>
      <c r="N248" s="37" t="n">
        <v>0.8100000000000001</v>
      </c>
      <c r="O248" s="37" t="n">
        <v>0.39</v>
      </c>
      <c r="P248" s="37" t="n">
        <v>0.41</v>
      </c>
      <c r="Q248" s="37" t="n"/>
      <c r="R248" s="44" t="n"/>
      <c r="S248" s="45" t="n">
        <v>0.875</v>
      </c>
      <c r="T248" s="37" t="n">
        <v>90</v>
      </c>
      <c r="U248" s="37" t="inlineStr">
        <is>
          <t>ASSUMED</t>
        </is>
      </c>
      <c r="V248" s="37" t="inlineStr">
        <is>
          <t>Non-forged leg pattern; MS51504 covers the forged pattern (FG sibling matches MS). Air-Way single source for these legs.</t>
        </is>
      </c>
      <c r="W248" s="37" t="inlineStr">
        <is>
          <t>BUILD</t>
        </is>
      </c>
      <c r="X248" s="37" t="inlineStr">
        <is>
          <t>Dimensions verbatim from Air-Way, two reconciled passes. Hex/material/finish/pressure outstanding. | Single body hex 7/8 keyed to larger dash -8 (sources show hex follows larger end).</t>
        </is>
      </c>
      <c r="Z248" s="45" t="inlineStr">
        <is>
          <t>Carbon Steel</t>
        </is>
      </c>
      <c r="AA248" s="45" t="inlineStr">
        <is>
          <t>ASTM A108 12L14</t>
        </is>
      </c>
      <c r="AB248" s="45" t="inlineStr">
        <is>
          <t>Trivalent Cr3 Zinc</t>
        </is>
      </c>
      <c r="AC248" s="45" t="inlineStr">
        <is>
          <t>ASTM B633 Type V/VI</t>
        </is>
      </c>
      <c r="AD248" s="46" t="n">
        <v>4500</v>
      </c>
      <c r="AE248" s="46" t="inlineStr">
        <is>
          <t>generic SAE table @ dash -8 (governing end)</t>
        </is>
      </c>
      <c r="AF248" s="46" t="n">
        <v>-65</v>
      </c>
      <c r="AG248" s="46" t="n">
        <v>400</v>
      </c>
      <c r="AH248" s="37" t="inlineStr">
        <is>
          <t>Ham-Let + hoseandfittings (pressure); Parker Cat.4300 (material); ASTM B633 (finish); see StandardsData</t>
        </is>
      </c>
    </row>
    <row r="249" ht="15" customHeight="1" s="35">
      <c r="A249" s="37" t="inlineStr">
        <is>
          <t>2501-08-08-FG</t>
        </is>
      </c>
      <c r="B249" s="37" t="inlineStr">
        <is>
          <t>2501-8-8-FG</t>
        </is>
      </c>
      <c r="C249" s="37" t="inlineStr">
        <is>
          <t>2501</t>
        </is>
      </c>
      <c r="D249" s="37" t="n">
        <v>118</v>
      </c>
      <c r="E249" s="37" t="inlineStr">
        <is>
          <t>90 deg</t>
        </is>
      </c>
      <c r="F249" s="37" t="inlineStr">
        <is>
          <t>90 deg Male Elbow, 3/4-16 x 1/2-14</t>
        </is>
      </c>
      <c r="G249" s="37" t="inlineStr">
        <is>
          <t>1/2-14</t>
        </is>
      </c>
      <c r="H249" s="37" t="inlineStr">
        <is>
          <t>3/4-16</t>
        </is>
      </c>
      <c r="I249" s="37" t="inlineStr">
        <is>
          <t>1/2</t>
        </is>
      </c>
      <c r="J249" s="37" t="inlineStr">
        <is>
          <t>ASME B1.20.3</t>
        </is>
      </c>
      <c r="K249" s="37" t="inlineStr">
        <is>
          <t>SAE J514-1</t>
        </is>
      </c>
      <c r="L249" s="37" t="n">
        <v>1.33</v>
      </c>
      <c r="M249" s="37" t="n">
        <v>1.47</v>
      </c>
      <c r="N249" s="37" t="n">
        <v>0.88</v>
      </c>
      <c r="O249" s="37" t="n">
        <v>0.39</v>
      </c>
      <c r="P249" s="37" t="n">
        <v>0.53</v>
      </c>
      <c r="Q249" s="37" t="n"/>
      <c r="R249" s="44" t="n"/>
      <c r="S249" s="45" t="n">
        <v>0.875</v>
      </c>
      <c r="T249" s="37" t="n">
        <v>90</v>
      </c>
      <c r="U249" s="37" t="inlineStr">
        <is>
          <t>ASSUMED</t>
        </is>
      </c>
      <c r="V249" s="37" t="inlineStr">
        <is>
          <t>MS51504 cross-check 2026-09-04: B,M,N,D,D1 all AGREE (forged pattern).</t>
        </is>
      </c>
      <c r="W249" s="37" t="inlineStr">
        <is>
          <t>BUILD</t>
        </is>
      </c>
      <c r="X249" s="37" t="inlineStr">
        <is>
          <t>Dimensions verbatim from Air-Way, two reconciled passes. Hex/material/finish/pressure outstanding. | Single body hex 7/8 keyed to larger dash -8 (sources show hex follows larger end).</t>
        </is>
      </c>
      <c r="Z249" s="45" t="inlineStr">
        <is>
          <t>Carbon Steel</t>
        </is>
      </c>
      <c r="AA249" s="45" t="inlineStr">
        <is>
          <t>ASTM A108 12L14</t>
        </is>
      </c>
      <c r="AB249" s="45" t="inlineStr">
        <is>
          <t>Trivalent Cr3 Zinc</t>
        </is>
      </c>
      <c r="AC249" s="45" t="inlineStr">
        <is>
          <t>ASTM B633 Type V/VI</t>
        </is>
      </c>
      <c r="AD249" s="46" t="n">
        <v>4500</v>
      </c>
      <c r="AE249" s="46" t="inlineStr">
        <is>
          <t>generic SAE table @ dash -8 (governing end)</t>
        </is>
      </c>
      <c r="AF249" s="46" t="n">
        <v>-65</v>
      </c>
      <c r="AG249" s="46" t="n">
        <v>400</v>
      </c>
      <c r="AH249" s="37" t="inlineStr">
        <is>
          <t>Ham-Let + hoseandfittings (pressure); Parker Cat.4300 (material); ASTM B633 (finish); see StandardsData</t>
        </is>
      </c>
    </row>
    <row r="250" ht="15" customHeight="1" s="35">
      <c r="A250" s="37" t="inlineStr">
        <is>
          <t>2501-08-08</t>
        </is>
      </c>
      <c r="B250" s="37" t="inlineStr">
        <is>
          <t>2501-8-8</t>
        </is>
      </c>
      <c r="C250" s="37" t="inlineStr">
        <is>
          <t>2501</t>
        </is>
      </c>
      <c r="D250" s="37" t="n">
        <v>118</v>
      </c>
      <c r="E250" s="37" t="inlineStr">
        <is>
          <t>90 deg</t>
        </is>
      </c>
      <c r="F250" s="37" t="inlineStr">
        <is>
          <t>90 deg Male Elbow, 3/4-16 x 1/2-14</t>
        </is>
      </c>
      <c r="G250" s="37" t="inlineStr">
        <is>
          <t>1/2-14</t>
        </is>
      </c>
      <c r="H250" s="37" t="inlineStr">
        <is>
          <t>3/4-16</t>
        </is>
      </c>
      <c r="I250" s="37" t="inlineStr">
        <is>
          <t>1/2</t>
        </is>
      </c>
      <c r="J250" s="37" t="inlineStr">
        <is>
          <t>ASME B1.20.3</t>
        </is>
      </c>
      <c r="K250" s="37" t="inlineStr">
        <is>
          <t>SAE J514-1</t>
        </is>
      </c>
      <c r="L250" s="37" t="n">
        <v>1.31</v>
      </c>
      <c r="M250" s="37" t="n">
        <v>1.47</v>
      </c>
      <c r="N250" s="37" t="n">
        <v>0.9399999999999999</v>
      </c>
      <c r="O250" s="37" t="n">
        <v>0.39</v>
      </c>
      <c r="P250" s="37" t="n">
        <v>0.53</v>
      </c>
      <c r="Q250" s="37" t="n"/>
      <c r="R250" s="44" t="n"/>
      <c r="S250" s="45" t="n">
        <v>0.875</v>
      </c>
      <c r="T250" s="37" t="n">
        <v>90</v>
      </c>
      <c r="U250" s="37" t="inlineStr">
        <is>
          <t>ASSUMED</t>
        </is>
      </c>
      <c r="V250" s="37" t="inlineStr">
        <is>
          <t>Non-forged leg pattern; MS51504 covers the forged pattern (FG sibling matches MS). Air-Way single source for these legs.</t>
        </is>
      </c>
      <c r="W250" s="37" t="inlineStr">
        <is>
          <t>BUILD</t>
        </is>
      </c>
      <c r="X250" s="37" t="inlineStr">
        <is>
          <t>Dimensions verbatim from Air-Way, two reconciled passes. Hex/material/finish/pressure outstanding. | Single body hex 7/8 keyed to larger dash -8 (sources show hex follows larger end).</t>
        </is>
      </c>
      <c r="Z250" s="45" t="inlineStr">
        <is>
          <t>Carbon Steel</t>
        </is>
      </c>
      <c r="AA250" s="45" t="inlineStr">
        <is>
          <t>ASTM A108 12L14</t>
        </is>
      </c>
      <c r="AB250" s="45" t="inlineStr">
        <is>
          <t>Trivalent Cr3 Zinc</t>
        </is>
      </c>
      <c r="AC250" s="45" t="inlineStr">
        <is>
          <t>ASTM B633 Type V/VI</t>
        </is>
      </c>
      <c r="AD250" s="46" t="n">
        <v>4500</v>
      </c>
      <c r="AE250" s="46" t="inlineStr">
        <is>
          <t>generic SAE table @ dash -8 (governing end)</t>
        </is>
      </c>
      <c r="AF250" s="46" t="n">
        <v>-65</v>
      </c>
      <c r="AG250" s="46" t="n">
        <v>400</v>
      </c>
      <c r="AH250" s="37" t="inlineStr">
        <is>
          <t>Ham-Let + hoseandfittings (pressure); Parker Cat.4300 (material); ASTM B633 (finish); see StandardsData</t>
        </is>
      </c>
    </row>
    <row r="251" ht="15" customHeight="1" s="35">
      <c r="A251" s="37" t="inlineStr">
        <is>
          <t>2501-08-12-FG</t>
        </is>
      </c>
      <c r="B251" s="37" t="inlineStr">
        <is>
          <t>2501-8-12-FG</t>
        </is>
      </c>
      <c r="C251" s="37" t="inlineStr">
        <is>
          <t>2501</t>
        </is>
      </c>
      <c r="D251" s="37" t="n">
        <v>118</v>
      </c>
      <c r="E251" s="37" t="inlineStr">
        <is>
          <t>90 deg</t>
        </is>
      </c>
      <c r="F251" s="37" t="inlineStr">
        <is>
          <t>90 deg Male Elbow, 3/4-16 x 3/4-14</t>
        </is>
      </c>
      <c r="G251" s="37" t="inlineStr">
        <is>
          <t>3/4-14</t>
        </is>
      </c>
      <c r="H251" s="37" t="inlineStr">
        <is>
          <t>3/4-16</t>
        </is>
      </c>
      <c r="I251" s="37" t="inlineStr">
        <is>
          <t>1/2</t>
        </is>
      </c>
      <c r="J251" s="37" t="inlineStr">
        <is>
          <t>ASME B1.20.3</t>
        </is>
      </c>
      <c r="K251" s="37" t="inlineStr">
        <is>
          <t>SAE J514-1</t>
        </is>
      </c>
      <c r="L251" s="37" t="n">
        <v>1.42</v>
      </c>
      <c r="M251" s="37" t="n">
        <v>1.59</v>
      </c>
      <c r="N251" s="37" t="n">
        <v>1.06</v>
      </c>
      <c r="O251" s="37" t="n">
        <v>0.39</v>
      </c>
      <c r="P251" s="37" t="n">
        <v>0.72</v>
      </c>
      <c r="Q251" s="37" t="n"/>
      <c r="R251" s="44" t="n"/>
      <c r="S251" s="45" t="n">
        <v>1.0625</v>
      </c>
      <c r="T251" s="37" t="n">
        <v>90</v>
      </c>
      <c r="U251" s="37" t="inlineStr">
        <is>
          <t>ASSUMED</t>
        </is>
      </c>
      <c r="V251" s="37" t="inlineStr">
        <is>
          <t>MS51504 cross-check 2026-09-04: B,M,N,D,D1 all AGREE (forged pattern).</t>
        </is>
      </c>
      <c r="W251" s="37" t="inlineStr">
        <is>
          <t>BUILD</t>
        </is>
      </c>
      <c r="X251" s="37" t="inlineStr">
        <is>
          <t>Dimensions verbatim from Air-Way, two reconciled passes. Hex/material/finish/pressure outstanding. | Single body hex 1 1/16 keyed to larger dash -12 (sources show hex follows larger end).</t>
        </is>
      </c>
      <c r="Z251" s="45" t="inlineStr">
        <is>
          <t>Carbon Steel</t>
        </is>
      </c>
      <c r="AA251" s="45" t="inlineStr">
        <is>
          <t>ASTM A108 12L14</t>
        </is>
      </c>
      <c r="AB251" s="45" t="inlineStr">
        <is>
          <t>Trivalent Cr3 Zinc</t>
        </is>
      </c>
      <c r="AC251" s="45" t="inlineStr">
        <is>
          <t>ASTM B633 Type V/VI</t>
        </is>
      </c>
      <c r="AD251" s="46" t="n">
        <v>3500</v>
      </c>
      <c r="AE251" s="46" t="inlineStr">
        <is>
          <t>generic SAE table @ dash -12 (governing end)</t>
        </is>
      </c>
      <c r="AF251" s="46" t="n">
        <v>-65</v>
      </c>
      <c r="AG251" s="46" t="n">
        <v>400</v>
      </c>
      <c r="AH251" s="37" t="inlineStr">
        <is>
          <t>Ham-Let + hoseandfittings (pressure); Parker Cat.4300 (material); ASTM B633 (finish); see StandardsData</t>
        </is>
      </c>
    </row>
    <row r="252" ht="15" customHeight="1" s="35">
      <c r="A252" s="37" t="inlineStr">
        <is>
          <t>2501-08-12</t>
        </is>
      </c>
      <c r="B252" s="37" t="inlineStr">
        <is>
          <t>2501-8-12</t>
        </is>
      </c>
      <c r="C252" s="37" t="inlineStr">
        <is>
          <t>2501</t>
        </is>
      </c>
      <c r="D252" s="37" t="n">
        <v>118</v>
      </c>
      <c r="E252" s="37" t="inlineStr">
        <is>
          <t>90 deg</t>
        </is>
      </c>
      <c r="F252" s="37" t="inlineStr">
        <is>
          <t>90 deg Male Elbow, 3/4-16 x 3/4-14</t>
        </is>
      </c>
      <c r="G252" s="37" t="inlineStr">
        <is>
          <t>3/4-14</t>
        </is>
      </c>
      <c r="H252" s="37" t="inlineStr">
        <is>
          <t>3/4-16</t>
        </is>
      </c>
      <c r="I252" s="37" t="inlineStr">
        <is>
          <t>1/2</t>
        </is>
      </c>
      <c r="J252" s="37" t="inlineStr">
        <is>
          <t>ASME B1.20.3</t>
        </is>
      </c>
      <c r="K252" s="37" t="inlineStr">
        <is>
          <t>SAE J514-1</t>
        </is>
      </c>
      <c r="L252" s="37" t="n">
        <v>1.4</v>
      </c>
      <c r="M252" s="37" t="n">
        <v>1.59</v>
      </c>
      <c r="N252" s="37" t="n">
        <v>1.13</v>
      </c>
      <c r="O252" s="37" t="n">
        <v>0.39</v>
      </c>
      <c r="P252" s="37" t="n">
        <v>0.72</v>
      </c>
      <c r="Q252" s="37" t="n"/>
      <c r="R252" s="44" t="n"/>
      <c r="S252" s="45" t="n">
        <v>1.0625</v>
      </c>
      <c r="T252" s="37" t="n">
        <v>90</v>
      </c>
      <c r="U252" s="37" t="inlineStr">
        <is>
          <t>ASSUMED</t>
        </is>
      </c>
      <c r="V252" s="37" t="inlineStr">
        <is>
          <t>Non-forged leg pattern; MS51504 covers the forged pattern (FG sibling matches MS). Air-Way single source for these legs.</t>
        </is>
      </c>
      <c r="W252" s="37" t="inlineStr">
        <is>
          <t>BUILD</t>
        </is>
      </c>
      <c r="X252" s="37" t="inlineStr">
        <is>
          <t>Dimensions verbatim from Air-Way, two reconciled passes. Hex/material/finish/pressure outstanding. | Single body hex 1 1/16 keyed to larger dash -12 (sources show hex follows larger end).</t>
        </is>
      </c>
      <c r="Z252" s="45" t="inlineStr">
        <is>
          <t>Carbon Steel</t>
        </is>
      </c>
      <c r="AA252" s="45" t="inlineStr">
        <is>
          <t>ASTM A108 12L14</t>
        </is>
      </c>
      <c r="AB252" s="45" t="inlineStr">
        <is>
          <t>Trivalent Cr3 Zinc</t>
        </is>
      </c>
      <c r="AC252" s="45" t="inlineStr">
        <is>
          <t>ASTM B633 Type V/VI</t>
        </is>
      </c>
      <c r="AD252" s="46" t="n">
        <v>3500</v>
      </c>
      <c r="AE252" s="46" t="inlineStr">
        <is>
          <t>generic SAE table @ dash -12 (governing end)</t>
        </is>
      </c>
      <c r="AF252" s="46" t="n">
        <v>-65</v>
      </c>
      <c r="AG252" s="46" t="n">
        <v>400</v>
      </c>
      <c r="AH252" s="37" t="inlineStr">
        <is>
          <t>Ham-Let + hoseandfittings (pressure); Parker Cat.4300 (material); ASTM B633 (finish); see StandardsData</t>
        </is>
      </c>
    </row>
    <row r="253" ht="15" customHeight="1" s="35">
      <c r="A253" s="37" t="inlineStr">
        <is>
          <t>2501-08-16</t>
        </is>
      </c>
      <c r="B253" s="37" t="inlineStr">
        <is>
          <t>2501-8-16</t>
        </is>
      </c>
      <c r="C253" s="37" t="inlineStr">
        <is>
          <t>2501</t>
        </is>
      </c>
      <c r="D253" s="37" t="n">
        <v>118</v>
      </c>
      <c r="E253" s="37" t="inlineStr">
        <is>
          <t>90 deg</t>
        </is>
      </c>
      <c r="F253" s="37" t="inlineStr">
        <is>
          <t>90 deg Male Elbow, 3/4-16 x 1-11 1/2</t>
        </is>
      </c>
      <c r="G253" s="37" t="inlineStr">
        <is>
          <t>1-11 1/2</t>
        </is>
      </c>
      <c r="H253" s="37" t="inlineStr">
        <is>
          <t>3/4-16</t>
        </is>
      </c>
      <c r="I253" s="37" t="inlineStr">
        <is>
          <t>1/2</t>
        </is>
      </c>
      <c r="J253" s="37" t="inlineStr">
        <is>
          <t>ASME B1.20.3</t>
        </is>
      </c>
      <c r="K253" s="37" t="inlineStr">
        <is>
          <t>SAE J514-1</t>
        </is>
      </c>
      <c r="L253" s="37" t="n">
        <v>1.53</v>
      </c>
      <c r="M253" s="37" t="n">
        <v>1.97</v>
      </c>
      <c r="N253" s="37" t="n">
        <v>1.38</v>
      </c>
      <c r="O253" s="37" t="n">
        <v>0.39</v>
      </c>
      <c r="P253" s="37" t="n">
        <v>0.9399999999999999</v>
      </c>
      <c r="Q253" s="37" t="n"/>
      <c r="R253" s="44" t="n"/>
      <c r="S253" s="45" t="n">
        <v>1.3125</v>
      </c>
      <c r="T253" s="37" t="n">
        <v>90</v>
      </c>
      <c r="U253" s="37" t="inlineStr">
        <is>
          <t>ASSUMED</t>
        </is>
      </c>
      <c r="V253" s="37" t="inlineStr">
        <is>
          <t>MS51504 has no row for this size combo; Air-Way remains single source.</t>
        </is>
      </c>
      <c r="W253" s="37" t="inlineStr">
        <is>
          <t>BUILD</t>
        </is>
      </c>
      <c r="X253" s="37" t="inlineStr">
        <is>
          <t>Dimensions verbatim from Air-Way, two reconciled passes. Hex/material/finish/pressure outstanding. | Single body hex 1 5/16 keyed to larger dash -16 (sources show hex follows larger end).</t>
        </is>
      </c>
      <c r="Z253" s="45" t="inlineStr">
        <is>
          <t>Carbon Steel</t>
        </is>
      </c>
      <c r="AA253" s="45" t="inlineStr">
        <is>
          <t>ASTM A108 12L14</t>
        </is>
      </c>
      <c r="AB253" s="45" t="inlineStr">
        <is>
          <t>Trivalent Cr3 Zinc</t>
        </is>
      </c>
      <c r="AC253" s="45" t="inlineStr">
        <is>
          <t>ASTM B633 Type V/VI</t>
        </is>
      </c>
      <c r="AD253" s="46" t="n">
        <v>3000</v>
      </c>
      <c r="AE253" s="46" t="inlineStr">
        <is>
          <t>generic SAE table @ dash -16 (governing end)</t>
        </is>
      </c>
      <c r="AF253" s="46" t="n">
        <v>-65</v>
      </c>
      <c r="AG253" s="46" t="n">
        <v>400</v>
      </c>
      <c r="AH253" s="37" t="inlineStr">
        <is>
          <t>Ham-Let + hoseandfittings (pressure); Parker Cat.4300 (material); ASTM B633 (finish); see StandardsData</t>
        </is>
      </c>
    </row>
    <row r="254" ht="15" customHeight="1" s="35">
      <c r="A254" s="37" t="inlineStr">
        <is>
          <t>2501-10-04</t>
        </is>
      </c>
      <c r="B254" s="37" t="inlineStr">
        <is>
          <t>2501-10-4</t>
        </is>
      </c>
      <c r="C254" s="37" t="inlineStr">
        <is>
          <t>2501</t>
        </is>
      </c>
      <c r="D254" s="37" t="n">
        <v>118</v>
      </c>
      <c r="E254" s="37" t="inlineStr">
        <is>
          <t>90 deg</t>
        </is>
      </c>
      <c r="F254" s="37" t="inlineStr">
        <is>
          <t>90 deg Male Elbow, 7/8-14 x 1/4-18</t>
        </is>
      </c>
      <c r="G254" s="37" t="inlineStr">
        <is>
          <t>1/4-18</t>
        </is>
      </c>
      <c r="H254" s="37" t="inlineStr">
        <is>
          <t>7/8-14</t>
        </is>
      </c>
      <c r="I254" s="37" t="inlineStr">
        <is>
          <t>5/8</t>
        </is>
      </c>
      <c r="J254" s="37" t="inlineStr">
        <is>
          <t>ASME B1.20.3</t>
        </is>
      </c>
      <c r="K254" s="37" t="inlineStr">
        <is>
          <t>SAE J514-1</t>
        </is>
      </c>
      <c r="L254" s="37" t="n">
        <v>1.45</v>
      </c>
      <c r="M254" s="37" t="n">
        <v>1.25</v>
      </c>
      <c r="N254" s="37" t="n">
        <v>0.9399999999999999</v>
      </c>
      <c r="O254" s="37" t="n">
        <v>0.48</v>
      </c>
      <c r="P254" s="37" t="n">
        <v>0.28</v>
      </c>
      <c r="Q254" s="37" t="n"/>
      <c r="R254" s="44" t="n"/>
      <c r="S254" s="47" t="n"/>
      <c r="T254" s="37" t="n">
        <v>90</v>
      </c>
      <c r="U254" s="37" t="inlineStr">
        <is>
          <t>MISSING</t>
        </is>
      </c>
      <c r="V254" s="37" t="inlineStr">
        <is>
          <t>MS51504 has no row for this size combo; Air-Way remains single source.</t>
        </is>
      </c>
      <c r="W254" s="37" t="inlineStr">
        <is>
          <t>BUILD</t>
        </is>
      </c>
      <c r="X254" s="37" t="inlineStr">
        <is>
          <t>Dimensions verbatim from Air-Way, two reconciled passes. Hex/material/finish/pressure outstanding.</t>
        </is>
      </c>
      <c r="Z254" s="45" t="inlineStr">
        <is>
          <t>Carbon Steel</t>
        </is>
      </c>
      <c r="AA254" s="45" t="inlineStr">
        <is>
          <t>ASTM A108 12L14</t>
        </is>
      </c>
      <c r="AB254" s="45" t="inlineStr">
        <is>
          <t>Trivalent Cr3 Zinc</t>
        </is>
      </c>
      <c r="AC254" s="45" t="inlineStr">
        <is>
          <t>ASTM B633 Type V/VI</t>
        </is>
      </c>
      <c r="AD254" s="46" t="n">
        <v>3500</v>
      </c>
      <c r="AE254" s="46" t="inlineStr">
        <is>
          <t>generic SAE table @ dash -10 (governing end)</t>
        </is>
      </c>
      <c r="AF254" s="46" t="n">
        <v>-65</v>
      </c>
      <c r="AG254" s="46" t="n">
        <v>400</v>
      </c>
      <c r="AH254" s="37" t="inlineStr">
        <is>
          <t>Ham-Let + hoseandfittings (pressure); Parker Cat.4300 (material); ASTM B633 (finish); see StandardsData</t>
        </is>
      </c>
    </row>
    <row r="255" ht="15" customHeight="1" s="35">
      <c r="A255" s="37" t="inlineStr">
        <is>
          <t>2501-10-06-FG</t>
        </is>
      </c>
      <c r="B255" s="37" t="inlineStr">
        <is>
          <t>2501-10-6-FG</t>
        </is>
      </c>
      <c r="C255" s="37" t="inlineStr">
        <is>
          <t>2501</t>
        </is>
      </c>
      <c r="D255" s="37" t="n">
        <v>118</v>
      </c>
      <c r="E255" s="37" t="inlineStr">
        <is>
          <t>90 deg</t>
        </is>
      </c>
      <c r="F255" s="37" t="inlineStr">
        <is>
          <t>90 deg Male Elbow, 7/8-14 x 3/8-18</t>
        </is>
      </c>
      <c r="G255" s="37" t="inlineStr">
        <is>
          <t>3/8-18</t>
        </is>
      </c>
      <c r="H255" s="37" t="inlineStr">
        <is>
          <t>7/8-14</t>
        </is>
      </c>
      <c r="I255" s="37" t="inlineStr">
        <is>
          <t>5/8</t>
        </is>
      </c>
      <c r="J255" s="37" t="inlineStr">
        <is>
          <t>ASME B1.20.3</t>
        </is>
      </c>
      <c r="K255" s="37" t="inlineStr">
        <is>
          <t>SAE J514-1</t>
        </is>
      </c>
      <c r="L255" s="37" t="n">
        <v>1.45</v>
      </c>
      <c r="M255" s="37" t="n">
        <v>1.28</v>
      </c>
      <c r="N255" s="37" t="n">
        <v>0.88</v>
      </c>
      <c r="O255" s="37" t="n">
        <v>0.48</v>
      </c>
      <c r="P255" s="37" t="n">
        <v>0.41</v>
      </c>
      <c r="Q255" s="37" t="n"/>
      <c r="R255" s="44" t="n"/>
      <c r="S255" s="47" t="n"/>
      <c r="T255" s="37" t="n">
        <v>90</v>
      </c>
      <c r="U255" s="37" t="inlineStr">
        <is>
          <t>MISSING</t>
        </is>
      </c>
      <c r="V255" s="37" t="inlineStr">
        <is>
          <t>MS51504 cross-check 2026-09-04: B,M,N,D,D1 all AGREE (forged pattern).</t>
        </is>
      </c>
      <c r="W255" s="37" t="inlineStr">
        <is>
          <t>BUILD</t>
        </is>
      </c>
      <c r="X255" s="37" t="inlineStr">
        <is>
          <t>Dimensions verbatim from Air-Way, two reconciled passes. Hex/material/finish/pressure outstanding.</t>
        </is>
      </c>
      <c r="Z255" s="45" t="inlineStr">
        <is>
          <t>Carbon Steel</t>
        </is>
      </c>
      <c r="AA255" s="45" t="inlineStr">
        <is>
          <t>ASTM A108 12L14</t>
        </is>
      </c>
      <c r="AB255" s="45" t="inlineStr">
        <is>
          <t>Trivalent Cr3 Zinc</t>
        </is>
      </c>
      <c r="AC255" s="45" t="inlineStr">
        <is>
          <t>ASTM B633 Type V/VI</t>
        </is>
      </c>
      <c r="AD255" s="46" t="n">
        <v>3500</v>
      </c>
      <c r="AE255" s="46" t="inlineStr">
        <is>
          <t>generic SAE table @ dash -10 (governing end)</t>
        </is>
      </c>
      <c r="AF255" s="46" t="n">
        <v>-65</v>
      </c>
      <c r="AG255" s="46" t="n">
        <v>400</v>
      </c>
      <c r="AH255" s="37" t="inlineStr">
        <is>
          <t>Ham-Let + hoseandfittings (pressure); Parker Cat.4300 (material); ASTM B633 (finish); see StandardsData</t>
        </is>
      </c>
    </row>
    <row r="256" ht="15" customHeight="1" s="35">
      <c r="A256" s="37" t="inlineStr">
        <is>
          <t>2501-10-06</t>
        </is>
      </c>
      <c r="B256" s="37" t="inlineStr">
        <is>
          <t>2501-10-6</t>
        </is>
      </c>
      <c r="C256" s="37" t="inlineStr">
        <is>
          <t>2501</t>
        </is>
      </c>
      <c r="D256" s="37" t="n">
        <v>118</v>
      </c>
      <c r="E256" s="37" t="inlineStr">
        <is>
          <t>90 deg</t>
        </is>
      </c>
      <c r="F256" s="37" t="inlineStr">
        <is>
          <t>90 deg Male Elbow, 7/8-14 x 3/8-18</t>
        </is>
      </c>
      <c r="G256" s="37" t="inlineStr">
        <is>
          <t>3/8-18</t>
        </is>
      </c>
      <c r="H256" s="37" t="inlineStr">
        <is>
          <t>7/8-14</t>
        </is>
      </c>
      <c r="I256" s="37" t="inlineStr">
        <is>
          <t>5/8</t>
        </is>
      </c>
      <c r="J256" s="37" t="inlineStr">
        <is>
          <t>ASME B1.20.3</t>
        </is>
      </c>
      <c r="K256" s="37" t="inlineStr">
        <is>
          <t>SAE J514-1</t>
        </is>
      </c>
      <c r="L256" s="37" t="n">
        <v>1.45</v>
      </c>
      <c r="M256" s="37" t="n">
        <v>1.28</v>
      </c>
      <c r="N256" s="37" t="n">
        <v>0.9399999999999999</v>
      </c>
      <c r="O256" s="37" t="n">
        <v>0.48</v>
      </c>
      <c r="P256" s="37" t="n">
        <v>0.41</v>
      </c>
      <c r="Q256" s="37" t="n"/>
      <c r="R256" s="44" t="n"/>
      <c r="S256" s="47" t="n"/>
      <c r="T256" s="37" t="n">
        <v>90</v>
      </c>
      <c r="U256" s="37" t="inlineStr">
        <is>
          <t>MISSING</t>
        </is>
      </c>
      <c r="V256" s="37" t="inlineStr">
        <is>
          <t>Non-forged leg pattern; MS51504 covers the forged pattern (FG sibling matches MS). Air-Way single source for these legs.</t>
        </is>
      </c>
      <c r="W256" s="37" t="inlineStr">
        <is>
          <t>BUILD</t>
        </is>
      </c>
      <c r="X256" s="37" t="inlineStr">
        <is>
          <t>Dimensions verbatim from Air-Way, two reconciled passes. Hex/material/finish/pressure outstanding.</t>
        </is>
      </c>
      <c r="Z256" s="45" t="inlineStr">
        <is>
          <t>Carbon Steel</t>
        </is>
      </c>
      <c r="AA256" s="45" t="inlineStr">
        <is>
          <t>ASTM A108 12L14</t>
        </is>
      </c>
      <c r="AB256" s="45" t="inlineStr">
        <is>
          <t>Trivalent Cr3 Zinc</t>
        </is>
      </c>
      <c r="AC256" s="45" t="inlineStr">
        <is>
          <t>ASTM B633 Type V/VI</t>
        </is>
      </c>
      <c r="AD256" s="46" t="n">
        <v>3500</v>
      </c>
      <c r="AE256" s="46" t="inlineStr">
        <is>
          <t>generic SAE table @ dash -10 (governing end)</t>
        </is>
      </c>
      <c r="AF256" s="46" t="n">
        <v>-65</v>
      </c>
      <c r="AG256" s="46" t="n">
        <v>400</v>
      </c>
      <c r="AH256" s="37" t="inlineStr">
        <is>
          <t>Ham-Let + hoseandfittings (pressure); Parker Cat.4300 (material); ASTM B633 (finish); see StandardsData</t>
        </is>
      </c>
    </row>
    <row r="257" ht="15" customHeight="1" s="35">
      <c r="A257" s="37" t="inlineStr">
        <is>
          <t>2501-10-08-FG</t>
        </is>
      </c>
      <c r="B257" s="37" t="inlineStr">
        <is>
          <t>2501-10-8-FG</t>
        </is>
      </c>
      <c r="C257" s="37" t="inlineStr">
        <is>
          <t>2501</t>
        </is>
      </c>
      <c r="D257" s="37" t="n">
        <v>118</v>
      </c>
      <c r="E257" s="37" t="inlineStr">
        <is>
          <t>90 deg</t>
        </is>
      </c>
      <c r="F257" s="37" t="inlineStr">
        <is>
          <t>90 deg Male Elbow, 7/8-14 x 1/2-14</t>
        </is>
      </c>
      <c r="G257" s="37" t="inlineStr">
        <is>
          <t>1/2-14</t>
        </is>
      </c>
      <c r="H257" s="37" t="inlineStr">
        <is>
          <t>7/8-14</t>
        </is>
      </c>
      <c r="I257" s="37" t="inlineStr">
        <is>
          <t>5/8</t>
        </is>
      </c>
      <c r="J257" s="37" t="inlineStr">
        <is>
          <t>ASME B1.20.3</t>
        </is>
      </c>
      <c r="K257" s="37" t="inlineStr">
        <is>
          <t>SAE J514-1</t>
        </is>
      </c>
      <c r="L257" s="37" t="n">
        <v>1.45</v>
      </c>
      <c r="M257" s="37" t="n">
        <v>1.47</v>
      </c>
      <c r="N257" s="37" t="n">
        <v>0.88</v>
      </c>
      <c r="O257" s="37" t="n">
        <v>0.48</v>
      </c>
      <c r="P257" s="37" t="n">
        <v>0.53</v>
      </c>
      <c r="Q257" s="37" t="n"/>
      <c r="R257" s="44" t="n"/>
      <c r="S257" s="47" t="n"/>
      <c r="T257" s="37" t="n">
        <v>90</v>
      </c>
      <c r="U257" s="37" t="inlineStr">
        <is>
          <t>MISSING</t>
        </is>
      </c>
      <c r="V257" s="37" t="inlineStr">
        <is>
          <t>MS51504 cross-check 2026-09-04: B,M,N,D,D1 all AGREE (forged pattern).</t>
        </is>
      </c>
      <c r="W257" s="37" t="inlineStr">
        <is>
          <t>BUILD</t>
        </is>
      </c>
      <c r="X257" s="37" t="inlineStr">
        <is>
          <t>Dimensions verbatim from Air-Way, two reconciled passes. Hex/material/finish/pressure outstanding.</t>
        </is>
      </c>
      <c r="Z257" s="45" t="inlineStr">
        <is>
          <t>Carbon Steel</t>
        </is>
      </c>
      <c r="AA257" s="45" t="inlineStr">
        <is>
          <t>ASTM A108 12L14</t>
        </is>
      </c>
      <c r="AB257" s="45" t="inlineStr">
        <is>
          <t>Trivalent Cr3 Zinc</t>
        </is>
      </c>
      <c r="AC257" s="45" t="inlineStr">
        <is>
          <t>ASTM B633 Type V/VI</t>
        </is>
      </c>
      <c r="AD257" s="46" t="n">
        <v>3500</v>
      </c>
      <c r="AE257" s="46" t="inlineStr">
        <is>
          <t>generic SAE table @ dash -10 (governing end)</t>
        </is>
      </c>
      <c r="AF257" s="46" t="n">
        <v>-65</v>
      </c>
      <c r="AG257" s="46" t="n">
        <v>400</v>
      </c>
      <c r="AH257" s="37" t="inlineStr">
        <is>
          <t>Ham-Let + hoseandfittings (pressure); Parker Cat.4300 (material); ASTM B633 (finish); see StandardsData</t>
        </is>
      </c>
    </row>
    <row r="258" ht="15" customHeight="1" s="35">
      <c r="A258" s="37" t="inlineStr">
        <is>
          <t>2501-10-08</t>
        </is>
      </c>
      <c r="B258" s="37" t="inlineStr">
        <is>
          <t>2501-10-8</t>
        </is>
      </c>
      <c r="C258" s="37" t="inlineStr">
        <is>
          <t>2501</t>
        </is>
      </c>
      <c r="D258" s="37" t="n">
        <v>118</v>
      </c>
      <c r="E258" s="37" t="inlineStr">
        <is>
          <t>90 deg</t>
        </is>
      </c>
      <c r="F258" s="37" t="inlineStr">
        <is>
          <t>90 deg Male Elbow, 7/8-14 x 1/2-14</t>
        </is>
      </c>
      <c r="G258" s="37" t="inlineStr">
        <is>
          <t>1/2-14</t>
        </is>
      </c>
      <c r="H258" s="37" t="inlineStr">
        <is>
          <t>7/8-14</t>
        </is>
      </c>
      <c r="I258" s="37" t="inlineStr">
        <is>
          <t>5/8</t>
        </is>
      </c>
      <c r="J258" s="37" t="inlineStr">
        <is>
          <t>ASME B1.20.3</t>
        </is>
      </c>
      <c r="K258" s="37" t="inlineStr">
        <is>
          <t>SAE J514-1</t>
        </is>
      </c>
      <c r="L258" s="37" t="n">
        <v>1.45</v>
      </c>
      <c r="M258" s="37" t="n">
        <v>1.47</v>
      </c>
      <c r="N258" s="37" t="n">
        <v>0.9399999999999999</v>
      </c>
      <c r="O258" s="37" t="n">
        <v>0.48</v>
      </c>
      <c r="P258" s="37" t="n">
        <v>0.53</v>
      </c>
      <c r="Q258" s="37" t="n"/>
      <c r="R258" s="44" t="n"/>
      <c r="S258" s="47" t="n"/>
      <c r="T258" s="37" t="n">
        <v>90</v>
      </c>
      <c r="U258" s="37" t="inlineStr">
        <is>
          <t>MISSING</t>
        </is>
      </c>
      <c r="V258" s="37" t="inlineStr">
        <is>
          <t>Non-forged leg pattern; MS51504 covers the forged pattern (FG sibling matches MS). Air-Way single source for these legs.</t>
        </is>
      </c>
      <c r="W258" s="37" t="inlineStr">
        <is>
          <t>BUILD</t>
        </is>
      </c>
      <c r="X258" s="37" t="inlineStr">
        <is>
          <t>Dimensions verbatim from Air-Way, two reconciled passes. Hex/material/finish/pressure outstanding.</t>
        </is>
      </c>
      <c r="Z258" s="45" t="inlineStr">
        <is>
          <t>Carbon Steel</t>
        </is>
      </c>
      <c r="AA258" s="45" t="inlineStr">
        <is>
          <t>ASTM A108 12L14</t>
        </is>
      </c>
      <c r="AB258" s="45" t="inlineStr">
        <is>
          <t>Trivalent Cr3 Zinc</t>
        </is>
      </c>
      <c r="AC258" s="45" t="inlineStr">
        <is>
          <t>ASTM B633 Type V/VI</t>
        </is>
      </c>
      <c r="AD258" s="46" t="n">
        <v>3500</v>
      </c>
      <c r="AE258" s="46" t="inlineStr">
        <is>
          <t>generic SAE table @ dash -10 (governing end)</t>
        </is>
      </c>
      <c r="AF258" s="46" t="n">
        <v>-65</v>
      </c>
      <c r="AG258" s="46" t="n">
        <v>400</v>
      </c>
      <c r="AH258" s="37" t="inlineStr">
        <is>
          <t>Ham-Let + hoseandfittings (pressure); Parker Cat.4300 (material); ASTM B633 (finish); see StandardsData</t>
        </is>
      </c>
    </row>
    <row r="259" ht="15" customHeight="1" s="35">
      <c r="A259" s="37" t="inlineStr">
        <is>
          <t>2501-10-12-FG</t>
        </is>
      </c>
      <c r="B259" s="37" t="inlineStr">
        <is>
          <t>2501-10-12-FG</t>
        </is>
      </c>
      <c r="C259" s="37" t="inlineStr">
        <is>
          <t>2501</t>
        </is>
      </c>
      <c r="D259" s="37" t="n">
        <v>118</v>
      </c>
      <c r="E259" s="37" t="inlineStr">
        <is>
          <t>90 deg</t>
        </is>
      </c>
      <c r="F259" s="37" t="inlineStr">
        <is>
          <t>90 deg Male Elbow, 7/8-14 x 3/4-14</t>
        </is>
      </c>
      <c r="G259" s="37" t="inlineStr">
        <is>
          <t>3/4-14</t>
        </is>
      </c>
      <c r="H259" s="37" t="inlineStr">
        <is>
          <t>7/8-14</t>
        </is>
      </c>
      <c r="I259" s="37" t="inlineStr">
        <is>
          <t>5/8</t>
        </is>
      </c>
      <c r="J259" s="37" t="inlineStr">
        <is>
          <t>ASME B1.20.3</t>
        </is>
      </c>
      <c r="K259" s="37" t="inlineStr">
        <is>
          <t>SAE J514-1</t>
        </is>
      </c>
      <c r="L259" s="37" t="n">
        <v>1.54</v>
      </c>
      <c r="M259" s="37" t="n">
        <v>1.59</v>
      </c>
      <c r="N259" s="37" t="n">
        <v>1.06</v>
      </c>
      <c r="O259" s="37" t="n">
        <v>0.48</v>
      </c>
      <c r="P259" s="37" t="n">
        <v>0.72</v>
      </c>
      <c r="Q259" s="37" t="n"/>
      <c r="R259" s="44" t="n"/>
      <c r="S259" s="45" t="n">
        <v>1.0625</v>
      </c>
      <c r="T259" s="37" t="n">
        <v>90</v>
      </c>
      <c r="U259" s="37" t="inlineStr">
        <is>
          <t>ASSUMED</t>
        </is>
      </c>
      <c r="V259" s="37" t="inlineStr">
        <is>
          <t>MS51504 has no row for this size combo; Air-Way remains single source.</t>
        </is>
      </c>
      <c r="W259" s="37" t="inlineStr">
        <is>
          <t>BUILD</t>
        </is>
      </c>
      <c r="X259" s="37" t="inlineStr">
        <is>
          <t>Dimensions verbatim from Air-Way, two reconciled passes. Hex/material/finish/pressure outstanding. | Single body hex 1 1/16 keyed to larger dash -12 (sources show hex follows larger end).</t>
        </is>
      </c>
      <c r="Z259" s="45" t="inlineStr">
        <is>
          <t>Carbon Steel</t>
        </is>
      </c>
      <c r="AA259" s="45" t="inlineStr">
        <is>
          <t>ASTM A108 12L14</t>
        </is>
      </c>
      <c r="AB259" s="45" t="inlineStr">
        <is>
          <t>Trivalent Cr3 Zinc</t>
        </is>
      </c>
      <c r="AC259" s="45" t="inlineStr">
        <is>
          <t>ASTM B633 Type V/VI</t>
        </is>
      </c>
      <c r="AD259" s="46" t="n">
        <v>3500</v>
      </c>
      <c r="AE259" s="46" t="inlineStr">
        <is>
          <t>generic SAE table @ dash -12 (governing end)</t>
        </is>
      </c>
      <c r="AF259" s="46" t="n">
        <v>-65</v>
      </c>
      <c r="AG259" s="46" t="n">
        <v>400</v>
      </c>
      <c r="AH259" s="37" t="inlineStr">
        <is>
          <t>Ham-Let + hoseandfittings (pressure); Parker Cat.4300 (material); ASTM B633 (finish); see StandardsData</t>
        </is>
      </c>
    </row>
    <row r="260" ht="15" customHeight="1" s="35">
      <c r="A260" s="37" t="inlineStr">
        <is>
          <t>2501-10-12</t>
        </is>
      </c>
      <c r="B260" s="37" t="inlineStr">
        <is>
          <t>2501-10-12</t>
        </is>
      </c>
      <c r="C260" s="37" t="inlineStr">
        <is>
          <t>2501</t>
        </is>
      </c>
      <c r="D260" s="37" t="n">
        <v>118</v>
      </c>
      <c r="E260" s="37" t="inlineStr">
        <is>
          <t>90 deg</t>
        </is>
      </c>
      <c r="F260" s="37" t="inlineStr">
        <is>
          <t>90 deg Male Elbow, 7/8-14 x 3/4-14</t>
        </is>
      </c>
      <c r="G260" s="37" t="inlineStr">
        <is>
          <t>3/4-14</t>
        </is>
      </c>
      <c r="H260" s="37" t="inlineStr">
        <is>
          <t>7/8-14</t>
        </is>
      </c>
      <c r="I260" s="37" t="inlineStr">
        <is>
          <t>5/8</t>
        </is>
      </c>
      <c r="J260" s="37" t="inlineStr">
        <is>
          <t>ASME B1.20.3</t>
        </is>
      </c>
      <c r="K260" s="37" t="inlineStr">
        <is>
          <t>SAE J514-1</t>
        </is>
      </c>
      <c r="L260" s="37" t="n">
        <v>1.55</v>
      </c>
      <c r="M260" s="37" t="n">
        <v>1.59</v>
      </c>
      <c r="N260" s="37" t="n">
        <v>1.13</v>
      </c>
      <c r="O260" s="37" t="n">
        <v>0.48</v>
      </c>
      <c r="P260" s="37" t="n">
        <v>0.72</v>
      </c>
      <c r="Q260" s="37" t="n"/>
      <c r="R260" s="44" t="n"/>
      <c r="S260" s="45" t="n">
        <v>1.0625</v>
      </c>
      <c r="T260" s="37" t="n">
        <v>90</v>
      </c>
      <c r="U260" s="37" t="inlineStr">
        <is>
          <t>ASSUMED</t>
        </is>
      </c>
      <c r="V260" s="37" t="inlineStr">
        <is>
          <t>MS51504 has no row for this size combo; Air-Way remains single source.</t>
        </is>
      </c>
      <c r="W260" s="37" t="inlineStr">
        <is>
          <t>BUILD</t>
        </is>
      </c>
      <c r="X260" s="37" t="inlineStr">
        <is>
          <t>Dimensions verbatim from Air-Way, two reconciled passes. Hex/material/finish/pressure outstanding. | Single body hex 1 1/16 keyed to larger dash -12 (sources show hex follows larger end).</t>
        </is>
      </c>
      <c r="Z260" s="45" t="inlineStr">
        <is>
          <t>Carbon Steel</t>
        </is>
      </c>
      <c r="AA260" s="45" t="inlineStr">
        <is>
          <t>ASTM A108 12L14</t>
        </is>
      </c>
      <c r="AB260" s="45" t="inlineStr">
        <is>
          <t>Trivalent Cr3 Zinc</t>
        </is>
      </c>
      <c r="AC260" s="45" t="inlineStr">
        <is>
          <t>ASTM B633 Type V/VI</t>
        </is>
      </c>
      <c r="AD260" s="46" t="n">
        <v>3500</v>
      </c>
      <c r="AE260" s="46" t="inlineStr">
        <is>
          <t>generic SAE table @ dash -12 (governing end)</t>
        </is>
      </c>
      <c r="AF260" s="46" t="n">
        <v>-65</v>
      </c>
      <c r="AG260" s="46" t="n">
        <v>400</v>
      </c>
      <c r="AH260" s="37" t="inlineStr">
        <is>
          <t>Ham-Let + hoseandfittings (pressure); Parker Cat.4300 (material); ASTM B633 (finish); see StandardsData</t>
        </is>
      </c>
    </row>
    <row r="261" ht="15" customHeight="1" s="35">
      <c r="A261" s="37" t="inlineStr">
        <is>
          <t>2501-10-16-FG</t>
        </is>
      </c>
      <c r="B261" s="37" t="inlineStr">
        <is>
          <t>2501-10-16-FG</t>
        </is>
      </c>
      <c r="C261" s="37" t="inlineStr">
        <is>
          <t>2501</t>
        </is>
      </c>
      <c r="D261" s="37" t="n">
        <v>118</v>
      </c>
      <c r="E261" s="37" t="inlineStr">
        <is>
          <t>90 deg</t>
        </is>
      </c>
      <c r="F261" s="37" t="inlineStr">
        <is>
          <t>90 deg Male Elbow, 7/8-14 x 1-11 1/2</t>
        </is>
      </c>
      <c r="G261" s="37" t="inlineStr">
        <is>
          <t>1-11 1/2</t>
        </is>
      </c>
      <c r="H261" s="37" t="inlineStr">
        <is>
          <t>7/8-14</t>
        </is>
      </c>
      <c r="I261" s="37" t="inlineStr">
        <is>
          <t>5/8</t>
        </is>
      </c>
      <c r="J261" s="37" t="inlineStr">
        <is>
          <t>ASME B1.20.3</t>
        </is>
      </c>
      <c r="K261" s="37" t="inlineStr">
        <is>
          <t>SAE J514-1</t>
        </is>
      </c>
      <c r="L261" s="37" t="n">
        <v>1.64</v>
      </c>
      <c r="M261" s="37" t="n">
        <v>1.97</v>
      </c>
      <c r="N261" s="37" t="n">
        <v>1.31</v>
      </c>
      <c r="O261" s="37" t="n">
        <v>0.48</v>
      </c>
      <c r="P261" s="37" t="n">
        <v>0.9399999999999999</v>
      </c>
      <c r="Q261" s="37" t="n"/>
      <c r="R261" s="44" t="n"/>
      <c r="S261" s="45" t="n">
        <v>1.3125</v>
      </c>
      <c r="T261" s="37" t="n">
        <v>90</v>
      </c>
      <c r="U261" s="37" t="inlineStr">
        <is>
          <t>ASSUMED</t>
        </is>
      </c>
      <c r="V261" s="37" t="inlineStr">
        <is>
          <t>MS51504 has no row for this size combo; Air-Way remains single source.</t>
        </is>
      </c>
      <c r="W261" s="37" t="inlineStr">
        <is>
          <t>BUILD</t>
        </is>
      </c>
      <c r="X261" s="37" t="inlineStr">
        <is>
          <t>Dimensions verbatim from Air-Way, two reconciled passes. Hex/material/finish/pressure outstanding. | Single body hex 1 5/16 keyed to larger dash -16 (sources show hex follows larger end).</t>
        </is>
      </c>
      <c r="Z261" s="45" t="inlineStr">
        <is>
          <t>Carbon Steel</t>
        </is>
      </c>
      <c r="AA261" s="45" t="inlineStr">
        <is>
          <t>ASTM A108 12L14</t>
        </is>
      </c>
      <c r="AB261" s="45" t="inlineStr">
        <is>
          <t>Trivalent Cr3 Zinc</t>
        </is>
      </c>
      <c r="AC261" s="45" t="inlineStr">
        <is>
          <t>ASTM B633 Type V/VI</t>
        </is>
      </c>
      <c r="AD261" s="46" t="n">
        <v>3000</v>
      </c>
      <c r="AE261" s="46" t="inlineStr">
        <is>
          <t>generic SAE table @ dash -16 (governing end)</t>
        </is>
      </c>
      <c r="AF261" s="46" t="n">
        <v>-65</v>
      </c>
      <c r="AG261" s="46" t="n">
        <v>400</v>
      </c>
      <c r="AH261" s="37" t="inlineStr">
        <is>
          <t>Ham-Let + hoseandfittings (pressure); Parker Cat.4300 (material); ASTM B633 (finish); see StandardsData</t>
        </is>
      </c>
    </row>
    <row r="262" ht="15" customHeight="1" s="35">
      <c r="A262" s="37" t="inlineStr">
        <is>
          <t>2501-12-06</t>
        </is>
      </c>
      <c r="B262" s="37" t="inlineStr">
        <is>
          <t>2501-12-6</t>
        </is>
      </c>
      <c r="C262" s="37" t="inlineStr">
        <is>
          <t>2501</t>
        </is>
      </c>
      <c r="D262" s="37" t="n">
        <v>118</v>
      </c>
      <c r="E262" s="37" t="inlineStr">
        <is>
          <t>90 deg</t>
        </is>
      </c>
      <c r="F262" s="37" t="inlineStr">
        <is>
          <t>90 deg Male Elbow, 1 1/16-12 x 3/8-18</t>
        </is>
      </c>
      <c r="G262" s="37" t="inlineStr">
        <is>
          <t>3/8-18</t>
        </is>
      </c>
      <c r="H262" s="37" t="inlineStr">
        <is>
          <t>1 1/16-12</t>
        </is>
      </c>
      <c r="I262" s="37" t="inlineStr">
        <is>
          <t>3/4</t>
        </is>
      </c>
      <c r="J262" s="37" t="inlineStr">
        <is>
          <t>ASME B1.20.3</t>
        </is>
      </c>
      <c r="K262" s="37" t="inlineStr">
        <is>
          <t>SAE J514-1</t>
        </is>
      </c>
      <c r="L262" s="37" t="n">
        <v>1.66</v>
      </c>
      <c r="M262" s="37" t="n">
        <v>1.38</v>
      </c>
      <c r="N262" s="37" t="n">
        <v>1.13</v>
      </c>
      <c r="O262" s="37" t="n">
        <v>0.61</v>
      </c>
      <c r="P262" s="37" t="n">
        <v>0.41</v>
      </c>
      <c r="Q262" s="37" t="n"/>
      <c r="R262" s="44" t="n"/>
      <c r="S262" s="45" t="n">
        <v>1.0625</v>
      </c>
      <c r="T262" s="37" t="n">
        <v>90</v>
      </c>
      <c r="U262" s="37" t="inlineStr">
        <is>
          <t>ASSUMED</t>
        </is>
      </c>
      <c r="V262" s="37" t="inlineStr">
        <is>
          <t>MS51504 has no row for this size combo; Air-Way remains single source.</t>
        </is>
      </c>
      <c r="W262" s="37" t="inlineStr">
        <is>
          <t>BUILD</t>
        </is>
      </c>
      <c r="X262" s="37" t="inlineStr">
        <is>
          <t>Dimensions verbatim from Air-Way, two reconciled passes. Hex/material/finish/pressure outstanding. | Single body hex 1 1/16 keyed to larger dash -12 (sources show hex follows larger end).</t>
        </is>
      </c>
      <c r="Z262" s="45" t="inlineStr">
        <is>
          <t>Carbon Steel</t>
        </is>
      </c>
      <c r="AA262" s="45" t="inlineStr">
        <is>
          <t>ASTM A108 12L14</t>
        </is>
      </c>
      <c r="AB262" s="45" t="inlineStr">
        <is>
          <t>Trivalent Cr3 Zinc</t>
        </is>
      </c>
      <c r="AC262" s="45" t="inlineStr">
        <is>
          <t>ASTM B633 Type V/VI</t>
        </is>
      </c>
      <c r="AD262" s="46" t="n">
        <v>3500</v>
      </c>
      <c r="AE262" s="46" t="inlineStr">
        <is>
          <t>generic SAE table @ dash -12 (governing end)</t>
        </is>
      </c>
      <c r="AF262" s="46" t="n">
        <v>-65</v>
      </c>
      <c r="AG262" s="46" t="n">
        <v>400</v>
      </c>
      <c r="AH262" s="37" t="inlineStr">
        <is>
          <t>Ham-Let + hoseandfittings (pressure); Parker Cat.4300 (material); ASTM B633 (finish); see StandardsData</t>
        </is>
      </c>
    </row>
    <row r="263" ht="15" customHeight="1" s="35">
      <c r="A263" s="37" t="inlineStr">
        <is>
          <t>2501-12-08-FG</t>
        </is>
      </c>
      <c r="B263" s="37" t="inlineStr">
        <is>
          <t>2501-12-8-FG</t>
        </is>
      </c>
      <c r="C263" s="37" t="inlineStr">
        <is>
          <t>2501</t>
        </is>
      </c>
      <c r="D263" s="37" t="n">
        <v>118</v>
      </c>
      <c r="E263" s="37" t="inlineStr">
        <is>
          <t>90 deg</t>
        </is>
      </c>
      <c r="F263" s="37" t="inlineStr">
        <is>
          <t>90 deg Male Elbow, 1 1/16-12 x 1/2-14</t>
        </is>
      </c>
      <c r="G263" s="37" t="inlineStr">
        <is>
          <t>1/2-14</t>
        </is>
      </c>
      <c r="H263" s="37" t="inlineStr">
        <is>
          <t>1 1/16-12</t>
        </is>
      </c>
      <c r="I263" s="37" t="inlineStr">
        <is>
          <t>3/4</t>
        </is>
      </c>
      <c r="J263" s="37" t="inlineStr">
        <is>
          <t>ASME B1.20.3</t>
        </is>
      </c>
      <c r="K263" s="37" t="inlineStr">
        <is>
          <t>SAE J514-1</t>
        </is>
      </c>
      <c r="L263" s="37" t="n">
        <v>1.66</v>
      </c>
      <c r="M263" s="37" t="n">
        <v>1.59</v>
      </c>
      <c r="N263" s="37" t="n">
        <v>1.06</v>
      </c>
      <c r="O263" s="37" t="n">
        <v>0.61</v>
      </c>
      <c r="P263" s="37" t="n">
        <v>0.53</v>
      </c>
      <c r="Q263" s="37" t="n"/>
      <c r="R263" s="44" t="n"/>
      <c r="S263" s="45" t="n">
        <v>1.0625</v>
      </c>
      <c r="T263" s="37" t="n">
        <v>90</v>
      </c>
      <c r="U263" s="37" t="inlineStr">
        <is>
          <t>ASSUMED</t>
        </is>
      </c>
      <c r="V263" s="37" t="inlineStr">
        <is>
          <t>MS51504 cross-check 2026-09-04: B,M,N,D,D1 all AGREE (forged pattern).</t>
        </is>
      </c>
      <c r="W263" s="37" t="inlineStr">
        <is>
          <t>BUILD</t>
        </is>
      </c>
      <c r="X263" s="37" t="inlineStr">
        <is>
          <t>Dimensions verbatim from Air-Way, two reconciled passes. Hex/material/finish/pressure outstanding. | Single body hex 1 1/16 keyed to larger dash -12 (sources show hex follows larger end).</t>
        </is>
      </c>
      <c r="Z263" s="45" t="inlineStr">
        <is>
          <t>Carbon Steel</t>
        </is>
      </c>
      <c r="AA263" s="45" t="inlineStr">
        <is>
          <t>ASTM A108 12L14</t>
        </is>
      </c>
      <c r="AB263" s="45" t="inlineStr">
        <is>
          <t>Trivalent Cr3 Zinc</t>
        </is>
      </c>
      <c r="AC263" s="45" t="inlineStr">
        <is>
          <t>ASTM B633 Type V/VI</t>
        </is>
      </c>
      <c r="AD263" s="46" t="n">
        <v>3500</v>
      </c>
      <c r="AE263" s="46" t="inlineStr">
        <is>
          <t>generic SAE table @ dash -12 (governing end)</t>
        </is>
      </c>
      <c r="AF263" s="46" t="n">
        <v>-65</v>
      </c>
      <c r="AG263" s="46" t="n">
        <v>400</v>
      </c>
      <c r="AH263" s="37" t="inlineStr">
        <is>
          <t>Ham-Let + hoseandfittings (pressure); Parker Cat.4300 (material); ASTM B633 (finish); see StandardsData</t>
        </is>
      </c>
    </row>
    <row r="264" ht="15" customHeight="1" s="35">
      <c r="A264" s="37" t="inlineStr">
        <is>
          <t>2501-12-08</t>
        </is>
      </c>
      <c r="B264" s="37" t="inlineStr">
        <is>
          <t>2501-12-8</t>
        </is>
      </c>
      <c r="C264" s="37" t="inlineStr">
        <is>
          <t>2501</t>
        </is>
      </c>
      <c r="D264" s="37" t="n">
        <v>118</v>
      </c>
      <c r="E264" s="37" t="inlineStr">
        <is>
          <t>90 deg</t>
        </is>
      </c>
      <c r="F264" s="37" t="inlineStr">
        <is>
          <t>90 deg Male Elbow, 1 1/16-12 x 1/2-14</t>
        </is>
      </c>
      <c r="G264" s="37" t="inlineStr">
        <is>
          <t>1/2-14</t>
        </is>
      </c>
      <c r="H264" s="37" t="inlineStr">
        <is>
          <t>1 1/16-12</t>
        </is>
      </c>
      <c r="I264" s="37" t="inlineStr">
        <is>
          <t>3/4</t>
        </is>
      </c>
      <c r="J264" s="37" t="inlineStr">
        <is>
          <t>ASME B1.20.3</t>
        </is>
      </c>
      <c r="K264" s="37" t="inlineStr">
        <is>
          <t>SAE J514-1</t>
        </is>
      </c>
      <c r="L264" s="37" t="n">
        <v>1.66</v>
      </c>
      <c r="M264" s="37" t="n">
        <v>1.56</v>
      </c>
      <c r="N264" s="37" t="n">
        <v>1.13</v>
      </c>
      <c r="O264" s="37" t="n">
        <v>0.61</v>
      </c>
      <c r="P264" s="37" t="n">
        <v>0.53</v>
      </c>
      <c r="Q264" s="37" t="n"/>
      <c r="R264" s="44" t="n"/>
      <c r="S264" s="45" t="n">
        <v>1.0625</v>
      </c>
      <c r="T264" s="37" t="n">
        <v>90</v>
      </c>
      <c r="U264" s="37" t="inlineStr">
        <is>
          <t>ASSUMED</t>
        </is>
      </c>
      <c r="V264" s="37" t="inlineStr">
        <is>
          <t>Non-forged leg pattern; MS51504 covers the forged pattern (FG sibling matches MS). Air-Way single source for these legs.</t>
        </is>
      </c>
      <c r="W264" s="37" t="inlineStr">
        <is>
          <t>BUILD</t>
        </is>
      </c>
      <c r="X264" s="37" t="inlineStr">
        <is>
          <t>Dimensions verbatim from Air-Way, two reconciled passes. Hex/material/finish/pressure outstanding. | Single body hex 1 1/16 keyed to larger dash -12 (sources show hex follows larger end).</t>
        </is>
      </c>
      <c r="Z264" s="45" t="inlineStr">
        <is>
          <t>Carbon Steel</t>
        </is>
      </c>
      <c r="AA264" s="45" t="inlineStr">
        <is>
          <t>ASTM A108 12L14</t>
        </is>
      </c>
      <c r="AB264" s="45" t="inlineStr">
        <is>
          <t>Trivalent Cr3 Zinc</t>
        </is>
      </c>
      <c r="AC264" s="45" t="inlineStr">
        <is>
          <t>ASTM B633 Type V/VI</t>
        </is>
      </c>
      <c r="AD264" s="46" t="n">
        <v>3500</v>
      </c>
      <c r="AE264" s="46" t="inlineStr">
        <is>
          <t>generic SAE table @ dash -12 (governing end)</t>
        </is>
      </c>
      <c r="AF264" s="46" t="n">
        <v>-65</v>
      </c>
      <c r="AG264" s="46" t="n">
        <v>400</v>
      </c>
      <c r="AH264" s="37" t="inlineStr">
        <is>
          <t>Ham-Let + hoseandfittings (pressure); Parker Cat.4300 (material); ASTM B633 (finish); see StandardsData</t>
        </is>
      </c>
    </row>
    <row r="265" ht="15" customHeight="1" s="35">
      <c r="A265" s="37" t="inlineStr">
        <is>
          <t>2501-12-12-FG</t>
        </is>
      </c>
      <c r="B265" s="37" t="inlineStr">
        <is>
          <t>2501-12-12-FG</t>
        </is>
      </c>
      <c r="C265" s="37" t="inlineStr">
        <is>
          <t>2501</t>
        </is>
      </c>
      <c r="D265" s="37" t="n">
        <v>118</v>
      </c>
      <c r="E265" s="37" t="inlineStr">
        <is>
          <t>90 deg</t>
        </is>
      </c>
      <c r="F265" s="37" t="inlineStr">
        <is>
          <t>90 deg Male Elbow, 1 1/16-12 x 3/4-14</t>
        </is>
      </c>
      <c r="G265" s="37" t="inlineStr">
        <is>
          <t>3/4-14</t>
        </is>
      </c>
      <c r="H265" s="37" t="inlineStr">
        <is>
          <t>1 1/16-12</t>
        </is>
      </c>
      <c r="I265" s="37" t="inlineStr">
        <is>
          <t>3/4</t>
        </is>
      </c>
      <c r="J265" s="37" t="inlineStr">
        <is>
          <t>ASME B1.20.3</t>
        </is>
      </c>
      <c r="K265" s="37" t="inlineStr">
        <is>
          <t>SAE J514-1</t>
        </is>
      </c>
      <c r="L265" s="37" t="n">
        <v>1.66</v>
      </c>
      <c r="M265" s="37" t="n">
        <v>1.59</v>
      </c>
      <c r="N265" s="37" t="n">
        <v>1.06</v>
      </c>
      <c r="O265" s="37" t="n">
        <v>0.61</v>
      </c>
      <c r="P265" s="37" t="n">
        <v>0.72</v>
      </c>
      <c r="Q265" s="37" t="n"/>
      <c r="R265" s="44" t="n"/>
      <c r="S265" s="45" t="n">
        <v>1.0625</v>
      </c>
      <c r="T265" s="37" t="n">
        <v>90</v>
      </c>
      <c r="U265" s="37" t="inlineStr">
        <is>
          <t>ASSUMED</t>
        </is>
      </c>
      <c r="V265" s="37" t="inlineStr">
        <is>
          <t>MS51504 cross-check 2026-09-04: B,M,N,D,D1 all AGREE (forged pattern).</t>
        </is>
      </c>
      <c r="W265" s="37" t="inlineStr">
        <is>
          <t>BUILD</t>
        </is>
      </c>
      <c r="X265" s="37" t="inlineStr">
        <is>
          <t>Dimensions verbatim from Air-Way, two reconciled passes. Hex/material/finish/pressure outstanding. | Single body hex 1 1/16 keyed to larger dash -12 (sources show hex follows larger end).</t>
        </is>
      </c>
      <c r="Z265" s="45" t="inlineStr">
        <is>
          <t>Carbon Steel</t>
        </is>
      </c>
      <c r="AA265" s="45" t="inlineStr">
        <is>
          <t>ASTM A108 12L14</t>
        </is>
      </c>
      <c r="AB265" s="45" t="inlineStr">
        <is>
          <t>Trivalent Cr3 Zinc</t>
        </is>
      </c>
      <c r="AC265" s="45" t="inlineStr">
        <is>
          <t>ASTM B633 Type V/VI</t>
        </is>
      </c>
      <c r="AD265" s="46" t="n">
        <v>3500</v>
      </c>
      <c r="AE265" s="46" t="inlineStr">
        <is>
          <t>generic SAE table @ dash -12 (governing end)</t>
        </is>
      </c>
      <c r="AF265" s="46" t="n">
        <v>-65</v>
      </c>
      <c r="AG265" s="46" t="n">
        <v>400</v>
      </c>
      <c r="AH265" s="37" t="inlineStr">
        <is>
          <t>Ham-Let + hoseandfittings (pressure); Parker Cat.4300 (material); ASTM B633 (finish); see StandardsData</t>
        </is>
      </c>
    </row>
    <row r="266" ht="15" customHeight="1" s="35">
      <c r="A266" s="37" t="inlineStr">
        <is>
          <t>2501-12-12</t>
        </is>
      </c>
      <c r="B266" s="37" t="inlineStr">
        <is>
          <t>2501-12-12</t>
        </is>
      </c>
      <c r="C266" s="37" t="inlineStr">
        <is>
          <t>2501</t>
        </is>
      </c>
      <c r="D266" s="37" t="n">
        <v>118</v>
      </c>
      <c r="E266" s="37" t="inlineStr">
        <is>
          <t>90 deg</t>
        </is>
      </c>
      <c r="F266" s="37" t="inlineStr">
        <is>
          <t>90 deg Male Elbow, 1 1/16-12 x 3/4-14</t>
        </is>
      </c>
      <c r="G266" s="37" t="inlineStr">
        <is>
          <t>3/4-14</t>
        </is>
      </c>
      <c r="H266" s="37" t="inlineStr">
        <is>
          <t>1 1/16-12</t>
        </is>
      </c>
      <c r="I266" s="37" t="inlineStr">
        <is>
          <t>3/4</t>
        </is>
      </c>
      <c r="J266" s="37" t="inlineStr">
        <is>
          <t>ASME B1.20.3</t>
        </is>
      </c>
      <c r="K266" s="37" t="inlineStr">
        <is>
          <t>SAE J514-1</t>
        </is>
      </c>
      <c r="L266" s="37" t="n">
        <v>1.66</v>
      </c>
      <c r="M266" s="37" t="n">
        <v>1.59</v>
      </c>
      <c r="N266" s="37" t="n">
        <v>1.13</v>
      </c>
      <c r="O266" s="37" t="n">
        <v>0.61</v>
      </c>
      <c r="P266" s="37" t="n">
        <v>0.72</v>
      </c>
      <c r="Q266" s="37" t="n"/>
      <c r="R266" s="44" t="n"/>
      <c r="S266" s="45" t="n">
        <v>1.0625</v>
      </c>
      <c r="T266" s="37" t="n">
        <v>90</v>
      </c>
      <c r="U266" s="37" t="inlineStr">
        <is>
          <t>ASSUMED</t>
        </is>
      </c>
      <c r="V266" s="37" t="inlineStr">
        <is>
          <t>Non-forged leg pattern; MS51504 covers the forged pattern (FG sibling matches MS). Air-Way single source for these legs.</t>
        </is>
      </c>
      <c r="W266" s="37" t="inlineStr">
        <is>
          <t>BUILD</t>
        </is>
      </c>
      <c r="X266" s="37" t="inlineStr">
        <is>
          <t>Dimensions verbatim from Air-Way, two reconciled passes. Hex/material/finish/pressure outstanding. | Single body hex 1 1/16 keyed to larger dash -12 (sources show hex follows larger end).</t>
        </is>
      </c>
      <c r="Z266" s="45" t="inlineStr">
        <is>
          <t>Carbon Steel</t>
        </is>
      </c>
      <c r="AA266" s="45" t="inlineStr">
        <is>
          <t>ASTM A108 12L14</t>
        </is>
      </c>
      <c r="AB266" s="45" t="inlineStr">
        <is>
          <t>Trivalent Cr3 Zinc</t>
        </is>
      </c>
      <c r="AC266" s="45" t="inlineStr">
        <is>
          <t>ASTM B633 Type V/VI</t>
        </is>
      </c>
      <c r="AD266" s="46" t="n">
        <v>3500</v>
      </c>
      <c r="AE266" s="46" t="inlineStr">
        <is>
          <t>generic SAE table @ dash -12 (governing end)</t>
        </is>
      </c>
      <c r="AF266" s="46" t="n">
        <v>-65</v>
      </c>
      <c r="AG266" s="46" t="n">
        <v>400</v>
      </c>
      <c r="AH266" s="37" t="inlineStr">
        <is>
          <t>Ham-Let + hoseandfittings (pressure); Parker Cat.4300 (material); ASTM B633 (finish); see StandardsData</t>
        </is>
      </c>
    </row>
    <row r="267" ht="15" customHeight="1" s="35">
      <c r="A267" s="37" t="inlineStr">
        <is>
          <t>2501-12-16</t>
        </is>
      </c>
      <c r="B267" s="37" t="inlineStr">
        <is>
          <t>2501-12-16</t>
        </is>
      </c>
      <c r="C267" s="37" t="inlineStr">
        <is>
          <t>2501</t>
        </is>
      </c>
      <c r="D267" s="37" t="n">
        <v>118</v>
      </c>
      <c r="E267" s="37" t="inlineStr">
        <is>
          <t>90 deg</t>
        </is>
      </c>
      <c r="F267" s="37" t="inlineStr">
        <is>
          <t>90 deg Male Elbow, 1 1/16-12 x 1-11 1/2</t>
        </is>
      </c>
      <c r="G267" s="37" t="inlineStr">
        <is>
          <t>1-11 1/2</t>
        </is>
      </c>
      <c r="H267" s="37" t="inlineStr">
        <is>
          <t>1 1/16-12</t>
        </is>
      </c>
      <c r="I267" s="37" t="inlineStr">
        <is>
          <t>3/4</t>
        </is>
      </c>
      <c r="J267" s="37" t="inlineStr">
        <is>
          <t>ASME B1.20.3</t>
        </is>
      </c>
      <c r="K267" s="37" t="inlineStr">
        <is>
          <t>SAE J514-1</t>
        </is>
      </c>
      <c r="L267" s="37" t="n">
        <v>1.78</v>
      </c>
      <c r="M267" s="37" t="n">
        <v>1.97</v>
      </c>
      <c r="N267" s="37" t="n">
        <v>1.38</v>
      </c>
      <c r="O267" s="37" t="n">
        <v>0.61</v>
      </c>
      <c r="P267" s="37" t="n">
        <v>0.9399999999999999</v>
      </c>
      <c r="Q267" s="37" t="n"/>
      <c r="R267" s="44" t="n"/>
      <c r="S267" s="45" t="n">
        <v>1.3125</v>
      </c>
      <c r="T267" s="37" t="n">
        <v>90</v>
      </c>
      <c r="U267" s="37" t="inlineStr">
        <is>
          <t>ASSUMED</t>
        </is>
      </c>
      <c r="V267" s="37" t="inlineStr">
        <is>
          <t>MS51504 has no row for this size combo; Air-Way remains single source.</t>
        </is>
      </c>
      <c r="W267" s="37" t="inlineStr">
        <is>
          <t>BUILD</t>
        </is>
      </c>
      <c r="X267" s="37" t="inlineStr">
        <is>
          <t>Dimensions verbatim from Air-Way, two reconciled passes. Hex/material/finish/pressure outstanding. | Single body hex 1 5/16 keyed to larger dash -16 (sources show hex follows larger end).</t>
        </is>
      </c>
      <c r="Z267" s="45" t="inlineStr">
        <is>
          <t>Carbon Steel</t>
        </is>
      </c>
      <c r="AA267" s="45" t="inlineStr">
        <is>
          <t>ASTM A108 12L14</t>
        </is>
      </c>
      <c r="AB267" s="45" t="inlineStr">
        <is>
          <t>Trivalent Cr3 Zinc</t>
        </is>
      </c>
      <c r="AC267" s="45" t="inlineStr">
        <is>
          <t>ASTM B633 Type V/VI</t>
        </is>
      </c>
      <c r="AD267" s="46" t="n">
        <v>3000</v>
      </c>
      <c r="AE267" s="46" t="inlineStr">
        <is>
          <t>generic SAE table @ dash -16 (governing end)</t>
        </is>
      </c>
      <c r="AF267" s="46" t="n">
        <v>-65</v>
      </c>
      <c r="AG267" s="46" t="n">
        <v>400</v>
      </c>
      <c r="AH267" s="37" t="inlineStr">
        <is>
          <t>Ham-Let + hoseandfittings (pressure); Parker Cat.4300 (material); ASTM B633 (finish); see StandardsData</t>
        </is>
      </c>
    </row>
    <row r="268" ht="15" customHeight="1" s="35">
      <c r="A268" s="37" t="inlineStr">
        <is>
          <t>2501-12-20</t>
        </is>
      </c>
      <c r="B268" s="37" t="inlineStr">
        <is>
          <t>2501-12-20</t>
        </is>
      </c>
      <c r="C268" s="37" t="inlineStr">
        <is>
          <t>2501</t>
        </is>
      </c>
      <c r="D268" s="37" t="n">
        <v>118</v>
      </c>
      <c r="E268" s="37" t="inlineStr">
        <is>
          <t>90 deg</t>
        </is>
      </c>
      <c r="F268" s="37" t="inlineStr">
        <is>
          <t>90 deg Male Elbow, 1 1/16-12 x 1 1/4-11 1/2</t>
        </is>
      </c>
      <c r="G268" s="37" t="inlineStr">
        <is>
          <t>1 1/4-11 1/2</t>
        </is>
      </c>
      <c r="H268" s="37" t="inlineStr">
        <is>
          <t>1 1/16-12</t>
        </is>
      </c>
      <c r="I268" s="37" t="inlineStr">
        <is>
          <t>3/4</t>
        </is>
      </c>
      <c r="J268" s="37" t="inlineStr">
        <is>
          <t>ASME B1.20.3</t>
        </is>
      </c>
      <c r="K268" s="37" t="inlineStr">
        <is>
          <t>SAE J514-1</t>
        </is>
      </c>
      <c r="L268" s="37" t="n">
        <v>1.97</v>
      </c>
      <c r="M268" s="37" t="n">
        <v>2.38</v>
      </c>
      <c r="N268" s="37" t="n">
        <v>1.75</v>
      </c>
      <c r="O268" s="37" t="n">
        <v>0.61</v>
      </c>
      <c r="P268" s="37" t="n">
        <v>1.25</v>
      </c>
      <c r="Q268" s="37" t="n"/>
      <c r="R268" s="44" t="n"/>
      <c r="S268" s="45" t="n">
        <v>1.625</v>
      </c>
      <c r="T268" s="37" t="n">
        <v>90</v>
      </c>
      <c r="U268" s="37" t="inlineStr">
        <is>
          <t>ASSUMED</t>
        </is>
      </c>
      <c r="V268" s="37" t="inlineStr">
        <is>
          <t>MS51504 has no row for this size combo; Air-Way remains single source.</t>
        </is>
      </c>
      <c r="W268" s="37" t="inlineStr">
        <is>
          <t>BUILD</t>
        </is>
      </c>
      <c r="X268" s="37" t="inlineStr">
        <is>
          <t>Dimensions verbatim from Air-Way, two reconciled passes. Hex/material/finish/pressure outstanding. | Single body hex 1 5/8 keyed to larger dash -20 (sources show hex follows larger end).</t>
        </is>
      </c>
      <c r="Z268" s="45" t="inlineStr">
        <is>
          <t>Carbon Steel</t>
        </is>
      </c>
      <c r="AA268" s="45" t="inlineStr">
        <is>
          <t>ASTM A108 12L14</t>
        </is>
      </c>
      <c r="AB268" s="45" t="inlineStr">
        <is>
          <t>Trivalent Cr3 Zinc</t>
        </is>
      </c>
      <c r="AC268" s="45" t="inlineStr">
        <is>
          <t>ASTM B633 Type V/VI</t>
        </is>
      </c>
      <c r="AD268" s="46" t="n">
        <v>2500</v>
      </c>
      <c r="AE268" s="46" t="inlineStr">
        <is>
          <t>generic SAE table @ dash -20 (governing end)</t>
        </is>
      </c>
      <c r="AF268" s="46" t="n">
        <v>-65</v>
      </c>
      <c r="AG268" s="46" t="n">
        <v>400</v>
      </c>
      <c r="AH268" s="37" t="inlineStr">
        <is>
          <t>Ham-Let + hoseandfittings (pressure); Parker Cat.4300 (material); ASTM B633 (finish); see StandardsData</t>
        </is>
      </c>
    </row>
    <row r="269" ht="15" customHeight="1" s="35">
      <c r="A269" s="37" t="inlineStr">
        <is>
          <t>2501-12-16-FG</t>
        </is>
      </c>
      <c r="B269" s="37" t="inlineStr">
        <is>
          <t>2501-12-16-FG</t>
        </is>
      </c>
      <c r="C269" s="37" t="inlineStr">
        <is>
          <t>2501</t>
        </is>
      </c>
      <c r="D269" s="37" t="n">
        <v>118</v>
      </c>
      <c r="E269" s="37" t="inlineStr">
        <is>
          <t>90 deg</t>
        </is>
      </c>
      <c r="F269" s="37" t="inlineStr">
        <is>
          <t>90 deg Male Elbow, 1 1/16-12 x 1-11 1/2</t>
        </is>
      </c>
      <c r="G269" s="37" t="inlineStr">
        <is>
          <t>1-11 1/2</t>
        </is>
      </c>
      <c r="H269" s="37" t="inlineStr">
        <is>
          <t>1 1/16-12</t>
        </is>
      </c>
      <c r="I269" s="37" t="inlineStr">
        <is>
          <t>3/4</t>
        </is>
      </c>
      <c r="J269" s="37" t="inlineStr">
        <is>
          <t>ASME B1.20.3</t>
        </is>
      </c>
      <c r="K269" s="37" t="inlineStr">
        <is>
          <t>SAE J514-1</t>
        </is>
      </c>
      <c r="L269" s="37" t="n">
        <v>1.76</v>
      </c>
      <c r="M269" s="37" t="n">
        <v>1.97</v>
      </c>
      <c r="N269" s="37" t="n">
        <v>1.31</v>
      </c>
      <c r="O269" s="37" t="n">
        <v>0.61</v>
      </c>
      <c r="P269" s="37" t="n">
        <v>0.9399999999999999</v>
      </c>
      <c r="Q269" s="37" t="n"/>
      <c r="R269" s="44" t="n"/>
      <c r="S269" s="45" t="n">
        <v>1.3125</v>
      </c>
      <c r="T269" s="37" t="n">
        <v>90</v>
      </c>
      <c r="U269" s="37" t="inlineStr">
        <is>
          <t>ASSUMED</t>
        </is>
      </c>
      <c r="V269" s="37" t="inlineStr">
        <is>
          <t>MS51504 has no row for this size combo; Air-Way remains single source.</t>
        </is>
      </c>
      <c r="W269" s="37" t="inlineStr">
        <is>
          <t>BUILD</t>
        </is>
      </c>
      <c r="X269" s="37" t="inlineStr">
        <is>
          <t>Dimensions verbatim from Air-Way, two reconciled passes. Hex/material/finish/pressure outstanding. | Single body hex 1 5/16 keyed to larger dash -16 (sources show hex follows larger end).</t>
        </is>
      </c>
      <c r="Z269" s="45" t="inlineStr">
        <is>
          <t>Carbon Steel</t>
        </is>
      </c>
      <c r="AA269" s="45" t="inlineStr">
        <is>
          <t>ASTM A108 12L14</t>
        </is>
      </c>
      <c r="AB269" s="45" t="inlineStr">
        <is>
          <t>Trivalent Cr3 Zinc</t>
        </is>
      </c>
      <c r="AC269" s="45" t="inlineStr">
        <is>
          <t>ASTM B633 Type V/VI</t>
        </is>
      </c>
      <c r="AD269" s="46" t="n">
        <v>3000</v>
      </c>
      <c r="AE269" s="46" t="inlineStr">
        <is>
          <t>generic SAE table @ dash -16 (governing end)</t>
        </is>
      </c>
      <c r="AF269" s="46" t="n">
        <v>-65</v>
      </c>
      <c r="AG269" s="46" t="n">
        <v>400</v>
      </c>
      <c r="AH269" s="37" t="inlineStr">
        <is>
          <t>Ham-Let + hoseandfittings (pressure); Parker Cat.4300 (material); ASTM B633 (finish); see StandardsData</t>
        </is>
      </c>
    </row>
    <row r="270" ht="15" customHeight="1" s="35">
      <c r="A270" s="37" t="inlineStr">
        <is>
          <t>2501-14-12-FG</t>
        </is>
      </c>
      <c r="B270" s="37" t="inlineStr">
        <is>
          <t>2501-14-12-FG</t>
        </is>
      </c>
      <c r="C270" s="37" t="inlineStr">
        <is>
          <t>2501</t>
        </is>
      </c>
      <c r="D270" s="37" t="n">
        <v>118</v>
      </c>
      <c r="E270" s="37" t="inlineStr">
        <is>
          <t>90 deg</t>
        </is>
      </c>
      <c r="F270" s="37" t="inlineStr">
        <is>
          <t>90 deg Male Elbow, 1 3/16-12 x 3/4-14</t>
        </is>
      </c>
      <c r="G270" s="37" t="inlineStr">
        <is>
          <t>3/4-14</t>
        </is>
      </c>
      <c r="H270" s="37" t="inlineStr">
        <is>
          <t>1 3/16-12</t>
        </is>
      </c>
      <c r="I270" s="37" t="inlineStr">
        <is>
          <t>7/8</t>
        </is>
      </c>
      <c r="J270" s="37" t="inlineStr">
        <is>
          <t>ASME B1.20.3</t>
        </is>
      </c>
      <c r="K270" s="37" t="inlineStr">
        <is>
          <t>SAE J514-1</t>
        </is>
      </c>
      <c r="L270" s="37" t="n">
        <v>1.8</v>
      </c>
      <c r="M270" s="37" t="n">
        <v>1.69</v>
      </c>
      <c r="N270" s="37" t="n">
        <v>1.31</v>
      </c>
      <c r="O270" s="37" t="n">
        <v>0.72</v>
      </c>
      <c r="P270" s="37" t="n">
        <v>0.72</v>
      </c>
      <c r="Q270" s="37" t="n"/>
      <c r="R270" s="44" t="n"/>
      <c r="S270" s="47" t="n"/>
      <c r="T270" s="37" t="n">
        <v>90</v>
      </c>
      <c r="U270" s="37" t="inlineStr">
        <is>
          <t>VERIFIED</t>
        </is>
      </c>
      <c r="V270" s="37" t="inlineStr">
        <is>
          <t>RESOLVED 2-1: M=1.80 (Air-Way+Brennan drawing agree; MS51504 1.73 outvoted). 2026-09-05 Brennan product-drawing tiebreak</t>
        </is>
      </c>
      <c r="W270" s="37" t="inlineStr">
        <is>
          <t>BUILD</t>
        </is>
      </c>
      <c r="X270" s="37" t="inlineStr">
        <is>
          <t>Dimensions verbatim from Air-Way, two reconciled passes. Hex/material/finish/pressure outstanding. | MS51504 DIVERGES on M -&gt; M: AW=1.8 vs MS=1.73. Blocked pending decision.</t>
        </is>
      </c>
      <c r="Z270" s="45" t="inlineStr">
        <is>
          <t>Carbon Steel</t>
        </is>
      </c>
      <c r="AA270" s="45" t="inlineStr">
        <is>
          <t>ASTM A108 12L14</t>
        </is>
      </c>
      <c r="AB270" s="45" t="inlineStr">
        <is>
          <t>Trivalent Cr3 Zinc</t>
        </is>
      </c>
      <c r="AC270" s="45" t="inlineStr">
        <is>
          <t>ASTM B633 Type V/VI</t>
        </is>
      </c>
      <c r="AD270" s="46" t="n">
        <v>3000</v>
      </c>
      <c r="AE270" s="46" t="inlineStr">
        <is>
          <t>generic SAE table @ dash -14 (governing end)</t>
        </is>
      </c>
      <c r="AF270" s="46" t="n">
        <v>-65</v>
      </c>
      <c r="AG270" s="46" t="n">
        <v>400</v>
      </c>
      <c r="AH270" s="37" t="inlineStr">
        <is>
          <t>Ham-Let + hoseandfittings (pressure); Parker Cat.4300 (material); ASTM B633 (finish); see StandardsData</t>
        </is>
      </c>
    </row>
    <row r="271" ht="15" customHeight="1" s="35">
      <c r="A271" s="37" t="inlineStr">
        <is>
          <t>2501-14-12</t>
        </is>
      </c>
      <c r="B271" s="37" t="inlineStr">
        <is>
          <t>2501-14-12</t>
        </is>
      </c>
      <c r="C271" s="37" t="inlineStr">
        <is>
          <t>2501</t>
        </is>
      </c>
      <c r="D271" s="37" t="n">
        <v>118</v>
      </c>
      <c r="E271" s="37" t="inlineStr">
        <is>
          <t>90 deg</t>
        </is>
      </c>
      <c r="F271" s="37" t="inlineStr">
        <is>
          <t>90 deg Male Elbow, 1 3/16-12 x 3/4-14</t>
        </is>
      </c>
      <c r="G271" s="37" t="inlineStr">
        <is>
          <t>3/4-14</t>
        </is>
      </c>
      <c r="H271" s="37" t="inlineStr">
        <is>
          <t>1 3/16-12</t>
        </is>
      </c>
      <c r="I271" s="37" t="inlineStr">
        <is>
          <t>7/8</t>
        </is>
      </c>
      <c r="J271" s="37" t="inlineStr">
        <is>
          <t>ASME B1.20.3</t>
        </is>
      </c>
      <c r="K271" s="37" t="inlineStr">
        <is>
          <t>SAE J514-1</t>
        </is>
      </c>
      <c r="L271" s="37" t="n">
        <v>1.8</v>
      </c>
      <c r="M271" s="37" t="n">
        <v>1.66</v>
      </c>
      <c r="N271" s="37" t="n">
        <v>1.25</v>
      </c>
      <c r="O271" s="37" t="n">
        <v>0.72</v>
      </c>
      <c r="P271" s="37" t="n">
        <v>0.72</v>
      </c>
      <c r="Q271" s="37" t="n"/>
      <c r="R271" s="44" t="n"/>
      <c r="S271" s="47" t="n"/>
      <c r="T271" s="37" t="n">
        <v>90</v>
      </c>
      <c r="U271" s="37" t="inlineStr">
        <is>
          <t>MISSING</t>
        </is>
      </c>
      <c r="V271" s="37" t="inlineStr">
        <is>
          <t>Non-forged leg pattern; MS51504 covers the forged pattern (FG sibling matches MS). Air-Way single source for these legs.</t>
        </is>
      </c>
      <c r="W271" s="37" t="inlineStr">
        <is>
          <t>BUILD</t>
        </is>
      </c>
      <c r="X271" s="37" t="inlineStr">
        <is>
          <t>Dimensions verbatim from Air-Way, two reconciled passes. Hex/material/finish/pressure outstanding.</t>
        </is>
      </c>
      <c r="Z271" s="45" t="inlineStr">
        <is>
          <t>Carbon Steel</t>
        </is>
      </c>
      <c r="AA271" s="45" t="inlineStr">
        <is>
          <t>ASTM A108 12L14</t>
        </is>
      </c>
      <c r="AB271" s="45" t="inlineStr">
        <is>
          <t>Trivalent Cr3 Zinc</t>
        </is>
      </c>
      <c r="AC271" s="45" t="inlineStr">
        <is>
          <t>ASTM B633 Type V/VI</t>
        </is>
      </c>
      <c r="AD271" s="46" t="n">
        <v>3000</v>
      </c>
      <c r="AE271" s="46" t="inlineStr">
        <is>
          <t>generic SAE table @ dash -14 (governing end)</t>
        </is>
      </c>
      <c r="AF271" s="46" t="n">
        <v>-65</v>
      </c>
      <c r="AG271" s="46" t="n">
        <v>400</v>
      </c>
      <c r="AH271" s="37" t="inlineStr">
        <is>
          <t>Ham-Let + hoseandfittings (pressure); Parker Cat.4300 (material); ASTM B633 (finish); see StandardsData</t>
        </is>
      </c>
    </row>
    <row r="272" ht="15" customHeight="1" s="35">
      <c r="A272" s="37" t="inlineStr">
        <is>
          <t>2501-16-08</t>
        </is>
      </c>
      <c r="B272" s="37" t="inlineStr">
        <is>
          <t>2501-16-8</t>
        </is>
      </c>
      <c r="C272" s="37" t="inlineStr">
        <is>
          <t>2501</t>
        </is>
      </c>
      <c r="D272" s="37" t="n">
        <v>118</v>
      </c>
      <c r="E272" s="37" t="inlineStr">
        <is>
          <t>90 deg</t>
        </is>
      </c>
      <c r="F272" s="37" t="inlineStr">
        <is>
          <t>90 deg Male Elbow, 1 5/16-12 x 1/2-14</t>
        </is>
      </c>
      <c r="G272" s="37" t="inlineStr">
        <is>
          <t>1/2-14</t>
        </is>
      </c>
      <c r="H272" s="37" t="inlineStr">
        <is>
          <t>1 5/16-12</t>
        </is>
      </c>
      <c r="I272" s="37" t="inlineStr">
        <is>
          <t>1</t>
        </is>
      </c>
      <c r="J272" s="37" t="inlineStr">
        <is>
          <t>ASME B1.20.3</t>
        </is>
      </c>
      <c r="K272" s="37" t="inlineStr">
        <is>
          <t>SAE J514-1</t>
        </is>
      </c>
      <c r="L272" s="37" t="n">
        <v>1.81</v>
      </c>
      <c r="M272" s="37" t="n">
        <v>1.69</v>
      </c>
      <c r="N272" s="37" t="n">
        <v>1.38</v>
      </c>
      <c r="O272" s="37" t="n">
        <v>0.84</v>
      </c>
      <c r="P272" s="37" t="n">
        <v>0.53</v>
      </c>
      <c r="Q272" s="37" t="n"/>
      <c r="R272" s="44" t="n"/>
      <c r="S272" s="45" t="n">
        <v>1.3125</v>
      </c>
      <c r="T272" s="37" t="n">
        <v>90</v>
      </c>
      <c r="U272" s="37" t="inlineStr">
        <is>
          <t>ASSUMED</t>
        </is>
      </c>
      <c r="V272" s="37" t="inlineStr">
        <is>
          <t>MS51504 has no row for this size combo; Air-Way remains single source.</t>
        </is>
      </c>
      <c r="W272" s="37" t="inlineStr">
        <is>
          <t>BUILD</t>
        </is>
      </c>
      <c r="X272" s="37" t="inlineStr">
        <is>
          <t>Dimensions verbatim from Air-Way, two reconciled passes. Hex/material/finish/pressure outstanding. | Single body hex 1 5/16 keyed to larger dash -16 (sources show hex follows larger end).</t>
        </is>
      </c>
      <c r="Z272" s="45" t="inlineStr">
        <is>
          <t>Carbon Steel</t>
        </is>
      </c>
      <c r="AA272" s="45" t="inlineStr">
        <is>
          <t>ASTM A108 12L14</t>
        </is>
      </c>
      <c r="AB272" s="45" t="inlineStr">
        <is>
          <t>Trivalent Cr3 Zinc</t>
        </is>
      </c>
      <c r="AC272" s="45" t="inlineStr">
        <is>
          <t>ASTM B633 Type V/VI</t>
        </is>
      </c>
      <c r="AD272" s="46" t="n">
        <v>3000</v>
      </c>
      <c r="AE272" s="46" t="inlineStr">
        <is>
          <t>generic SAE table @ dash -16 (governing end)</t>
        </is>
      </c>
      <c r="AF272" s="46" t="n">
        <v>-65</v>
      </c>
      <c r="AG272" s="46" t="n">
        <v>400</v>
      </c>
      <c r="AH272" s="37" t="inlineStr">
        <is>
          <t>Ham-Let + hoseandfittings (pressure); Parker Cat.4300 (material); ASTM B633 (finish); see StandardsData</t>
        </is>
      </c>
    </row>
    <row r="273" ht="15" customHeight="1" s="35">
      <c r="A273" s="37" t="inlineStr">
        <is>
          <t>2501-16-12-FG</t>
        </is>
      </c>
      <c r="B273" s="37" t="inlineStr">
        <is>
          <t>2501-16-12-FG</t>
        </is>
      </c>
      <c r="C273" s="37" t="inlineStr">
        <is>
          <t>2501</t>
        </is>
      </c>
      <c r="D273" s="37" t="n">
        <v>118</v>
      </c>
      <c r="E273" s="37" t="inlineStr">
        <is>
          <t>90 deg</t>
        </is>
      </c>
      <c r="F273" s="37" t="inlineStr">
        <is>
          <t>90 deg Male Elbow, 1 5/16-12 x 3/4-14</t>
        </is>
      </c>
      <c r="G273" s="37" t="inlineStr">
        <is>
          <t>3/4-14</t>
        </is>
      </c>
      <c r="H273" s="37" t="inlineStr">
        <is>
          <t>1 5/16-12</t>
        </is>
      </c>
      <c r="I273" s="37" t="inlineStr">
        <is>
          <t>1</t>
        </is>
      </c>
      <c r="J273" s="37" t="inlineStr">
        <is>
          <t>ASME B1.20.3</t>
        </is>
      </c>
      <c r="K273" s="37" t="inlineStr">
        <is>
          <t>SAE J514-1</t>
        </is>
      </c>
      <c r="L273" s="37" t="n">
        <v>1.81</v>
      </c>
      <c r="M273" s="37" t="n">
        <v>1.78</v>
      </c>
      <c r="N273" s="37" t="n">
        <v>1.31</v>
      </c>
      <c r="O273" s="37" t="n">
        <v>0.84</v>
      </c>
      <c r="P273" s="37" t="n">
        <v>0.72</v>
      </c>
      <c r="Q273" s="37" t="n"/>
      <c r="R273" s="44" t="n"/>
      <c r="S273" s="45" t="n">
        <v>1.3125</v>
      </c>
      <c r="T273" s="37" t="n">
        <v>90</v>
      </c>
      <c r="U273" s="37" t="inlineStr">
        <is>
          <t>ASSUMED</t>
        </is>
      </c>
      <c r="V273" s="37" t="inlineStr">
        <is>
          <t>MS51504 cross-check 2026-09-04: B,M,N,D,D1 all AGREE (forged pattern).</t>
        </is>
      </c>
      <c r="W273" s="37" t="inlineStr">
        <is>
          <t>BUILD</t>
        </is>
      </c>
      <c r="X273" s="37" t="inlineStr">
        <is>
          <t>Dimensions verbatim from Air-Way, two reconciled passes. Hex/material/finish/pressure outstanding. | Single body hex 1 5/16 keyed to larger dash -16 (sources show hex follows larger end).</t>
        </is>
      </c>
      <c r="Z273" s="45" t="inlineStr">
        <is>
          <t>Carbon Steel</t>
        </is>
      </c>
      <c r="AA273" s="45" t="inlineStr">
        <is>
          <t>ASTM A108 12L14</t>
        </is>
      </c>
      <c r="AB273" s="45" t="inlineStr">
        <is>
          <t>Trivalent Cr3 Zinc</t>
        </is>
      </c>
      <c r="AC273" s="45" t="inlineStr">
        <is>
          <t>ASTM B633 Type V/VI</t>
        </is>
      </c>
      <c r="AD273" s="46" t="n">
        <v>3000</v>
      </c>
      <c r="AE273" s="46" t="inlineStr">
        <is>
          <t>generic SAE table @ dash -16 (governing end)</t>
        </is>
      </c>
      <c r="AF273" s="46" t="n">
        <v>-65</v>
      </c>
      <c r="AG273" s="46" t="n">
        <v>400</v>
      </c>
      <c r="AH273" s="37" t="inlineStr">
        <is>
          <t>Ham-Let + hoseandfittings (pressure); Parker Cat.4300 (material); ASTM B633 (finish); see StandardsData</t>
        </is>
      </c>
    </row>
    <row r="274" ht="15" customHeight="1" s="35">
      <c r="A274" s="37" t="inlineStr">
        <is>
          <t>2501-16-12</t>
        </is>
      </c>
      <c r="B274" s="37" t="inlineStr">
        <is>
          <t>2501-16-12</t>
        </is>
      </c>
      <c r="C274" s="37" t="inlineStr">
        <is>
          <t>2501</t>
        </is>
      </c>
      <c r="D274" s="37" t="n">
        <v>118</v>
      </c>
      <c r="E274" s="37" t="inlineStr">
        <is>
          <t>90 deg</t>
        </is>
      </c>
      <c r="F274" s="37" t="inlineStr">
        <is>
          <t>90 deg Male Elbow, 1 5/16-12 x 3/4-14</t>
        </is>
      </c>
      <c r="G274" s="37" t="inlineStr">
        <is>
          <t>3/4-14</t>
        </is>
      </c>
      <c r="H274" s="37" t="inlineStr">
        <is>
          <t>1 5/16-12</t>
        </is>
      </c>
      <c r="I274" s="37" t="inlineStr">
        <is>
          <t>1</t>
        </is>
      </c>
      <c r="J274" s="37" t="inlineStr">
        <is>
          <t>ASME B1.20.3</t>
        </is>
      </c>
      <c r="K274" s="37" t="inlineStr">
        <is>
          <t>SAE J514-1</t>
        </is>
      </c>
      <c r="L274" s="37" t="n">
        <v>1.81</v>
      </c>
      <c r="M274" s="37" t="n">
        <v>1.72</v>
      </c>
      <c r="N274" s="37" t="n">
        <v>1.38</v>
      </c>
      <c r="O274" s="37" t="n">
        <v>0.84</v>
      </c>
      <c r="P274" s="37" t="n">
        <v>0.72</v>
      </c>
      <c r="Q274" s="37" t="n"/>
      <c r="R274" s="44" t="n"/>
      <c r="S274" s="45" t="n">
        <v>1.3125</v>
      </c>
      <c r="T274" s="37" t="n">
        <v>90</v>
      </c>
      <c r="U274" s="37" t="inlineStr">
        <is>
          <t>ASSUMED</t>
        </is>
      </c>
      <c r="V274" s="37" t="inlineStr">
        <is>
          <t>Non-forged leg pattern; MS51504 covers the forged pattern (FG sibling matches MS). Air-Way single source for these legs.</t>
        </is>
      </c>
      <c r="W274" s="37" t="inlineStr">
        <is>
          <t>BUILD</t>
        </is>
      </c>
      <c r="X274" s="37" t="inlineStr">
        <is>
          <t>Dimensions verbatim from Air-Way, two reconciled passes. Hex/material/finish/pressure outstanding. | Single body hex 1 5/16 keyed to larger dash -16 (sources show hex follows larger end).</t>
        </is>
      </c>
      <c r="Z274" s="45" t="inlineStr">
        <is>
          <t>Carbon Steel</t>
        </is>
      </c>
      <c r="AA274" s="45" t="inlineStr">
        <is>
          <t>ASTM A108 12L14</t>
        </is>
      </c>
      <c r="AB274" s="45" t="inlineStr">
        <is>
          <t>Trivalent Cr3 Zinc</t>
        </is>
      </c>
      <c r="AC274" s="45" t="inlineStr">
        <is>
          <t>ASTM B633 Type V/VI</t>
        </is>
      </c>
      <c r="AD274" s="46" t="n">
        <v>3000</v>
      </c>
      <c r="AE274" s="46" t="inlineStr">
        <is>
          <t>generic SAE table @ dash -16 (governing end)</t>
        </is>
      </c>
      <c r="AF274" s="46" t="n">
        <v>-65</v>
      </c>
      <c r="AG274" s="46" t="n">
        <v>400</v>
      </c>
      <c r="AH274" s="37" t="inlineStr">
        <is>
          <t>Ham-Let + hoseandfittings (pressure); Parker Cat.4300 (material); ASTM B633 (finish); see StandardsData</t>
        </is>
      </c>
    </row>
    <row r="275" ht="15" customHeight="1" s="35">
      <c r="A275" s="37" t="inlineStr">
        <is>
          <t>2501-16-16-FG</t>
        </is>
      </c>
      <c r="B275" s="37" t="inlineStr">
        <is>
          <t>2501-16-16-FG</t>
        </is>
      </c>
      <c r="C275" s="37" t="inlineStr">
        <is>
          <t>2501</t>
        </is>
      </c>
      <c r="D275" s="37" t="n">
        <v>118</v>
      </c>
      <c r="E275" s="37" t="inlineStr">
        <is>
          <t>90 deg</t>
        </is>
      </c>
      <c r="F275" s="37" t="inlineStr">
        <is>
          <t>90 deg Male Elbow, 1 5/16-12 x 1-11 1/2</t>
        </is>
      </c>
      <c r="G275" s="37" t="inlineStr">
        <is>
          <t>1-11 1/2</t>
        </is>
      </c>
      <c r="H275" s="37" t="inlineStr">
        <is>
          <t>1 5/16-12</t>
        </is>
      </c>
      <c r="I275" s="37" t="inlineStr">
        <is>
          <t>1</t>
        </is>
      </c>
      <c r="J275" s="37" t="inlineStr">
        <is>
          <t>ASME B1.20.3</t>
        </is>
      </c>
      <c r="K275" s="37" t="inlineStr">
        <is>
          <t>SAE J514-1</t>
        </is>
      </c>
      <c r="L275" s="37" t="n">
        <v>1.81</v>
      </c>
      <c r="M275" s="37" t="n">
        <v>1.97</v>
      </c>
      <c r="N275" s="37" t="n">
        <v>1.31</v>
      </c>
      <c r="O275" s="37" t="n">
        <v>0.84</v>
      </c>
      <c r="P275" s="37" t="n">
        <v>0.9399999999999999</v>
      </c>
      <c r="Q275" s="37" t="n"/>
      <c r="R275" s="44" t="n"/>
      <c r="S275" s="45" t="n">
        <v>1.3125</v>
      </c>
      <c r="T275" s="37" t="n">
        <v>90</v>
      </c>
      <c r="U275" s="37" t="inlineStr">
        <is>
          <t>ASSUMED</t>
        </is>
      </c>
      <c r="V275" s="37" t="inlineStr">
        <is>
          <t>MS51504 cross-check 2026-09-04: B,M,N,D,D1 all AGREE (forged pattern).</t>
        </is>
      </c>
      <c r="W275" s="37" t="inlineStr">
        <is>
          <t>BUILD</t>
        </is>
      </c>
      <c r="X275" s="37" t="inlineStr">
        <is>
          <t>Dimensions verbatim from Air-Way, two reconciled passes. Hex/material/finish/pressure outstanding. | Single body hex 1 5/16 keyed to larger dash -16 (sources show hex follows larger end).</t>
        </is>
      </c>
      <c r="Z275" s="45" t="inlineStr">
        <is>
          <t>Carbon Steel</t>
        </is>
      </c>
      <c r="AA275" s="45" t="inlineStr">
        <is>
          <t>ASTM A108 12L14</t>
        </is>
      </c>
      <c r="AB275" s="45" t="inlineStr">
        <is>
          <t>Trivalent Cr3 Zinc</t>
        </is>
      </c>
      <c r="AC275" s="45" t="inlineStr">
        <is>
          <t>ASTM B633 Type V/VI</t>
        </is>
      </c>
      <c r="AD275" s="46" t="n">
        <v>3000</v>
      </c>
      <c r="AE275" s="46" t="inlineStr">
        <is>
          <t>generic SAE table @ dash -16 (governing end)</t>
        </is>
      </c>
      <c r="AF275" s="46" t="n">
        <v>-65</v>
      </c>
      <c r="AG275" s="46" t="n">
        <v>400</v>
      </c>
      <c r="AH275" s="37" t="inlineStr">
        <is>
          <t>Ham-Let + hoseandfittings (pressure); Parker Cat.4300 (material); ASTM B633 (finish); see StandardsData</t>
        </is>
      </c>
    </row>
    <row r="276" ht="15" customHeight="1" s="35">
      <c r="A276" s="37" t="inlineStr">
        <is>
          <t>2501-16-16</t>
        </is>
      </c>
      <c r="B276" s="37" t="inlineStr">
        <is>
          <t>2501-16-16</t>
        </is>
      </c>
      <c r="C276" s="37" t="inlineStr">
        <is>
          <t>2501</t>
        </is>
      </c>
      <c r="D276" s="37" t="n">
        <v>118</v>
      </c>
      <c r="E276" s="37" t="inlineStr">
        <is>
          <t>90 deg</t>
        </is>
      </c>
      <c r="F276" s="37" t="inlineStr">
        <is>
          <t>90 deg Male Elbow, 1 5/16-12 x 1-11 1/2</t>
        </is>
      </c>
      <c r="G276" s="37" t="inlineStr">
        <is>
          <t>1-11 1/2</t>
        </is>
      </c>
      <c r="H276" s="37" t="inlineStr">
        <is>
          <t>1 5/16-12</t>
        </is>
      </c>
      <c r="I276" s="37" t="inlineStr">
        <is>
          <t>1</t>
        </is>
      </c>
      <c r="J276" s="37" t="inlineStr">
        <is>
          <t>ASME B1.20.3</t>
        </is>
      </c>
      <c r="K276" s="37" t="inlineStr">
        <is>
          <t>SAE J514-1</t>
        </is>
      </c>
      <c r="L276" s="37" t="n">
        <v>1.81</v>
      </c>
      <c r="M276" s="37" t="n">
        <v>1.97</v>
      </c>
      <c r="N276" s="37" t="n">
        <v>1.38</v>
      </c>
      <c r="O276" s="37" t="n">
        <v>0.84</v>
      </c>
      <c r="P276" s="37" t="n">
        <v>0.9399999999999999</v>
      </c>
      <c r="Q276" s="37" t="n"/>
      <c r="R276" s="44" t="n"/>
      <c r="S276" s="45" t="n">
        <v>1.3125</v>
      </c>
      <c r="T276" s="37" t="n">
        <v>90</v>
      </c>
      <c r="U276" s="37" t="inlineStr">
        <is>
          <t>ASSUMED</t>
        </is>
      </c>
      <c r="V276" s="37" t="inlineStr">
        <is>
          <t>Non-forged leg pattern; MS51504 covers the forged pattern (FG sibling matches MS). Air-Way single source for these legs.</t>
        </is>
      </c>
      <c r="W276" s="37" t="inlineStr">
        <is>
          <t>BUILD</t>
        </is>
      </c>
      <c r="X276" s="37" t="inlineStr">
        <is>
          <t>Dimensions verbatim from Air-Way, two reconciled passes. Hex/material/finish/pressure outstanding. | Single body hex 1 5/16 keyed to larger dash -16 (sources show hex follows larger end).</t>
        </is>
      </c>
      <c r="Z276" s="45" t="inlineStr">
        <is>
          <t>Carbon Steel</t>
        </is>
      </c>
      <c r="AA276" s="45" t="inlineStr">
        <is>
          <t>ASTM A108 12L14</t>
        </is>
      </c>
      <c r="AB276" s="45" t="inlineStr">
        <is>
          <t>Trivalent Cr3 Zinc</t>
        </is>
      </c>
      <c r="AC276" s="45" t="inlineStr">
        <is>
          <t>ASTM B633 Type V/VI</t>
        </is>
      </c>
      <c r="AD276" s="46" t="n">
        <v>3000</v>
      </c>
      <c r="AE276" s="46" t="inlineStr">
        <is>
          <t>generic SAE table @ dash -16 (governing end)</t>
        </is>
      </c>
      <c r="AF276" s="46" t="n">
        <v>-65</v>
      </c>
      <c r="AG276" s="46" t="n">
        <v>400</v>
      </c>
      <c r="AH276" s="37" t="inlineStr">
        <is>
          <t>Ham-Let + hoseandfittings (pressure); Parker Cat.4300 (material); ASTM B633 (finish); see StandardsData</t>
        </is>
      </c>
    </row>
    <row r="277" ht="15" customHeight="1" s="35">
      <c r="A277" s="37" t="inlineStr">
        <is>
          <t>2501-16-20-FG</t>
        </is>
      </c>
      <c r="B277" s="37" t="inlineStr">
        <is>
          <t>2501-16-20-FG</t>
        </is>
      </c>
      <c r="C277" s="37" t="inlineStr">
        <is>
          <t>2501</t>
        </is>
      </c>
      <c r="D277" s="37" t="n">
        <v>118</v>
      </c>
      <c r="E277" s="37" t="inlineStr">
        <is>
          <t>90 deg</t>
        </is>
      </c>
      <c r="F277" s="37" t="inlineStr">
        <is>
          <t>90 deg Male Elbow, 1 5/16-12 x 1 1/4-11 1/2</t>
        </is>
      </c>
      <c r="G277" s="37" t="inlineStr">
        <is>
          <t>1 1/4-11 1/2</t>
        </is>
      </c>
      <c r="H277" s="37" t="inlineStr">
        <is>
          <t>1 5/16-12</t>
        </is>
      </c>
      <c r="I277" s="37" t="inlineStr">
        <is>
          <t>1</t>
        </is>
      </c>
      <c r="J277" s="37" t="inlineStr">
        <is>
          <t>ASME B1.20.3</t>
        </is>
      </c>
      <c r="K277" s="37" t="inlineStr">
        <is>
          <t>SAE J514-1</t>
        </is>
      </c>
      <c r="L277" s="37" t="n">
        <v>2.01</v>
      </c>
      <c r="M277" s="37" t="n">
        <v>2.38</v>
      </c>
      <c r="N277" s="37" t="n">
        <v>1.63</v>
      </c>
      <c r="O277" s="37" t="n">
        <v>0.84</v>
      </c>
      <c r="P277" s="37" t="n">
        <v>1.25</v>
      </c>
      <c r="Q277" s="37" t="n"/>
      <c r="R277" s="44" t="n"/>
      <c r="S277" s="45" t="n">
        <v>1.625</v>
      </c>
      <c r="T277" s="37" t="n">
        <v>90</v>
      </c>
      <c r="U277" s="37" t="inlineStr">
        <is>
          <t>ASSUMED</t>
        </is>
      </c>
      <c r="V277" s="37" t="inlineStr">
        <is>
          <t>MS51504 has no row for this size combo; Air-Way remains single source.</t>
        </is>
      </c>
      <c r="W277" s="37" t="inlineStr">
        <is>
          <t>BUILD</t>
        </is>
      </c>
      <c r="X277" s="37" t="inlineStr">
        <is>
          <t>Dimensions verbatim from Air-Way, two reconciled passes. Hex/material/finish/pressure outstanding. | Single body hex 1 5/8 keyed to larger dash -20 (sources show hex follows larger end).</t>
        </is>
      </c>
      <c r="Z277" s="45" t="inlineStr">
        <is>
          <t>Carbon Steel</t>
        </is>
      </c>
      <c r="AA277" s="45" t="inlineStr">
        <is>
          <t>ASTM A108 12L14</t>
        </is>
      </c>
      <c r="AB277" s="45" t="inlineStr">
        <is>
          <t>Trivalent Cr3 Zinc</t>
        </is>
      </c>
      <c r="AC277" s="45" t="inlineStr">
        <is>
          <t>ASTM B633 Type V/VI</t>
        </is>
      </c>
      <c r="AD277" s="46" t="n">
        <v>2500</v>
      </c>
      <c r="AE277" s="46" t="inlineStr">
        <is>
          <t>generic SAE table @ dash -20 (governing end)</t>
        </is>
      </c>
      <c r="AF277" s="46" t="n">
        <v>-65</v>
      </c>
      <c r="AG277" s="46" t="n">
        <v>400</v>
      </c>
      <c r="AH277" s="37" t="inlineStr">
        <is>
          <t>Ham-Let + hoseandfittings (pressure); Parker Cat.4300 (material); ASTM B633 (finish); see StandardsData</t>
        </is>
      </c>
    </row>
    <row r="278" ht="15" customHeight="1" s="35">
      <c r="A278" s="37" t="inlineStr">
        <is>
          <t>2501-16-20</t>
        </is>
      </c>
      <c r="B278" s="37" t="inlineStr">
        <is>
          <t>2501-16-20</t>
        </is>
      </c>
      <c r="C278" s="37" t="inlineStr">
        <is>
          <t>2501</t>
        </is>
      </c>
      <c r="D278" s="37" t="n">
        <v>118</v>
      </c>
      <c r="E278" s="37" t="inlineStr">
        <is>
          <t>90 deg</t>
        </is>
      </c>
      <c r="F278" s="37" t="inlineStr">
        <is>
          <t>90 deg Male Elbow, 1 5/16-12 x 1 1/4-11 1/2</t>
        </is>
      </c>
      <c r="G278" s="37" t="inlineStr">
        <is>
          <t>1 1/4-11 1/2</t>
        </is>
      </c>
      <c r="H278" s="37" t="inlineStr">
        <is>
          <t>1 5/16-12</t>
        </is>
      </c>
      <c r="I278" s="37" t="inlineStr">
        <is>
          <t>1</t>
        </is>
      </c>
      <c r="J278" s="37" t="inlineStr">
        <is>
          <t>ASME B1.20.3</t>
        </is>
      </c>
      <c r="K278" s="37" t="inlineStr">
        <is>
          <t>SAE J514-1</t>
        </is>
      </c>
      <c r="L278" s="37" t="n">
        <v>2</v>
      </c>
      <c r="M278" s="37" t="n">
        <v>2.38</v>
      </c>
      <c r="N278" s="37" t="n">
        <v>1.75</v>
      </c>
      <c r="O278" s="37" t="n">
        <v>0.84</v>
      </c>
      <c r="P278" s="37" t="n">
        <v>1.25</v>
      </c>
      <c r="Q278" s="37" t="n"/>
      <c r="R278" s="44" t="n"/>
      <c r="S278" s="45" t="n">
        <v>1.625</v>
      </c>
      <c r="T278" s="37" t="n">
        <v>90</v>
      </c>
      <c r="U278" s="37" t="inlineStr">
        <is>
          <t>ASSUMED</t>
        </is>
      </c>
      <c r="V278" s="37" t="inlineStr">
        <is>
          <t>MS51504 has no row for this size combo; Air-Way remains single source.</t>
        </is>
      </c>
      <c r="W278" s="37" t="inlineStr">
        <is>
          <t>BUILD</t>
        </is>
      </c>
      <c r="X278" s="37" t="inlineStr">
        <is>
          <t>Dimensions verbatim from Air-Way, two reconciled passes. Hex/material/finish/pressure outstanding. | Single body hex 1 5/8 keyed to larger dash -20 (sources show hex follows larger end).</t>
        </is>
      </c>
      <c r="Z278" s="45" t="inlineStr">
        <is>
          <t>Carbon Steel</t>
        </is>
      </c>
      <c r="AA278" s="45" t="inlineStr">
        <is>
          <t>ASTM A108 12L14</t>
        </is>
      </c>
      <c r="AB278" s="45" t="inlineStr">
        <is>
          <t>Trivalent Cr3 Zinc</t>
        </is>
      </c>
      <c r="AC278" s="45" t="inlineStr">
        <is>
          <t>ASTM B633 Type V/VI</t>
        </is>
      </c>
      <c r="AD278" s="46" t="n">
        <v>2500</v>
      </c>
      <c r="AE278" s="46" t="inlineStr">
        <is>
          <t>generic SAE table @ dash -20 (governing end)</t>
        </is>
      </c>
      <c r="AF278" s="46" t="n">
        <v>-65</v>
      </c>
      <c r="AG278" s="46" t="n">
        <v>400</v>
      </c>
      <c r="AH278" s="37" t="inlineStr">
        <is>
          <t>Ham-Let + hoseandfittings (pressure); Parker Cat.4300 (material); ASTM B633 (finish); see StandardsData</t>
        </is>
      </c>
    </row>
    <row r="279" ht="15" customHeight="1" s="35">
      <c r="A279" s="37" t="inlineStr">
        <is>
          <t>2501-16-24</t>
        </is>
      </c>
      <c r="B279" s="37" t="inlineStr">
        <is>
          <t>2501-16-24</t>
        </is>
      </c>
      <c r="C279" s="37" t="inlineStr">
        <is>
          <t>2501</t>
        </is>
      </c>
      <c r="D279" s="37" t="n">
        <v>118</v>
      </c>
      <c r="E279" s="37" t="inlineStr">
        <is>
          <t>90 deg</t>
        </is>
      </c>
      <c r="F279" s="37" t="inlineStr">
        <is>
          <t>90 deg Male Elbow, 1 5/16-12 x 1 1/2-11 1/2</t>
        </is>
      </c>
      <c r="G279" s="37" t="inlineStr">
        <is>
          <t>1 1/2-11 1/2</t>
        </is>
      </c>
      <c r="H279" s="37" t="inlineStr">
        <is>
          <t>1 5/16-12</t>
        </is>
      </c>
      <c r="I279" s="37" t="inlineStr">
        <is>
          <t>1</t>
        </is>
      </c>
      <c r="J279" s="37" t="inlineStr">
        <is>
          <t>ASME B1.20.3</t>
        </is>
      </c>
      <c r="K279" s="37" t="inlineStr">
        <is>
          <t>SAE J514-1</t>
        </is>
      </c>
      <c r="L279" s="37" t="n">
        <v>2.13</v>
      </c>
      <c r="M279" s="37" t="n">
        <v>2.64</v>
      </c>
      <c r="N279" s="37" t="n">
        <v>2</v>
      </c>
      <c r="O279" s="37" t="n">
        <v>0.84</v>
      </c>
      <c r="P279" s="37" t="n">
        <v>1.5</v>
      </c>
      <c r="Q279" s="37" t="n"/>
      <c r="R279" s="44" t="n"/>
      <c r="S279" s="45" t="n">
        <v>1.875</v>
      </c>
      <c r="T279" s="37" t="n">
        <v>90</v>
      </c>
      <c r="U279" s="37" t="inlineStr">
        <is>
          <t>ASSUMED</t>
        </is>
      </c>
      <c r="V279" s="37" t="inlineStr">
        <is>
          <t>MS51504 has no row for this size combo; Air-Way remains single source.</t>
        </is>
      </c>
      <c r="W279" s="37" t="inlineStr">
        <is>
          <t>BUILD</t>
        </is>
      </c>
      <c r="X279" s="37" t="inlineStr">
        <is>
          <t>Dimensions verbatim from Air-Way, two reconciled passes. Hex/material/finish/pressure outstanding. | Single body hex 1 7/8 keyed to larger dash -24 (sources show hex follows larger end).</t>
        </is>
      </c>
      <c r="Z279" s="45" t="inlineStr">
        <is>
          <t>Carbon Steel</t>
        </is>
      </c>
      <c r="AA279" s="45" t="inlineStr">
        <is>
          <t>ASTM A108 12L14</t>
        </is>
      </c>
      <c r="AB279" s="45" t="inlineStr">
        <is>
          <t>Trivalent Cr3 Zinc</t>
        </is>
      </c>
      <c r="AC279" s="45" t="inlineStr">
        <is>
          <t>ASTM B633 Type V/VI</t>
        </is>
      </c>
      <c r="AD279" s="46" t="n">
        <v>2000</v>
      </c>
      <c r="AE279" s="46" t="inlineStr">
        <is>
          <t>generic SAE table @ dash -24 (governing end)</t>
        </is>
      </c>
      <c r="AF279" s="46" t="n">
        <v>-65</v>
      </c>
      <c r="AG279" s="46" t="n">
        <v>400</v>
      </c>
      <c r="AH279" s="37" t="inlineStr">
        <is>
          <t>Ham-Let + hoseandfittings (pressure); Parker Cat.4300 (material); ASTM B633 (finish); see StandardsData</t>
        </is>
      </c>
    </row>
    <row r="280" ht="15" customHeight="1" s="35">
      <c r="A280" s="37" t="inlineStr">
        <is>
          <t>2501-20-12</t>
        </is>
      </c>
      <c r="B280" s="37" t="inlineStr">
        <is>
          <t>2501-20-12</t>
        </is>
      </c>
      <c r="C280" s="37" t="inlineStr">
        <is>
          <t>2501</t>
        </is>
      </c>
      <c r="D280" s="37" t="n">
        <v>118</v>
      </c>
      <c r="E280" s="37" t="inlineStr">
        <is>
          <t>90 deg</t>
        </is>
      </c>
      <c r="F280" s="37" t="inlineStr">
        <is>
          <t>90 deg Male Elbow, 1 5/8-12 x 3/4-14</t>
        </is>
      </c>
      <c r="G280" s="37" t="inlineStr">
        <is>
          <t>3/4-14</t>
        </is>
      </c>
      <c r="H280" s="37" t="inlineStr">
        <is>
          <t>1 5/8-12</t>
        </is>
      </c>
      <c r="I280" s="37" t="inlineStr">
        <is>
          <t>1 1/4</t>
        </is>
      </c>
      <c r="J280" s="37" t="inlineStr">
        <is>
          <t>ASME B1.20.3</t>
        </is>
      </c>
      <c r="K280" s="37" t="inlineStr">
        <is>
          <t>SAE J514-1</t>
        </is>
      </c>
      <c r="L280" s="37" t="n">
        <v>2.06</v>
      </c>
      <c r="M280" s="37" t="n">
        <v>1.91</v>
      </c>
      <c r="N280" s="37" t="n">
        <v>1.75</v>
      </c>
      <c r="O280" s="37" t="n">
        <v>1.08</v>
      </c>
      <c r="P280" s="37" t="n">
        <v>0.72</v>
      </c>
      <c r="Q280" s="37" t="n"/>
      <c r="R280" s="44" t="n"/>
      <c r="S280" s="45" t="n">
        <v>1.625</v>
      </c>
      <c r="T280" s="37" t="n">
        <v>90</v>
      </c>
      <c r="U280" s="37" t="inlineStr">
        <is>
          <t>ASSUMED</t>
        </is>
      </c>
      <c r="V280" s="37" t="inlineStr">
        <is>
          <t>MS51504 has no row for this size combo; Air-Way remains single source.</t>
        </is>
      </c>
      <c r="W280" s="37" t="inlineStr">
        <is>
          <t>BUILD</t>
        </is>
      </c>
      <c r="X280" s="37" t="inlineStr">
        <is>
          <t>Dimensions verbatim from Air-Way, two reconciled passes. Hex/material/finish/pressure outstanding. | Single body hex 1 5/8 keyed to larger dash -20 (sources show hex follows larger end).</t>
        </is>
      </c>
      <c r="Z280" s="45" t="inlineStr">
        <is>
          <t>Carbon Steel</t>
        </is>
      </c>
      <c r="AA280" s="45" t="inlineStr">
        <is>
          <t>ASTM A108 12L14</t>
        </is>
      </c>
      <c r="AB280" s="45" t="inlineStr">
        <is>
          <t>Trivalent Cr3 Zinc</t>
        </is>
      </c>
      <c r="AC280" s="45" t="inlineStr">
        <is>
          <t>ASTM B633 Type V/VI</t>
        </is>
      </c>
      <c r="AD280" s="46" t="n">
        <v>2500</v>
      </c>
      <c r="AE280" s="46" t="inlineStr">
        <is>
          <t>generic SAE table @ dash -20 (governing end)</t>
        </is>
      </c>
      <c r="AF280" s="46" t="n">
        <v>-65</v>
      </c>
      <c r="AG280" s="46" t="n">
        <v>400</v>
      </c>
      <c r="AH280" s="37" t="inlineStr">
        <is>
          <t>Ham-Let + hoseandfittings (pressure); Parker Cat.4300 (material); ASTM B633 (finish); see StandardsData</t>
        </is>
      </c>
    </row>
    <row r="281" ht="15" customHeight="1" s="35">
      <c r="A281" s="37" t="inlineStr">
        <is>
          <t>2501-20-16-FG</t>
        </is>
      </c>
      <c r="B281" s="37" t="inlineStr">
        <is>
          <t>2501-20-16-FG</t>
        </is>
      </c>
      <c r="C281" s="37" t="inlineStr">
        <is>
          <t>2501</t>
        </is>
      </c>
      <c r="D281" s="37" t="n">
        <v>118</v>
      </c>
      <c r="E281" s="37" t="inlineStr">
        <is>
          <t>90 deg</t>
        </is>
      </c>
      <c r="F281" s="37" t="inlineStr">
        <is>
          <t>90 deg Male Elbow, 1 5/8-12 x 1-11 1/2</t>
        </is>
      </c>
      <c r="G281" s="37" t="inlineStr">
        <is>
          <t>1-11 1/2</t>
        </is>
      </c>
      <c r="H281" s="37" t="inlineStr">
        <is>
          <t>1 5/8-12</t>
        </is>
      </c>
      <c r="I281" s="37" t="inlineStr">
        <is>
          <t>1 1/4</t>
        </is>
      </c>
      <c r="J281" s="37" t="inlineStr">
        <is>
          <t>ASME B1.20.3</t>
        </is>
      </c>
      <c r="K281" s="37" t="inlineStr">
        <is>
          <t>SAE J514-1</t>
        </is>
      </c>
      <c r="L281" s="37" t="n">
        <v>2.06</v>
      </c>
      <c r="M281" s="37" t="n">
        <v>2.35</v>
      </c>
      <c r="N281" s="37" t="n">
        <v>1.63</v>
      </c>
      <c r="O281" s="37" t="n">
        <v>1.08</v>
      </c>
      <c r="P281" s="37" t="n">
        <v>0.9399999999999999</v>
      </c>
      <c r="Q281" s="37" t="n"/>
      <c r="R281" s="44" t="n"/>
      <c r="S281" s="45" t="n">
        <v>1.625</v>
      </c>
      <c r="T281" s="37" t="n">
        <v>90</v>
      </c>
      <c r="U281" s="37" t="inlineStr">
        <is>
          <t>ASSUMED</t>
        </is>
      </c>
      <c r="V281" s="37" t="inlineStr">
        <is>
          <t>MS51504 has no row for this size combo; Air-Way remains single source.</t>
        </is>
      </c>
      <c r="W281" s="37" t="inlineStr">
        <is>
          <t>BUILD</t>
        </is>
      </c>
      <c r="X281" s="37" t="inlineStr">
        <is>
          <t>Dimensions verbatim from Air-Way, two reconciled passes. Hex/material/finish/pressure outstanding. | Single body hex 1 5/8 keyed to larger dash -20 (sources show hex follows larger end).</t>
        </is>
      </c>
      <c r="Z281" s="45" t="inlineStr">
        <is>
          <t>Carbon Steel</t>
        </is>
      </c>
      <c r="AA281" s="45" t="inlineStr">
        <is>
          <t>ASTM A108 12L14</t>
        </is>
      </c>
      <c r="AB281" s="45" t="inlineStr">
        <is>
          <t>Trivalent Cr3 Zinc</t>
        </is>
      </c>
      <c r="AC281" s="45" t="inlineStr">
        <is>
          <t>ASTM B633 Type V/VI</t>
        </is>
      </c>
      <c r="AD281" s="46" t="n">
        <v>2500</v>
      </c>
      <c r="AE281" s="46" t="inlineStr">
        <is>
          <t>generic SAE table @ dash -20 (governing end)</t>
        </is>
      </c>
      <c r="AF281" s="46" t="n">
        <v>-65</v>
      </c>
      <c r="AG281" s="46" t="n">
        <v>400</v>
      </c>
      <c r="AH281" s="37" t="inlineStr">
        <is>
          <t>Ham-Let + hoseandfittings (pressure); Parker Cat.4300 (material); ASTM B633 (finish); see StandardsData</t>
        </is>
      </c>
    </row>
    <row r="282" ht="15" customHeight="1" s="35">
      <c r="A282" s="37" t="inlineStr">
        <is>
          <t>2501-20-16</t>
        </is>
      </c>
      <c r="B282" s="37" t="inlineStr">
        <is>
          <t>2501-20-16</t>
        </is>
      </c>
      <c r="C282" s="37" t="inlineStr">
        <is>
          <t>2501</t>
        </is>
      </c>
      <c r="D282" s="37" t="n">
        <v>118</v>
      </c>
      <c r="E282" s="37" t="inlineStr">
        <is>
          <t>90 deg</t>
        </is>
      </c>
      <c r="F282" s="37" t="inlineStr">
        <is>
          <t>90 deg Male Elbow, 1 5/8-12 x 1-11 1/2</t>
        </is>
      </c>
      <c r="G282" s="37" t="inlineStr">
        <is>
          <t>1-11 1/2</t>
        </is>
      </c>
      <c r="H282" s="37" t="inlineStr">
        <is>
          <t>1 5/8-12</t>
        </is>
      </c>
      <c r="I282" s="37" t="inlineStr">
        <is>
          <t>1 1/4</t>
        </is>
      </c>
      <c r="J282" s="37" t="inlineStr">
        <is>
          <t>ASME B1.20.3</t>
        </is>
      </c>
      <c r="K282" s="37" t="inlineStr">
        <is>
          <t>SAE J514-1</t>
        </is>
      </c>
      <c r="L282" s="37" t="n">
        <v>2.06</v>
      </c>
      <c r="M282" s="37" t="n">
        <v>2.16</v>
      </c>
      <c r="N282" s="37" t="n">
        <v>1.75</v>
      </c>
      <c r="O282" s="37" t="n">
        <v>1.08</v>
      </c>
      <c r="P282" s="37" t="n">
        <v>0.9399999999999999</v>
      </c>
      <c r="Q282" s="37" t="n"/>
      <c r="R282" s="44" t="n"/>
      <c r="S282" s="45" t="n">
        <v>1.625</v>
      </c>
      <c r="T282" s="37" t="n">
        <v>90</v>
      </c>
      <c r="U282" s="37" t="inlineStr">
        <is>
          <t>ASSUMED</t>
        </is>
      </c>
      <c r="V282" s="37" t="inlineStr">
        <is>
          <t>MS51504 has no row for this size combo; Air-Way remains single source.</t>
        </is>
      </c>
      <c r="W282" s="37" t="inlineStr">
        <is>
          <t>BUILD</t>
        </is>
      </c>
      <c r="X282" s="37" t="inlineStr">
        <is>
          <t>Dimensions verbatim from Air-Way, two reconciled passes. Hex/material/finish/pressure outstanding. | Single body hex 1 5/8 keyed to larger dash -20 (sources show hex follows larger end).</t>
        </is>
      </c>
      <c r="Z282" s="45" t="inlineStr">
        <is>
          <t>Carbon Steel</t>
        </is>
      </c>
      <c r="AA282" s="45" t="inlineStr">
        <is>
          <t>ASTM A108 12L14</t>
        </is>
      </c>
      <c r="AB282" s="45" t="inlineStr">
        <is>
          <t>Trivalent Cr3 Zinc</t>
        </is>
      </c>
      <c r="AC282" s="45" t="inlineStr">
        <is>
          <t>ASTM B633 Type V/VI</t>
        </is>
      </c>
      <c r="AD282" s="46" t="n">
        <v>2500</v>
      </c>
      <c r="AE282" s="46" t="inlineStr">
        <is>
          <t>generic SAE table @ dash -20 (governing end)</t>
        </is>
      </c>
      <c r="AF282" s="46" t="n">
        <v>-65</v>
      </c>
      <c r="AG282" s="46" t="n">
        <v>400</v>
      </c>
      <c r="AH282" s="37" t="inlineStr">
        <is>
          <t>Ham-Let + hoseandfittings (pressure); Parker Cat.4300 (material); ASTM B633 (finish); see StandardsData</t>
        </is>
      </c>
    </row>
    <row r="283" ht="15" customHeight="1" s="35">
      <c r="A283" s="37" t="inlineStr">
        <is>
          <t>2501-20-20-FG</t>
        </is>
      </c>
      <c r="B283" s="37" t="inlineStr">
        <is>
          <t>2501-20-20-FG</t>
        </is>
      </c>
      <c r="C283" s="37" t="inlineStr">
        <is>
          <t>2501</t>
        </is>
      </c>
      <c r="D283" s="37" t="n">
        <v>118</v>
      </c>
      <c r="E283" s="37" t="inlineStr">
        <is>
          <t>90 deg</t>
        </is>
      </c>
      <c r="F283" s="37" t="inlineStr">
        <is>
          <t>90 deg Male Elbow, 1 5/8-12 x 1 1/4-11 1/2</t>
        </is>
      </c>
      <c r="G283" s="37" t="inlineStr">
        <is>
          <t>1 1/4-11 1/2</t>
        </is>
      </c>
      <c r="H283" s="37" t="inlineStr">
        <is>
          <t>1 5/8-12</t>
        </is>
      </c>
      <c r="I283" s="37" t="inlineStr">
        <is>
          <t>1 1/4</t>
        </is>
      </c>
      <c r="J283" s="37" t="inlineStr">
        <is>
          <t>ASME B1.20.3</t>
        </is>
      </c>
      <c r="K283" s="37" t="inlineStr">
        <is>
          <t>SAE J514-1</t>
        </is>
      </c>
      <c r="L283" s="37" t="n">
        <v>2.06</v>
      </c>
      <c r="M283" s="37" t="n">
        <v>2.38</v>
      </c>
      <c r="N283" s="37" t="n">
        <v>1.63</v>
      </c>
      <c r="O283" s="37" t="n">
        <v>1.08</v>
      </c>
      <c r="P283" s="37" t="n">
        <v>1.25</v>
      </c>
      <c r="Q283" s="37" t="n"/>
      <c r="R283" s="44" t="n"/>
      <c r="S283" s="45" t="n">
        <v>1.625</v>
      </c>
      <c r="T283" s="37" t="n">
        <v>90</v>
      </c>
      <c r="U283" s="37" t="inlineStr">
        <is>
          <t>ASSUMED</t>
        </is>
      </c>
      <c r="V283" s="37" t="inlineStr">
        <is>
          <t>MS51504 cross-check 2026-09-04: B,M,N,D,D1 all AGREE (forged pattern).</t>
        </is>
      </c>
      <c r="W283" s="37" t="inlineStr">
        <is>
          <t>BUILD</t>
        </is>
      </c>
      <c r="X283" s="37" t="inlineStr">
        <is>
          <t>Dimensions verbatim from Air-Way, two reconciled passes. Hex/material/finish/pressure outstanding. | Single body hex 1 5/8 keyed to larger dash -20 (sources show hex follows larger end).</t>
        </is>
      </c>
      <c r="Z283" s="45" t="inlineStr">
        <is>
          <t>Carbon Steel</t>
        </is>
      </c>
      <c r="AA283" s="45" t="inlineStr">
        <is>
          <t>ASTM A108 12L14</t>
        </is>
      </c>
      <c r="AB283" s="45" t="inlineStr">
        <is>
          <t>Trivalent Cr3 Zinc</t>
        </is>
      </c>
      <c r="AC283" s="45" t="inlineStr">
        <is>
          <t>ASTM B633 Type V/VI</t>
        </is>
      </c>
      <c r="AD283" s="46" t="n">
        <v>2500</v>
      </c>
      <c r="AE283" s="46" t="inlineStr">
        <is>
          <t>generic SAE table @ dash -20 (governing end)</t>
        </is>
      </c>
      <c r="AF283" s="46" t="n">
        <v>-65</v>
      </c>
      <c r="AG283" s="46" t="n">
        <v>400</v>
      </c>
      <c r="AH283" s="37" t="inlineStr">
        <is>
          <t>Ham-Let + hoseandfittings (pressure); Parker Cat.4300 (material); ASTM B633 (finish); see StandardsData</t>
        </is>
      </c>
    </row>
    <row r="284" ht="15" customHeight="1" s="35">
      <c r="A284" s="37" t="inlineStr">
        <is>
          <t>2501-20-20</t>
        </is>
      </c>
      <c r="B284" s="37" t="inlineStr">
        <is>
          <t>2501-20-20</t>
        </is>
      </c>
      <c r="C284" s="37" t="inlineStr">
        <is>
          <t>2501</t>
        </is>
      </c>
      <c r="D284" s="37" t="n">
        <v>118</v>
      </c>
      <c r="E284" s="37" t="inlineStr">
        <is>
          <t>90 deg</t>
        </is>
      </c>
      <c r="F284" s="37" t="inlineStr">
        <is>
          <t>90 deg Male Elbow, 1 5/8-12 x 1 1/4-11 1/2</t>
        </is>
      </c>
      <c r="G284" s="37" t="inlineStr">
        <is>
          <t>1 1/4-11 1/2</t>
        </is>
      </c>
      <c r="H284" s="37" t="inlineStr">
        <is>
          <t>1 5/8-12</t>
        </is>
      </c>
      <c r="I284" s="37" t="inlineStr">
        <is>
          <t>1 1/4</t>
        </is>
      </c>
      <c r="J284" s="37" t="inlineStr">
        <is>
          <t>ASME B1.20.3</t>
        </is>
      </c>
      <c r="K284" s="37" t="inlineStr">
        <is>
          <t>SAE J514-1</t>
        </is>
      </c>
      <c r="L284" s="37" t="n">
        <v>2.06</v>
      </c>
      <c r="M284" s="37" t="n">
        <v>2.38</v>
      </c>
      <c r="N284" s="37" t="n">
        <v>1.75</v>
      </c>
      <c r="O284" s="37" t="n">
        <v>1.08</v>
      </c>
      <c r="P284" s="37" t="n">
        <v>1.25</v>
      </c>
      <c r="Q284" s="37" t="n"/>
      <c r="R284" s="44" t="n"/>
      <c r="S284" s="45" t="n">
        <v>1.625</v>
      </c>
      <c r="T284" s="37" t="n">
        <v>90</v>
      </c>
      <c r="U284" s="37" t="inlineStr">
        <is>
          <t>ASSUMED</t>
        </is>
      </c>
      <c r="V284" s="37" t="inlineStr">
        <is>
          <t>Non-forged leg pattern; MS51504 covers the forged pattern (FG sibling matches MS). Air-Way single source for these legs.</t>
        </is>
      </c>
      <c r="W284" s="37" t="inlineStr">
        <is>
          <t>BUILD</t>
        </is>
      </c>
      <c r="X284" s="37" t="inlineStr">
        <is>
          <t>Dimensions verbatim from Air-Way, two reconciled passes. Hex/material/finish/pressure outstanding. | Single body hex 1 5/8 keyed to larger dash -20 (sources show hex follows larger end).</t>
        </is>
      </c>
      <c r="Z284" s="45" t="inlineStr">
        <is>
          <t>Carbon Steel</t>
        </is>
      </c>
      <c r="AA284" s="45" t="inlineStr">
        <is>
          <t>ASTM A108 12L14</t>
        </is>
      </c>
      <c r="AB284" s="45" t="inlineStr">
        <is>
          <t>Trivalent Cr3 Zinc</t>
        </is>
      </c>
      <c r="AC284" s="45" t="inlineStr">
        <is>
          <t>ASTM B633 Type V/VI</t>
        </is>
      </c>
      <c r="AD284" s="46" t="n">
        <v>2500</v>
      </c>
      <c r="AE284" s="46" t="inlineStr">
        <is>
          <t>generic SAE table @ dash -20 (governing end)</t>
        </is>
      </c>
      <c r="AF284" s="46" t="n">
        <v>-65</v>
      </c>
      <c r="AG284" s="46" t="n">
        <v>400</v>
      </c>
      <c r="AH284" s="37" t="inlineStr">
        <is>
          <t>Ham-Let + hoseandfittings (pressure); Parker Cat.4300 (material); ASTM B633 (finish); see StandardsData</t>
        </is>
      </c>
    </row>
    <row r="285" ht="15" customHeight="1" s="35">
      <c r="A285" s="37" t="inlineStr">
        <is>
          <t>2501-20-24-FG</t>
        </is>
      </c>
      <c r="B285" s="37" t="inlineStr">
        <is>
          <t>2501-20-24-FG</t>
        </is>
      </c>
      <c r="C285" s="37" t="inlineStr">
        <is>
          <t>2501</t>
        </is>
      </c>
      <c r="D285" s="37" t="n">
        <v>118</v>
      </c>
      <c r="E285" s="37" t="inlineStr">
        <is>
          <t>90 deg</t>
        </is>
      </c>
      <c r="F285" s="37" t="inlineStr">
        <is>
          <t>90 deg Male Elbow, 1 5/8-12 x 1 1/2-11 1/2</t>
        </is>
      </c>
      <c r="G285" s="37" t="inlineStr">
        <is>
          <t>1 1/2-11 1/2</t>
        </is>
      </c>
      <c r="H285" s="37" t="inlineStr">
        <is>
          <t>1 5/8-12</t>
        </is>
      </c>
      <c r="I285" s="37" t="inlineStr">
        <is>
          <t>1 1/4</t>
        </is>
      </c>
      <c r="J285" s="37" t="inlineStr">
        <is>
          <t>ASME B1.20.3</t>
        </is>
      </c>
      <c r="K285" s="37" t="inlineStr">
        <is>
          <t>SAE J514-1</t>
        </is>
      </c>
      <c r="L285" s="37" t="n">
        <v>2.3</v>
      </c>
      <c r="M285" s="37" t="n">
        <v>2.64</v>
      </c>
      <c r="N285" s="37" t="n">
        <v>1.88</v>
      </c>
      <c r="O285" s="37" t="n">
        <v>1.08</v>
      </c>
      <c r="P285" s="37" t="n">
        <v>1.5</v>
      </c>
      <c r="Q285" s="37" t="n"/>
      <c r="R285" s="44" t="n"/>
      <c r="S285" s="45" t="n">
        <v>1.875</v>
      </c>
      <c r="T285" s="37" t="n">
        <v>90</v>
      </c>
      <c r="U285" s="37" t="inlineStr">
        <is>
          <t>ASSUMED</t>
        </is>
      </c>
      <c r="V285" s="37" t="inlineStr">
        <is>
          <t>MS51504 has no row for this size combo; Air-Way remains single source.</t>
        </is>
      </c>
      <c r="W285" s="37" t="inlineStr">
        <is>
          <t>BUILD</t>
        </is>
      </c>
      <c r="X285" s="37" t="inlineStr">
        <is>
          <t>Dimensions verbatim from Air-Way, two reconciled passes. Hex/material/finish/pressure outstanding. | Single body hex 1 7/8 keyed to larger dash -24 (sources show hex follows larger end).</t>
        </is>
      </c>
      <c r="Z285" s="45" t="inlineStr">
        <is>
          <t>Carbon Steel</t>
        </is>
      </c>
      <c r="AA285" s="45" t="inlineStr">
        <is>
          <t>ASTM A108 12L14</t>
        </is>
      </c>
      <c r="AB285" s="45" t="inlineStr">
        <is>
          <t>Trivalent Cr3 Zinc</t>
        </is>
      </c>
      <c r="AC285" s="45" t="inlineStr">
        <is>
          <t>ASTM B633 Type V/VI</t>
        </is>
      </c>
      <c r="AD285" s="46" t="n">
        <v>2000</v>
      </c>
      <c r="AE285" s="46" t="inlineStr">
        <is>
          <t>generic SAE table @ dash -24 (governing end)</t>
        </is>
      </c>
      <c r="AF285" s="46" t="n">
        <v>-65</v>
      </c>
      <c r="AG285" s="46" t="n">
        <v>400</v>
      </c>
      <c r="AH285" s="37" t="inlineStr">
        <is>
          <t>Ham-Let + hoseandfittings (pressure); Parker Cat.4300 (material); ASTM B633 (finish); see StandardsData</t>
        </is>
      </c>
    </row>
    <row r="286" ht="15" customHeight="1" s="35">
      <c r="A286" s="37" t="inlineStr">
        <is>
          <t>2501-20-24</t>
        </is>
      </c>
      <c r="B286" s="37" t="inlineStr">
        <is>
          <t>2501-20-24</t>
        </is>
      </c>
      <c r="C286" s="37" t="inlineStr">
        <is>
          <t>2501</t>
        </is>
      </c>
      <c r="D286" s="37" t="n">
        <v>118</v>
      </c>
      <c r="E286" s="37" t="inlineStr">
        <is>
          <t>90 deg</t>
        </is>
      </c>
      <c r="F286" s="37" t="inlineStr">
        <is>
          <t>90 deg Male Elbow, 1 5/8-12 x 1 1/2-11 1/2</t>
        </is>
      </c>
      <c r="G286" s="37" t="inlineStr">
        <is>
          <t>1 1/2-11 1/2</t>
        </is>
      </c>
      <c r="H286" s="37" t="inlineStr">
        <is>
          <t>1 5/8-12</t>
        </is>
      </c>
      <c r="I286" s="37" t="inlineStr">
        <is>
          <t>1 1/4</t>
        </is>
      </c>
      <c r="J286" s="37" t="inlineStr">
        <is>
          <t>ASME B1.20.3</t>
        </is>
      </c>
      <c r="K286" s="37" t="inlineStr">
        <is>
          <t>SAE J514-1</t>
        </is>
      </c>
      <c r="L286" s="37" t="n">
        <v>2.19</v>
      </c>
      <c r="M286" s="37" t="n">
        <v>2.64</v>
      </c>
      <c r="N286" s="37" t="n">
        <v>2</v>
      </c>
      <c r="O286" s="37" t="n">
        <v>1.08</v>
      </c>
      <c r="P286" s="37" t="n">
        <v>1.5</v>
      </c>
      <c r="Q286" s="37" t="n"/>
      <c r="R286" s="44" t="n"/>
      <c r="S286" s="45" t="n">
        <v>1.875</v>
      </c>
      <c r="T286" s="37" t="n">
        <v>90</v>
      </c>
      <c r="U286" s="37" t="inlineStr">
        <is>
          <t>ASSUMED</t>
        </is>
      </c>
      <c r="V286" s="37" t="inlineStr">
        <is>
          <t>MS51504 has no row for this size combo; Air-Way remains single source.</t>
        </is>
      </c>
      <c r="W286" s="37" t="inlineStr">
        <is>
          <t>BUILD</t>
        </is>
      </c>
      <c r="X286" s="37" t="inlineStr">
        <is>
          <t>Dimensions verbatim from Air-Way, two reconciled passes. Hex/material/finish/pressure outstanding. | Single body hex 1 7/8 keyed to larger dash -24 (sources show hex follows larger end).</t>
        </is>
      </c>
      <c r="Z286" s="45" t="inlineStr">
        <is>
          <t>Carbon Steel</t>
        </is>
      </c>
      <c r="AA286" s="45" t="inlineStr">
        <is>
          <t>ASTM A108 12L14</t>
        </is>
      </c>
      <c r="AB286" s="45" t="inlineStr">
        <is>
          <t>Trivalent Cr3 Zinc</t>
        </is>
      </c>
      <c r="AC286" s="45" t="inlineStr">
        <is>
          <t>ASTM B633 Type V/VI</t>
        </is>
      </c>
      <c r="AD286" s="46" t="n">
        <v>2000</v>
      </c>
      <c r="AE286" s="46" t="inlineStr">
        <is>
          <t>generic SAE table @ dash -24 (governing end)</t>
        </is>
      </c>
      <c r="AF286" s="46" t="n">
        <v>-65</v>
      </c>
      <c r="AG286" s="46" t="n">
        <v>400</v>
      </c>
      <c r="AH286" s="37" t="inlineStr">
        <is>
          <t>Ham-Let + hoseandfittings (pressure); Parker Cat.4300 (material); ASTM B633 (finish); see StandardsData</t>
        </is>
      </c>
    </row>
    <row r="287" ht="15" customHeight="1" s="35">
      <c r="A287" s="37" t="inlineStr">
        <is>
          <t>2501-24-16</t>
        </is>
      </c>
      <c r="B287" s="37" t="inlineStr">
        <is>
          <t>2501-24-16</t>
        </is>
      </c>
      <c r="C287" s="37" t="inlineStr">
        <is>
          <t>2501</t>
        </is>
      </c>
      <c r="D287" s="37" t="n">
        <v>118</v>
      </c>
      <c r="E287" s="37" t="inlineStr">
        <is>
          <t>90 deg</t>
        </is>
      </c>
      <c r="F287" s="37" t="inlineStr">
        <is>
          <t>90 deg Male Elbow, 1 7/8-12 x 1-11 1/2</t>
        </is>
      </c>
      <c r="G287" s="37" t="inlineStr">
        <is>
          <t>1-11 1/2</t>
        </is>
      </c>
      <c r="H287" s="37" t="inlineStr">
        <is>
          <t>1 7/8-12</t>
        </is>
      </c>
      <c r="I287" s="37" t="inlineStr">
        <is>
          <t>1 1/2</t>
        </is>
      </c>
      <c r="J287" s="37" t="inlineStr">
        <is>
          <t>ASME B1.20.3</t>
        </is>
      </c>
      <c r="K287" s="37" t="inlineStr">
        <is>
          <t>SAE J514-1</t>
        </is>
      </c>
      <c r="L287" s="37" t="n">
        <v>2.33</v>
      </c>
      <c r="M287" s="37" t="n">
        <v>2.28</v>
      </c>
      <c r="N287" s="37" t="n">
        <v>2</v>
      </c>
      <c r="O287" s="37" t="n">
        <v>1.31</v>
      </c>
      <c r="P287" s="37" t="n">
        <v>0.9399999999999999</v>
      </c>
      <c r="Q287" s="37" t="n"/>
      <c r="R287" s="44" t="n"/>
      <c r="S287" s="45" t="n">
        <v>1.875</v>
      </c>
      <c r="T287" s="37" t="n">
        <v>90</v>
      </c>
      <c r="U287" s="37" t="inlineStr">
        <is>
          <t>ASSUMED</t>
        </is>
      </c>
      <c r="V287" s="37" t="inlineStr">
        <is>
          <t>MS51504 has no row for this size combo; Air-Way remains single source.</t>
        </is>
      </c>
      <c r="W287" s="37" t="inlineStr">
        <is>
          <t>BUILD</t>
        </is>
      </c>
      <c r="X287" s="37" t="inlineStr">
        <is>
          <t>Dimensions verbatim from Air-Way, two reconciled passes. Hex/material/finish/pressure outstanding. | Single body hex 1 7/8 keyed to larger dash -24 (sources show hex follows larger end).</t>
        </is>
      </c>
      <c r="Z287" s="45" t="inlineStr">
        <is>
          <t>Carbon Steel</t>
        </is>
      </c>
      <c r="AA287" s="45" t="inlineStr">
        <is>
          <t>ASTM A108 12L14</t>
        </is>
      </c>
      <c r="AB287" s="45" t="inlineStr">
        <is>
          <t>Trivalent Cr3 Zinc</t>
        </is>
      </c>
      <c r="AC287" s="45" t="inlineStr">
        <is>
          <t>ASTM B633 Type V/VI</t>
        </is>
      </c>
      <c r="AD287" s="46" t="n">
        <v>2000</v>
      </c>
      <c r="AE287" s="46" t="inlineStr">
        <is>
          <t>generic SAE table @ dash -24 (governing end)</t>
        </is>
      </c>
      <c r="AF287" s="46" t="n">
        <v>-65</v>
      </c>
      <c r="AG287" s="46" t="n">
        <v>400</v>
      </c>
      <c r="AH287" s="37" t="inlineStr">
        <is>
          <t>Ham-Let + hoseandfittings (pressure); Parker Cat.4300 (material); ASTM B633 (finish); see StandardsData</t>
        </is>
      </c>
    </row>
    <row r="288" ht="15" customHeight="1" s="35">
      <c r="A288" s="37" t="inlineStr">
        <is>
          <t>2501-24-20-FG</t>
        </is>
      </c>
      <c r="B288" s="37" t="inlineStr">
        <is>
          <t>2501-24-20-FG</t>
        </is>
      </c>
      <c r="C288" s="37" t="inlineStr">
        <is>
          <t>2501</t>
        </is>
      </c>
      <c r="D288" s="37" t="n">
        <v>118</v>
      </c>
      <c r="E288" s="37" t="inlineStr">
        <is>
          <t>90 deg</t>
        </is>
      </c>
      <c r="F288" s="37" t="inlineStr">
        <is>
          <t>90 deg Male Elbow, 1 7/8-12 x 1 1/4-11 1/2</t>
        </is>
      </c>
      <c r="G288" s="37" t="inlineStr">
        <is>
          <t>1 1/4-11 1/2</t>
        </is>
      </c>
      <c r="H288" s="37" t="inlineStr">
        <is>
          <t>1 7/8-12</t>
        </is>
      </c>
      <c r="I288" s="37" t="inlineStr">
        <is>
          <t>1 1/2</t>
        </is>
      </c>
      <c r="J288" s="37" t="inlineStr">
        <is>
          <t>ASME B1.20.3</t>
        </is>
      </c>
      <c r="K288" s="37" t="inlineStr">
        <is>
          <t>SAE J514-1</t>
        </is>
      </c>
      <c r="L288" s="37" t="n">
        <v>2.33</v>
      </c>
      <c r="M288" s="37" t="n">
        <v>2.61</v>
      </c>
      <c r="N288" s="37" t="n">
        <v>1.88</v>
      </c>
      <c r="O288" s="37" t="n">
        <v>1.31</v>
      </c>
      <c r="P288" s="37" t="n">
        <v>1.25</v>
      </c>
      <c r="Q288" s="37" t="n"/>
      <c r="R288" s="44" t="n"/>
      <c r="S288" s="45" t="n">
        <v>1.875</v>
      </c>
      <c r="T288" s="37" t="n">
        <v>90</v>
      </c>
      <c r="U288" s="37" t="inlineStr">
        <is>
          <t>ASSUMED</t>
        </is>
      </c>
      <c r="V288" s="37" t="inlineStr">
        <is>
          <t>MS51504 has no row for this size combo; Air-Way remains single source.</t>
        </is>
      </c>
      <c r="W288" s="37" t="inlineStr">
        <is>
          <t>BUILD</t>
        </is>
      </c>
      <c r="X288" s="37" t="inlineStr">
        <is>
          <t>Dimensions verbatim from Air-Way, two reconciled passes. Hex/material/finish/pressure outstanding. | Single body hex 1 7/8 keyed to larger dash -24 (sources show hex follows larger end).</t>
        </is>
      </c>
      <c r="Z288" s="45" t="inlineStr">
        <is>
          <t>Carbon Steel</t>
        </is>
      </c>
      <c r="AA288" s="45" t="inlineStr">
        <is>
          <t>ASTM A108 12L14</t>
        </is>
      </c>
      <c r="AB288" s="45" t="inlineStr">
        <is>
          <t>Trivalent Cr3 Zinc</t>
        </is>
      </c>
      <c r="AC288" s="45" t="inlineStr">
        <is>
          <t>ASTM B633 Type V/VI</t>
        </is>
      </c>
      <c r="AD288" s="46" t="n">
        <v>2000</v>
      </c>
      <c r="AE288" s="46" t="inlineStr">
        <is>
          <t>generic SAE table @ dash -24 (governing end)</t>
        </is>
      </c>
      <c r="AF288" s="46" t="n">
        <v>-65</v>
      </c>
      <c r="AG288" s="46" t="n">
        <v>400</v>
      </c>
      <c r="AH288" s="37" t="inlineStr">
        <is>
          <t>Ham-Let + hoseandfittings (pressure); Parker Cat.4300 (material); ASTM B633 (finish); see StandardsData</t>
        </is>
      </c>
    </row>
    <row r="289" ht="15" customHeight="1" s="35">
      <c r="A289" s="37" t="inlineStr">
        <is>
          <t>2501-24-20</t>
        </is>
      </c>
      <c r="B289" s="37" t="inlineStr">
        <is>
          <t>2501-24-20</t>
        </is>
      </c>
      <c r="C289" s="37" t="inlineStr">
        <is>
          <t>2501</t>
        </is>
      </c>
      <c r="D289" s="37" t="n">
        <v>118</v>
      </c>
      <c r="E289" s="37" t="inlineStr">
        <is>
          <t>90 deg</t>
        </is>
      </c>
      <c r="F289" s="37" t="inlineStr">
        <is>
          <t>90 deg Male Elbow, 1 7/8-12 x 1 1/4-11 1/2</t>
        </is>
      </c>
      <c r="G289" s="37" t="inlineStr">
        <is>
          <t>1 1/4-11 1/2</t>
        </is>
      </c>
      <c r="H289" s="37" t="inlineStr">
        <is>
          <t>1 7/8-12</t>
        </is>
      </c>
      <c r="I289" s="37" t="inlineStr">
        <is>
          <t>1 1/2</t>
        </is>
      </c>
      <c r="J289" s="37" t="inlineStr">
        <is>
          <t>ASME B1.20.3</t>
        </is>
      </c>
      <c r="K289" s="37" t="inlineStr">
        <is>
          <t>SAE J514-1</t>
        </is>
      </c>
      <c r="L289" s="37" t="n">
        <v>2.33</v>
      </c>
      <c r="M289" s="37" t="n">
        <v>2.5</v>
      </c>
      <c r="N289" s="37" t="n">
        <v>2</v>
      </c>
      <c r="O289" s="37" t="n">
        <v>1.31</v>
      </c>
      <c r="P289" s="37" t="n">
        <v>1.25</v>
      </c>
      <c r="Q289" s="37" t="n"/>
      <c r="R289" s="44" t="n"/>
      <c r="S289" s="45" t="n">
        <v>1.875</v>
      </c>
      <c r="T289" s="37" t="n">
        <v>90</v>
      </c>
      <c r="U289" s="37" t="inlineStr">
        <is>
          <t>ASSUMED</t>
        </is>
      </c>
      <c r="V289" s="37" t="inlineStr">
        <is>
          <t>MS51504 has no row for this size combo; Air-Way remains single source.</t>
        </is>
      </c>
      <c r="W289" s="37" t="inlineStr">
        <is>
          <t>BUILD</t>
        </is>
      </c>
      <c r="X289" s="37" t="inlineStr">
        <is>
          <t>Dimensions verbatim from Air-Way, two reconciled passes. Hex/material/finish/pressure outstanding. | Single body hex 1 7/8 keyed to larger dash -24 (sources show hex follows larger end).</t>
        </is>
      </c>
      <c r="Z289" s="45" t="inlineStr">
        <is>
          <t>Carbon Steel</t>
        </is>
      </c>
      <c r="AA289" s="45" t="inlineStr">
        <is>
          <t>ASTM A108 12L14</t>
        </is>
      </c>
      <c r="AB289" s="45" t="inlineStr">
        <is>
          <t>Trivalent Cr3 Zinc</t>
        </is>
      </c>
      <c r="AC289" s="45" t="inlineStr">
        <is>
          <t>ASTM B633 Type V/VI</t>
        </is>
      </c>
      <c r="AD289" s="46" t="n">
        <v>2000</v>
      </c>
      <c r="AE289" s="46" t="inlineStr">
        <is>
          <t>generic SAE table @ dash -24 (governing end)</t>
        </is>
      </c>
      <c r="AF289" s="46" t="n">
        <v>-65</v>
      </c>
      <c r="AG289" s="46" t="n">
        <v>400</v>
      </c>
      <c r="AH289" s="37" t="inlineStr">
        <is>
          <t>Ham-Let + hoseandfittings (pressure); Parker Cat.4300 (material); ASTM B633 (finish); see StandardsData</t>
        </is>
      </c>
    </row>
    <row r="290" ht="15" customHeight="1" s="35">
      <c r="A290" s="37" t="inlineStr">
        <is>
          <t>2501-24-24</t>
        </is>
      </c>
      <c r="B290" s="37" t="inlineStr">
        <is>
          <t>2501-24-24</t>
        </is>
      </c>
      <c r="C290" s="37" t="inlineStr">
        <is>
          <t>2501</t>
        </is>
      </c>
      <c r="D290" s="37" t="n">
        <v>118</v>
      </c>
      <c r="E290" s="37" t="inlineStr">
        <is>
          <t>90 deg</t>
        </is>
      </c>
      <c r="F290" s="37" t="inlineStr">
        <is>
          <t>90 deg Male Elbow, 1 7/8-14 x 1 1/2-11 1/2</t>
        </is>
      </c>
      <c r="G290" s="37" t="inlineStr">
        <is>
          <t>1 1/2-11 1/2</t>
        </is>
      </c>
      <c r="H290" s="37" t="inlineStr">
        <is>
          <t>1 7/8-14</t>
        </is>
      </c>
      <c r="I290" s="37" t="inlineStr">
        <is>
          <t>1 1/2</t>
        </is>
      </c>
      <c r="J290" s="37" t="inlineStr">
        <is>
          <t>ASME B1.20.3</t>
        </is>
      </c>
      <c r="K290" s="37" t="inlineStr">
        <is>
          <t>SAE J514-1</t>
        </is>
      </c>
      <c r="L290" s="37" t="n">
        <v>2.33</v>
      </c>
      <c r="M290" s="37" t="n">
        <v>2.64</v>
      </c>
      <c r="N290" s="37" t="n">
        <v>2</v>
      </c>
      <c r="O290" s="37" t="n">
        <v>1.31</v>
      </c>
      <c r="P290" s="37" t="n">
        <v>1.5</v>
      </c>
      <c r="Q290" s="37" t="n"/>
      <c r="R290" s="44" t="n"/>
      <c r="S290" s="45" t="n">
        <v>1.875</v>
      </c>
      <c r="T290" s="37" t="n">
        <v>90</v>
      </c>
      <c r="U290" s="37" t="inlineStr">
        <is>
          <t>ASSUMED</t>
        </is>
      </c>
      <c r="V290" s="37" t="inlineStr">
        <is>
          <t>Non-forged leg pattern; MS51504 covers the forged pattern (FG sibling matches MS). Air-Way single source for these legs.</t>
        </is>
      </c>
      <c r="W290" s="37" t="inlineStr">
        <is>
          <t>BUILD</t>
        </is>
      </c>
      <c r="X290" s="37" t="inlineStr">
        <is>
          <t>Dimensions verbatim from Air-Way, two reconciled passes. Hex/material/finish/pressure outstanding. | Single body hex 1 7/8 keyed to larger dash -24 (sources show hex follows larger end).</t>
        </is>
      </c>
      <c r="Z290" s="45" t="inlineStr">
        <is>
          <t>Carbon Steel</t>
        </is>
      </c>
      <c r="AA290" s="45" t="inlineStr">
        <is>
          <t>ASTM A108 12L14</t>
        </is>
      </c>
      <c r="AB290" s="45" t="inlineStr">
        <is>
          <t>Trivalent Cr3 Zinc</t>
        </is>
      </c>
      <c r="AC290" s="45" t="inlineStr">
        <is>
          <t>ASTM B633 Type V/VI</t>
        </is>
      </c>
      <c r="AD290" s="46" t="n">
        <v>2000</v>
      </c>
      <c r="AE290" s="46" t="inlineStr">
        <is>
          <t>generic SAE table @ dash -24 (governing end)</t>
        </is>
      </c>
      <c r="AF290" s="46" t="n">
        <v>-65</v>
      </c>
      <c r="AG290" s="46" t="n">
        <v>400</v>
      </c>
      <c r="AH290" s="37" t="inlineStr">
        <is>
          <t>Ham-Let + hoseandfittings (pressure); Parker Cat.4300 (material); ASTM B633 (finish); see StandardsData</t>
        </is>
      </c>
    </row>
    <row r="291" ht="15" customHeight="1" s="35">
      <c r="A291" s="37" t="inlineStr">
        <is>
          <t>2501-32-24-FG</t>
        </is>
      </c>
      <c r="B291" s="37" t="inlineStr">
        <is>
          <t>2501-32-24-FG</t>
        </is>
      </c>
      <c r="C291" s="37" t="inlineStr">
        <is>
          <t>2501</t>
        </is>
      </c>
      <c r="D291" s="37" t="n">
        <v>118</v>
      </c>
      <c r="E291" s="37" t="inlineStr">
        <is>
          <t>90 deg</t>
        </is>
      </c>
      <c r="F291" s="37" t="inlineStr">
        <is>
          <t>90 deg Male Elbow, 2 1/2-12 x 1 1/2-11 1/2</t>
        </is>
      </c>
      <c r="G291" s="37" t="inlineStr">
        <is>
          <t>1 1/2-11 1/2</t>
        </is>
      </c>
      <c r="H291" s="37" t="inlineStr">
        <is>
          <t>2 1/2-12</t>
        </is>
      </c>
      <c r="I291" s="37" t="inlineStr">
        <is>
          <t>2</t>
        </is>
      </c>
      <c r="J291" s="37" t="inlineStr">
        <is>
          <t>ASME B1.20.3</t>
        </is>
      </c>
      <c r="K291" s="37" t="inlineStr">
        <is>
          <t>SAE J514-1</t>
        </is>
      </c>
      <c r="L291" s="37" t="n">
        <v>3.06</v>
      </c>
      <c r="M291" s="37" t="n">
        <v>2.97</v>
      </c>
      <c r="N291" s="37" t="n">
        <v>2.5</v>
      </c>
      <c r="O291" s="37" t="n">
        <v>1.78</v>
      </c>
      <c r="P291" s="37" t="n">
        <v>1.5</v>
      </c>
      <c r="Q291" s="37" t="n"/>
      <c r="R291" s="44" t="n"/>
      <c r="S291" s="45" t="n">
        <v>2.5</v>
      </c>
      <c r="T291" s="37" t="n">
        <v>90</v>
      </c>
      <c r="U291" s="37" t="inlineStr">
        <is>
          <t>ASSUMED</t>
        </is>
      </c>
      <c r="V291" s="37" t="inlineStr">
        <is>
          <t>MS51504 has no row for this size combo; Air-Way remains single source.</t>
        </is>
      </c>
      <c r="W291" s="37" t="inlineStr">
        <is>
          <t>BUILD</t>
        </is>
      </c>
      <c r="X291" s="37" t="inlineStr">
        <is>
          <t>Dimensions verbatim from Air-Way, two reconciled passes. Hex/material/finish/pressure outstanding. | Single body hex 2 1/2 keyed to larger dash -32 (sources show hex follows larger end).</t>
        </is>
      </c>
      <c r="Z291" s="45" t="inlineStr">
        <is>
          <t>Carbon Steel</t>
        </is>
      </c>
      <c r="AA291" s="45" t="inlineStr">
        <is>
          <t>ASTM A108 12L14</t>
        </is>
      </c>
      <c r="AB291" s="45" t="inlineStr">
        <is>
          <t>Trivalent Cr3 Zinc</t>
        </is>
      </c>
      <c r="AC291" s="45" t="inlineStr">
        <is>
          <t>ASTM B633 Type V/VI</t>
        </is>
      </c>
      <c r="AD291" s="46" t="n">
        <v>1500</v>
      </c>
      <c r="AE291" s="46" t="inlineStr">
        <is>
          <t>generic SAE table @ dash -32 (governing end)</t>
        </is>
      </c>
      <c r="AF291" s="46" t="n">
        <v>-65</v>
      </c>
      <c r="AG291" s="46" t="n">
        <v>400</v>
      </c>
      <c r="AH291" s="37" t="inlineStr">
        <is>
          <t>Ham-Let + hoseandfittings (pressure); Parker Cat.4300 (material); ASTM B633 (finish); see StandardsData</t>
        </is>
      </c>
    </row>
    <row r="292" ht="15" customHeight="1" s="35">
      <c r="A292" s="37" t="inlineStr">
        <is>
          <t>2501-24-24-FG</t>
        </is>
      </c>
      <c r="B292" s="37" t="inlineStr">
        <is>
          <t>2501-24-24-FG</t>
        </is>
      </c>
      <c r="C292" s="37" t="inlineStr">
        <is>
          <t>2501</t>
        </is>
      </c>
      <c r="D292" s="37" t="n">
        <v>118</v>
      </c>
      <c r="E292" s="37" t="inlineStr">
        <is>
          <t>90 deg</t>
        </is>
      </c>
      <c r="F292" s="37" t="inlineStr">
        <is>
          <t>90 deg Male Elbow, 1 7/8-12 x 1 1/2-11 1/2</t>
        </is>
      </c>
      <c r="G292" s="37" t="inlineStr">
        <is>
          <t>1 1/2-11 1/2</t>
        </is>
      </c>
      <c r="H292" s="37" t="inlineStr">
        <is>
          <t>1 7/8-12</t>
        </is>
      </c>
      <c r="I292" s="37" t="inlineStr">
        <is>
          <t>1 1/2</t>
        </is>
      </c>
      <c r="J292" s="37" t="inlineStr">
        <is>
          <t>ASME B1.20.3</t>
        </is>
      </c>
      <c r="K292" s="37" t="inlineStr">
        <is>
          <t>SAE J514-1</t>
        </is>
      </c>
      <c r="L292" s="37" t="n">
        <v>2.33</v>
      </c>
      <c r="M292" s="37" t="n">
        <v>2.64</v>
      </c>
      <c r="N292" s="37" t="n">
        <v>1.81</v>
      </c>
      <c r="O292" s="37" t="n">
        <v>1.31</v>
      </c>
      <c r="P292" s="37" t="n">
        <v>1.5</v>
      </c>
      <c r="Q292" s="37" t="n"/>
      <c r="R292" s="44" t="n"/>
      <c r="S292" s="45" t="n">
        <v>1.875</v>
      </c>
      <c r="T292" s="37" t="n">
        <v>90</v>
      </c>
      <c r="U292" s="37" t="inlineStr">
        <is>
          <t>ASSUMED</t>
        </is>
      </c>
      <c r="V292" s="37" t="inlineStr">
        <is>
          <t>MS51504 cross-check 2026-09-04: B,M,N,D,D1 all AGREE (forged pattern).</t>
        </is>
      </c>
      <c r="W292" s="37" t="inlineStr">
        <is>
          <t>BUILD</t>
        </is>
      </c>
      <c r="X292" s="37" t="inlineStr">
        <is>
          <t>Dimensions verbatim from Air-Way, two reconciled passes. Hex/material/finish/pressure outstanding. | Single body hex 1 7/8 keyed to larger dash -24 (sources show hex follows larger end).</t>
        </is>
      </c>
      <c r="Z292" s="45" t="inlineStr">
        <is>
          <t>Carbon Steel</t>
        </is>
      </c>
      <c r="AA292" s="45" t="inlineStr">
        <is>
          <t>ASTM A108 12L14</t>
        </is>
      </c>
      <c r="AB292" s="45" t="inlineStr">
        <is>
          <t>Trivalent Cr3 Zinc</t>
        </is>
      </c>
      <c r="AC292" s="45" t="inlineStr">
        <is>
          <t>ASTM B633 Type V/VI</t>
        </is>
      </c>
      <c r="AD292" s="46" t="n">
        <v>2000</v>
      </c>
      <c r="AE292" s="46" t="inlineStr">
        <is>
          <t>generic SAE table @ dash -24 (governing end)</t>
        </is>
      </c>
      <c r="AF292" s="46" t="n">
        <v>-65</v>
      </c>
      <c r="AG292" s="46" t="n">
        <v>400</v>
      </c>
      <c r="AH292" s="37" t="inlineStr">
        <is>
          <t>Ham-Let + hoseandfittings (pressure); Parker Cat.4300 (material); ASTM B633 (finish); see StandardsData</t>
        </is>
      </c>
    </row>
    <row r="293" ht="15" customHeight="1" s="35">
      <c r="A293" s="37" t="inlineStr">
        <is>
          <t>2501-32-32-FG</t>
        </is>
      </c>
      <c r="B293" s="37" t="inlineStr">
        <is>
          <t>2501-32-32-FG</t>
        </is>
      </c>
      <c r="C293" s="37" t="inlineStr">
        <is>
          <t>2501</t>
        </is>
      </c>
      <c r="D293" s="37" t="n">
        <v>118</v>
      </c>
      <c r="E293" s="37" t="inlineStr">
        <is>
          <t>90 deg</t>
        </is>
      </c>
      <c r="F293" s="37" t="inlineStr">
        <is>
          <t>90 deg Male Elbow, 2 1/2-12 x 2-11 1/2</t>
        </is>
      </c>
      <c r="G293" s="37" t="inlineStr">
        <is>
          <t>2-11 1/2</t>
        </is>
      </c>
      <c r="H293" s="37" t="inlineStr">
        <is>
          <t>2 1/2-12</t>
        </is>
      </c>
      <c r="I293" s="37" t="inlineStr">
        <is>
          <t>2</t>
        </is>
      </c>
      <c r="J293" s="37" t="inlineStr">
        <is>
          <t>ASME B1.20.3</t>
        </is>
      </c>
      <c r="K293" s="37" t="inlineStr">
        <is>
          <t>SAE J514-1</t>
        </is>
      </c>
      <c r="L293" s="37" t="n">
        <v>3.06</v>
      </c>
      <c r="M293" s="37" t="n">
        <v>3</v>
      </c>
      <c r="N293" s="37" t="n">
        <v>2.5</v>
      </c>
      <c r="O293" s="37" t="n">
        <v>1.78</v>
      </c>
      <c r="P293" s="37" t="n">
        <v>1.938</v>
      </c>
      <c r="Q293" s="37" t="n"/>
      <c r="R293" s="44" t="n"/>
      <c r="S293" s="45" t="n">
        <v>2.5</v>
      </c>
      <c r="T293" s="37" t="n">
        <v>90</v>
      </c>
      <c r="U293" s="37" t="inlineStr">
        <is>
          <t>VERIFIED</t>
        </is>
      </c>
      <c r="V293" s="37" t="inlineStr">
        <is>
          <t>RESOLVED 2-1: D1 drill=1.938 (MS51504+Brennan; Air-Way 1.86 outvoted). 2026-09-05 Brennan product-drawing tiebreak</t>
        </is>
      </c>
      <c r="W293" s="37" t="inlineStr">
        <is>
          <t>BUILD</t>
        </is>
      </c>
      <c r="X293" s="37" t="inlineStr">
        <is>
          <t>Dimensions verbatim from Air-Way, two reconciled passes. Hex/material/finish/pressure outstanding. | Single body hex 2 1/2 keyed to larger dash -32 (sources show hex follows larger end). | MS51504 DIVERGES on D1 -&gt; D1: AW=1.86 vs MS=1.938. Blocked pending decision.</t>
        </is>
      </c>
      <c r="Z293" s="45" t="inlineStr">
        <is>
          <t>Carbon Steel</t>
        </is>
      </c>
      <c r="AA293" s="45" t="inlineStr">
        <is>
          <t>ASTM A108 12L14</t>
        </is>
      </c>
      <c r="AB293" s="45" t="inlineStr">
        <is>
          <t>Trivalent Cr3 Zinc</t>
        </is>
      </c>
      <c r="AC293" s="45" t="inlineStr">
        <is>
          <t>ASTM B633 Type V/VI</t>
        </is>
      </c>
      <c r="AD293" s="46" t="n">
        <v>1500</v>
      </c>
      <c r="AE293" s="46" t="inlineStr">
        <is>
          <t>generic SAE table @ dash -32 (governing end)</t>
        </is>
      </c>
      <c r="AF293" s="46" t="n">
        <v>-65</v>
      </c>
      <c r="AG293" s="46" t="n">
        <v>400</v>
      </c>
      <c r="AH293" s="37" t="inlineStr">
        <is>
          <t>Ham-Let + hoseandfittings (pressure); Parker Cat.4300 (material); ASTM B633 (finish); see StandardsData</t>
        </is>
      </c>
    </row>
  </sheetData>
  <autoFilter ref="A2:AH293"/>
  <mergeCells count="5">
    <mergeCell ref="Z1:AH1"/>
    <mergeCell ref="A1:F1"/>
    <mergeCell ref="G1:K1"/>
    <mergeCell ref="V1:Y1"/>
    <mergeCell ref="L1:U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G1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4" min="1" max="1"/>
    <col width="16" customWidth="1" style="34" min="2" max="2"/>
    <col width="14" customWidth="1" style="34" min="3" max="3"/>
    <col width="20" customWidth="1" style="34" min="4" max="4"/>
    <col width="16" customWidth="1" style="34" min="5" max="5"/>
  </cols>
  <sheetData>
    <row r="1" ht="15" customHeight="1" s="35">
      <c r="A1" s="39" t="inlineStr">
        <is>
          <t>Topology</t>
        </is>
      </c>
      <c r="B1" s="39" t="inlineStr">
        <is>
          <t>In CS Adapters</t>
        </is>
      </c>
      <c r="C1" s="39" t="inlineStr">
        <is>
          <t>In ORFS (FS)</t>
        </is>
      </c>
      <c r="D1" s="39" t="inlineStr">
        <is>
          <t>In Compression (C)</t>
        </is>
      </c>
      <c r="E1" s="39" t="inlineStr">
        <is>
          <t>Master status</t>
        </is>
      </c>
      <c r="F1" s="34" t="inlineStr">
        <is>
          <t>Build order</t>
        </is>
      </c>
      <c r="G1" s="34" t="inlineStr">
        <is>
          <t>Status note</t>
        </is>
      </c>
    </row>
    <row r="2" ht="15" customHeight="1" s="35">
      <c r="A2" s="34" t="inlineStr">
        <is>
          <t>0304</t>
        </is>
      </c>
      <c r="B2" s="34" t="inlineStr">
        <is>
          <t>Y</t>
        </is>
      </c>
      <c r="C2" s="34" t="inlineStr">
        <is>
          <t>Y</t>
        </is>
      </c>
      <c r="E2" s="34" t="inlineStr">
        <is>
          <t>BUILT</t>
        </is>
      </c>
      <c r="G2" s="34" t="inlineStr">
        <is>
          <t>BATCH 16 2026-10-19: NEW master 0304 (JIC cap nut 0304-C, 12 configurations; OMi dimension file values, internal geometry = the Brennan female JIC port (pilot 0304-C-08 STEP, shape only), ASSUMED; 0304-C-02 MISSING); dry-run build moved into 11_MASTERS (0 FAIL, 1 body per configuration); RUN_ME_batch16.txt; QA #170 | TABLED 2026-09-23 (AW s43, 9 rows, 0 MISSING; OMi feed 13 SKUs: 0 matched, 13 OMi-only of which 0 -FG near-matches)</t>
        </is>
      </c>
    </row>
    <row r="3" ht="15" customHeight="1" s="35">
      <c r="A3" s="34" t="inlineStr">
        <is>
          <t>0306</t>
        </is>
      </c>
      <c r="B3" s="34" t="inlineStr">
        <is>
          <t>Y</t>
        </is>
      </c>
      <c r="C3" s="34" t="inlineStr">
        <is>
          <t>Y</t>
        </is>
      </c>
      <c r="E3" s="34" t="inlineStr">
        <is>
          <t>BUILT</t>
        </is>
      </c>
      <c r="G3" s="34" t="inlineStr">
        <is>
          <t>BATCH 16 2026-10-19: NEW master 0306 (JIC bulkhead locknut, 11 configurations; OMi dimension file values, pilot 0306-08 STEP for shape, ASSUMED; 0306-02 MISSING); dry-run build moved into 11_MASTERS (0 FAIL, 1 body per configuration); RUN_ME_batch16.txt; QA #170 | TABLED 2026-09-23 (AW s3, 6 rows, 0 MISSING; OMi feed 12 SKUs: 0 matched, 12 OMi-only of which 0 -FG near-matches)</t>
        </is>
      </c>
    </row>
    <row r="4" ht="15" customHeight="1" s="35">
      <c r="A4" s="34" t="inlineStr">
        <is>
          <t>0318</t>
        </is>
      </c>
      <c r="B4" s="34" t="inlineStr">
        <is>
          <t>Y</t>
        </is>
      </c>
      <c r="C4" s="34" t="inlineStr">
        <is>
          <t>Y</t>
        </is>
      </c>
      <c r="D4" s="34" t="inlineStr">
        <is>
          <t>Y</t>
        </is>
      </c>
      <c r="E4" s="34" t="inlineStr">
        <is>
          <t>BUILT</t>
        </is>
      </c>
      <c r="G4" s="34" t="inlineStr">
        <is>
          <t>2026-10-20 BATCH 18 SHIPPED (QA #176): Air-Way first - 11 configuration(s) rebuilt with Air-Way values (were OMi website / Brennan); master replaced | BATCH 17 2026-10-20: 12 -&gt; 12 configurations; 11 old configuration(s) changed with their table cells (A19 / A20 / A21 OMi values); properties updated (DataStatus / DimSource / AxialSource); dry-run build moved into 11_MASTERS (0 FAIL, 1 body per configuration); RUN_ME_batch17.txt; QA #173 | BUILT 2026-09-25: overnight build accepted into 11_MASTERS (12 configs; report in 03_SCRIPTS; QA #154/#155) | MACRO READY 2026-09-24 (12 configs; Build_0318_MASTER.bas + DesignTable_0318_SW2.xlsx; QA #132) - not yet run | TABLED 2026-09-23 (AW s47, 13 rows, 0 MISSING; OMi feed 12 SKUs: 12 matched, 0 OMi-only of which 0 -FG near-matches)</t>
        </is>
      </c>
    </row>
    <row r="5" ht="15" customHeight="1" s="35">
      <c r="A5" s="34" t="inlineStr">
        <is>
          <t>0319</t>
        </is>
      </c>
      <c r="B5" s="34" t="inlineStr">
        <is>
          <t>Y</t>
        </is>
      </c>
      <c r="C5" s="34" t="inlineStr">
        <is>
          <t>Y</t>
        </is>
      </c>
      <c r="D5" s="34" t="inlineStr">
        <is>
          <t>Y</t>
        </is>
      </c>
      <c r="E5" s="34" t="inlineStr">
        <is>
          <t>TABLED</t>
        </is>
      </c>
      <c r="G5" s="34" t="inlineStr">
        <is>
          <t>TABLED 2026-09-23 (AW s48, 13 rows, 0 MISSING; OMi feed 12 SKUs: 12 matched, 0 OMi-only of which 0 -FG near-matches)</t>
        </is>
      </c>
    </row>
    <row r="6" ht="15" customHeight="1" s="35">
      <c r="A6" s="34" t="inlineStr">
        <is>
          <t>0403</t>
        </is>
      </c>
      <c r="E6" s="34" t="inlineStr">
        <is>
          <t>BUILT</t>
        </is>
      </c>
      <c r="G6" s="34" t="inlineStr">
        <is>
          <t>2026-10-20 BATCH 18 SHIPPED (QA #176): Air-Way first - 1 configuration(s) rebuilt with Air-Way values (were OMi website / Brennan); master replaced | BATCH 17 2026-10-20: 7 -&gt; 7 configurations; 1 old configuration(s) changed with their table cells (A19 / A20 / A21 OMi values); properties updated (DataStatus / DimSource / AxialSource); dry-run build moved into 11_MASTERS (0 FAIL, 1 body per configuration); RUN_ME_batch17.txt; QA #173 | BATCH 14 2026-10-02: Task A (OMi dimensions) accepted - the 2026-09-25 dry-run master moved 11_MASTERS_NEW -&gt; 11_MASTERS with its macro + SW2 (7 configs; 2 changed: socket dia); RUN_ME_batch14.txt; QA #159 | BUILT 2026-09-25: overnight build accepted into 11_MASTERS (7 configs; report in 03_SCRIPTS; QA #154/#155) | MACRO READY 2026-09-25 (batch 12): 7 configs = the 7 OMi 0403 parts built from the Air-Way UNPL rows (user decision; QA #151) - re-run Build_0403 | BUILT 2026-09-23 (33 configs; DesignTable_0403_SW2.xlsx; Build_0403_MASTER.bas clean report; QA #124) | TABLED 2026-09-23 (AW s49, 34 rows, 1 MISSING; OMi feed 7 SKUs: 0 matched, 7 OMi-only of which 7 -FG near-matches)</t>
        </is>
      </c>
    </row>
    <row r="7" ht="15" customHeight="1" s="35">
      <c r="A7" s="34" t="inlineStr">
        <is>
          <t>0618</t>
        </is>
      </c>
      <c r="B7" s="34" t="inlineStr">
        <is>
          <t>Y</t>
        </is>
      </c>
      <c r="E7" s="34" t="inlineStr">
        <is>
          <t>SKELETON-MISSING</t>
        </is>
      </c>
      <c r="G7" s="34" t="inlineStr">
        <is>
          <t>2026-09-23: no Air-Way carbon-steel series page; DesignTable_0618.xlsx holds the 1 OMi SKUs as MISSING rows (BUILD) - needs a dimensional source</t>
        </is>
      </c>
    </row>
    <row r="8" ht="15" customHeight="1" s="35">
      <c r="A8" s="34" t="inlineStr">
        <is>
          <t>0619</t>
        </is>
      </c>
      <c r="B8" s="34" t="inlineStr">
        <is>
          <t>Y</t>
        </is>
      </c>
      <c r="E8" s="34" t="inlineStr">
        <is>
          <t>SKELETON-MISSING</t>
        </is>
      </c>
      <c r="G8" s="34" t="inlineStr">
        <is>
          <t>2026-09-23: no Air-Way carbon-steel series page; DesignTable_0619.xlsx holds the 2 OMi SKUs as MISSING rows (BUILD) - needs a dimensional source</t>
        </is>
      </c>
    </row>
    <row r="9" ht="15" customHeight="1" s="35">
      <c r="A9" s="34" t="inlineStr">
        <is>
          <t>1404</t>
        </is>
      </c>
      <c r="B9" s="34" t="inlineStr">
        <is>
          <t>Y</t>
        </is>
      </c>
      <c r="E9" s="34" t="inlineStr">
        <is>
          <t>BUILT</t>
        </is>
      </c>
      <c r="G9" s="34" t="inlineStr">
        <is>
          <t>2026-10-20 BATCH 18 SHIPPED (QA #176): Air-Way first - 22 configuration(s) rebuilt with Air-Way values (were OMi website / Brennan); master replaced | BATCH 17 2026-10-20: 24 -&gt; 24 configurations; 22 old configuration(s) changed with their table cells (A19 / A20 / A21 OMi values); properties updated (DataStatus / DimSource / AxialSource); dry-run build moved into 11_MASTERS (0 FAIL, 1 body per configuration); RUN_ME_batch17.txt; QA #173 | BATCH 14 2026-10-02: Task A (OMi dimensions) accepted - the 2026-09-25 dry-run master moved 11_MASTERS_NEW -&gt; 11_MASTERS with its macro + SW2 (24 configs; 17 changed: stem-side bore = OMi - Q-31 still open, OMi 0.01-0.05 below Brennan); RUN_ME_batch14.txt; QA #159 | BUILT 2026-09-25: overnight build accepted into 11_MASTERS (24 configs; report in 03_SCRIPTS; QA #154/#155) | MACRO READY 2026-09-24 (4 configs, NPSM swivel -08 only; nut at Air-Way W per user decision; Build_1404_MASTER.bas; QA #138) - not yet run | TABLED 2026-09-23 (AW s55, 27 rows, 0 MISSING; OMi feed 24 SKUs: 24 matched, 0 OMi-only of which 0 -FG near-matches)</t>
        </is>
      </c>
    </row>
    <row r="10" ht="15" customHeight="1" s="35">
      <c r="A10" s="34" t="inlineStr">
        <is>
          <t>1405</t>
        </is>
      </c>
      <c r="B10" s="34" t="inlineStr">
        <is>
          <t>Y</t>
        </is>
      </c>
      <c r="E10" s="34" t="inlineStr">
        <is>
          <t>BUILT</t>
        </is>
      </c>
      <c r="G10" s="34" t="inlineStr">
        <is>
          <t>BATCH 17 2026-10-20: 15 -&gt; 17 configurations (+2); old configurations identical to the previous master; dry-run build moved into 11_MASTERS (0 FAIL, 1 body per configuration); RUN_ME_batch17.txt; QA #173 | BUILT 2026-09-25: overnight build accepted into 11_MASTERS (15 configs; report in 03_SCRIPTS; QA #154/#155) | MACRO READY 2026-09-24 (3 configs, NPSM swivel -08 only; nut at Air-Way W per user decision; Build_1405_MASTER.bas; QA #138) - not yet run | TABLED 2026-09-23 (AW s56, 17 rows, 0 MISSING; OMi feed 18 SKUs: 15 matched, 3 OMi-only of which 0 -FG near-matches)</t>
        </is>
      </c>
    </row>
    <row r="11" ht="15" customHeight="1" s="35">
      <c r="A11" s="34" t="inlineStr">
        <is>
          <t>1501</t>
        </is>
      </c>
      <c r="B11" s="34" t="inlineStr">
        <is>
          <t>Y</t>
        </is>
      </c>
      <c r="E11" s="34" t="inlineStr">
        <is>
          <t>BUILT</t>
        </is>
      </c>
      <c r="G11" s="34" t="inlineStr">
        <is>
          <t>BATCH 17 2026-10-20: 17 -&gt; 19 configurations (+2); old configurations identical to the previous master; dry-run build moved into 11_MASTERS (0 FAIL, 1 body per configuration); RUN_ME_batch17.txt; QA #173 | corner-puck fix (PUCK_INSET 0.0005, QA #171): re-shipped, every other configuration changes by the inset sliver only (BATCH 16 2026-10-19, QA #170) | BATCH 15 2026-10-08: 1 new config(s) (1501-02-04-FG) - OMi dimension values (catalog only paired the columns), ASSUMED; master moved from staging 11_MASTERS_NEW (dry-run build 2026-10-02, 0 FAIL, old configurations identical); RUN_ME_batch15.txt; QA #167 | BUILT 2026-09-25: overnight build accepted into 11_MASTERS (16 configs; report in 03_SCRIPTS; QA #154/#155) | MACRO READY 2026-09-24 (3 configs, NPSM swivel -08 only; Build_1501_MASTER.bas + DesignTable_1501_SW2.xlsx; QA #141) - not yet run | TABLED 2026-09-23 (AW s113, 48 rows, 1 MISSING; OMi feed 21 SKUs: 19 matched, 2 OMi-only of which 2 -FG near-matches)</t>
        </is>
      </c>
    </row>
    <row r="12" ht="15" customHeight="1" s="35">
      <c r="A12" s="34" t="inlineStr">
        <is>
          <t>1502</t>
        </is>
      </c>
      <c r="B12" s="34" t="inlineStr">
        <is>
          <t>Y</t>
        </is>
      </c>
      <c r="E12" s="34" t="inlineStr">
        <is>
          <t>BUILT</t>
        </is>
      </c>
      <c r="G12" s="34" t="inlineStr">
        <is>
          <t>BATCH 17 2026-10-20: 1 -&gt; 8 configurations (+7); old configurations identical to the previous master; dry-run build moved into 11_MASTERS (0 FAIL, 1 body per configuration); RUN_ME_batch17.txt; QA #173 | BATCH 16 2026-10-19: NEW master 1502 (1 configuration 1502-02-02-FG, Air-Way s114, ASSUMED); dry-run build moved into 11_MASTERS (0 FAIL, 1 body per configuration); RUN_ME_batch16.txt; QA #170 | TABLED 2026-09-23 (AW s114, 16 rows, 1 MISSING; OMi feed 10 SKUs: 2 matched, 8 OMi-only of which 7 -FG near-matches)</t>
        </is>
      </c>
    </row>
    <row r="13" ht="15" customHeight="1" s="35">
      <c r="A13" s="34" t="inlineStr">
        <is>
          <t>1503</t>
        </is>
      </c>
      <c r="B13" s="34" t="inlineStr">
        <is>
          <t>Y</t>
        </is>
      </c>
      <c r="E13" s="34" t="inlineStr">
        <is>
          <t>BUILT</t>
        </is>
      </c>
      <c r="G13" s="34" t="inlineStr">
        <is>
          <t>BATCH 17 2026-10-20: NEW master 1503 (19 configurations) - 45 deg angled legs (helical thread on the 135 deg leg, HelixThreadV; QA #174 fix); dry-run build moved into 11_MASTERS (0 FAIL, 1 body per configuration); RUN_ME_batch17.txt; QA #173 | UPDATE 2026-09-24: 1503-08-08-FG body passes (Brennan STEP); needs the angled-leg pipe thread helper (my work); 1503-12-08-FG needs a STEP (QA #146) | BLOCKED 2026-09-24: 45deg body - the corner puck reaches past the NPSM swivel body face into the neck; needs a Brennan 1503-08-08-FG STEP (QA #141) | TABLED 2026-09-23 (AW s143, 35 rows, 0 MISSING; OMi feed 19 SKUs: 14 matched, 5 OMi-only of which 5 -FG near-matches)</t>
        </is>
      </c>
    </row>
    <row r="14" ht="15" customHeight="1" s="35">
      <c r="A14" s="34" t="inlineStr">
        <is>
          <t>1504</t>
        </is>
      </c>
      <c r="B14" s="34" t="inlineStr">
        <is>
          <t>Y</t>
        </is>
      </c>
      <c r="E14" s="34" t="inlineStr">
        <is>
          <t>BUILT</t>
        </is>
      </c>
      <c r="G14" s="34" t="inlineStr">
        <is>
          <t>BATCH 17 2026-10-20: NEW master 1504 (3 configurations) - 45 deg angled legs (helical thread on the 135 deg leg, HelixThreadV; QA #174 fix); dry-run build moved into 11_MASTERS (0 FAIL, 1 body per configuration); RUN_ME_batch17.txt; QA #173 | TABLED 2026-09-23 (AW s144, 11 rows, 1 MISSING; OMi feed 5 SKUs: 1 matched, 4 OMi-only of which 2 -FG near-matches)</t>
        </is>
      </c>
    </row>
    <row r="15" ht="15" customHeight="1" s="35">
      <c r="A15" s="34" t="inlineStr">
        <is>
          <t>1601</t>
        </is>
      </c>
      <c r="B15" s="34" t="inlineStr">
        <is>
          <t>Y</t>
        </is>
      </c>
      <c r="E15" s="34" t="inlineStr">
        <is>
          <t>BUILT</t>
        </is>
      </c>
      <c r="G15" s="34" t="inlineStr">
        <is>
          <t>BATCH 17 2026-10-20: NEW master 1601 (7 configurations); dry-run build moved into 11_MASTERS (0 FAIL, 1 body per configuration); RUN_ME_batch17.txt; QA #173 | TABLED 2026-09-23 (AW s58, 9 rows, 0 MISSING; OMi feed 7 SKUs: 0 matched, 7 OMi-only of which 6 -FG near-matches)</t>
        </is>
      </c>
    </row>
    <row r="16" ht="15" customHeight="1" s="35">
      <c r="A16" s="34" t="inlineStr">
        <is>
          <t>1602</t>
        </is>
      </c>
      <c r="B16" s="34" t="inlineStr">
        <is>
          <t>Y</t>
        </is>
      </c>
      <c r="E16" s="34" t="inlineStr">
        <is>
          <t>BUILT</t>
        </is>
      </c>
      <c r="G16" s="34" t="inlineStr">
        <is>
          <t>BATCH 17 2026-10-20: NEW master 1602 (7 configurations); dry-run build moved into 11_MASTERS (0 FAIL, 1 body per configuration); RUN_ME_batch17.txt; QA #173 | TABLED 2026-09-23 (AW s59, 4 rows, 0 MISSING; OMi feed 7 SKUs: 0 matched, 7 OMi-only of which 3 -FG near-matches)</t>
        </is>
      </c>
    </row>
    <row r="17" ht="15" customHeight="1" s="35">
      <c r="A17" s="34" t="inlineStr">
        <is>
          <t>1603</t>
        </is>
      </c>
      <c r="B17" s="34" t="inlineStr">
        <is>
          <t>Y</t>
        </is>
      </c>
      <c r="E17" s="34" t="inlineStr">
        <is>
          <t>BUILT</t>
        </is>
      </c>
      <c r="G17" s="34" t="inlineStr">
        <is>
          <t>2026-10-20 BATCH 18 SHIPPED (QA #176): A14 1603-08-08-08-FG added (bores 0.450 measured on the Brennan STEP); master replaced | BATCH 17 2026-10-20: NEW master 1603 (5 configurations); dry-run build moved into 11_MASTERS (0 FAIL, 1 body per configuration); RUN_ME_batch17.txt; QA #173 | TABLED 2026-09-23 (AW s60, 7 rows, 0 MISSING; OMi feed 6 SKUs: 0 matched, 6 OMi-only of which 6 -FG near-matches)</t>
        </is>
      </c>
    </row>
    <row r="18" ht="15" customHeight="1" s="35">
      <c r="A18" s="34" t="inlineStr">
        <is>
          <t>1700</t>
        </is>
      </c>
      <c r="C18" s="34" t="inlineStr">
        <is>
          <t>Y</t>
        </is>
      </c>
      <c r="E18" s="34" t="inlineStr">
        <is>
          <t>BUILT</t>
        </is>
      </c>
      <c r="G18" s="34" t="inlineStr">
        <is>
          <t>BUILT 2026-09-25: overnight build accepted into 11_MASTERS (10 configs; report in 03_SCRIPTS; QA #154/#155) | MACRO READY 2026-09-24 (5 configs, flange -08/-12/-24; built to Air-Way L28 + hex C per user decision; Build_1700_MASTER.bas; QA #138) - not yet run | TABLED 2026-09-23 (AW s61, 13 rows, 0 MISSING; OMi feed 13 SKUs: 10 matched, 3 OMi-only of which 0 -FG near-matches)</t>
        </is>
      </c>
    </row>
    <row r="19" ht="15" customHeight="1" s="35">
      <c r="A19" s="34" t="inlineStr">
        <is>
          <t>1703</t>
        </is>
      </c>
      <c r="E19" s="34" t="inlineStr">
        <is>
          <t>BUILT</t>
        </is>
      </c>
      <c r="G19" s="34" t="inlineStr">
        <is>
          <t>2026-10-20 BATCH 18 SHIPPED (QA #176/#177): NEW master - held root fixed (45 deg HEX2 direction (HexArmVS)) | BATCH 17 2026-10-20: HELD (QA #175) - HEX2 extrudes the wrong way at -24; rows stay in the review table | TABLED 2026-09-23 (AW s146, 1 rows, 0 MISSING; OMi feed 19 SKUs: 0 matched, 19 OMi-only of which 1 -FG near-matches)</t>
        </is>
      </c>
    </row>
    <row r="20" ht="15" customHeight="1" s="35">
      <c r="A20" s="34" t="inlineStr">
        <is>
          <t>1704</t>
        </is>
      </c>
      <c r="C20" s="34" t="inlineStr">
        <is>
          <t>Y</t>
        </is>
      </c>
      <c r="E20" s="34" t="inlineStr">
        <is>
          <t>BUILT</t>
        </is>
      </c>
      <c r="G20" s="34" t="inlineStr">
        <is>
          <t>BATCH 17 2026-10-20: NEW master 1704 (1 configurations); dry-run build moved into 11_MASTERS (0 FAIL, 1 body per configuration); RUN_ME_batch17.txt; QA #173 | TABLED 2026-09-23 (AW s116, 2 rows, 0 MISSING; OMi feed 25 SKUs: 0 matched, 25 OMi-only of which 2 -FG near-matches)</t>
        </is>
      </c>
    </row>
    <row r="21" ht="15" customHeight="1" s="35">
      <c r="A21" s="34" t="inlineStr">
        <is>
          <t>1724</t>
        </is>
      </c>
      <c r="E21" s="34" t="inlineStr">
        <is>
          <t>BUILT</t>
        </is>
      </c>
      <c r="G21" s="34" t="inlineStr">
        <is>
          <t>BATCH 17 2026-10-20: NEW master 1724 (1 configurations); dry-run build moved into 11_MASTERS (0 FAIL, 1 body per configuration); RUN_ME_batch17.txt; QA #173 | 2026-09-23: no Air-Way carbon-steel series page; DesignTable_1724.xlsx holds the 7 OMi SKUs as MISSING rows (BUILD) - needs a dimensional source</t>
        </is>
      </c>
    </row>
    <row r="22" ht="15" customHeight="1" s="35">
      <c r="A22" s="34" t="inlineStr">
        <is>
          <t>1800</t>
        </is>
      </c>
      <c r="C22" s="34" t="inlineStr">
        <is>
          <t>Y</t>
        </is>
      </c>
      <c r="E22" s="34" t="inlineStr">
        <is>
          <t>BUILT</t>
        </is>
      </c>
      <c r="G22" s="34" t="inlineStr">
        <is>
          <t>2026-10-20 BATCH 18 SHIPPED (QA #176/#177): NEW master - held root fixed (FLATS rectangle relations (FlatsCut)) | BATCH 17 2026-10-20: HELD (QA #175) - FLATS sketch not fully defined in SolidWorks; rows stay in the review table | 2026-09-23: no Air-Way carbon-steel series page; DesignTable_1800.xlsx holds the 13 OMi SKUs as MISSING rows (BUILD) - needs a dimensional source</t>
        </is>
      </c>
    </row>
    <row r="23" ht="15" customHeight="1" s="35">
      <c r="A23" s="34" t="inlineStr">
        <is>
          <t>1803</t>
        </is>
      </c>
      <c r="E23" s="34" t="inlineStr">
        <is>
          <t>SKELETON-MISSING</t>
        </is>
      </c>
      <c r="G23" s="34" t="inlineStr">
        <is>
          <t>2026-09-23: no Air-Way carbon-steel series page; DesignTable_1803.xlsx holds the 19 OMi SKUs as MISSING rows (BUILD) - needs a dimensional source</t>
        </is>
      </c>
    </row>
    <row r="24" ht="15" customHeight="1" s="35">
      <c r="A24" s="34" t="inlineStr">
        <is>
          <t>1804</t>
        </is>
      </c>
      <c r="C24" s="34" t="inlineStr">
        <is>
          <t>Y</t>
        </is>
      </c>
      <c r="E24" s="34" t="inlineStr">
        <is>
          <t>BUILT</t>
        </is>
      </c>
      <c r="G24" s="34" t="inlineStr">
        <is>
          <t>BATCH 17 2026-10-20: NEW master 1804 (1 configurations); dry-run build moved into 11_MASTERS (0 FAIL, 1 body per configuration); RUN_ME_batch17.txt; QA #173 | 2026-09-23: no Air-Way carbon-steel series page; DesignTable_1804.xlsx holds the 22 OMi SKUs as MISSING rows (BUILD) - needs a dimensional source</t>
        </is>
      </c>
    </row>
    <row r="25" ht="15" customHeight="1" s="35">
      <c r="A25" s="34" t="inlineStr">
        <is>
          <t>1824</t>
        </is>
      </c>
      <c r="E25" s="34" t="inlineStr">
        <is>
          <t>BUILT</t>
        </is>
      </c>
      <c r="G25" s="34" t="inlineStr">
        <is>
          <t>BATCH 17 2026-10-20: NEW master 1824 (1 configurations); dry-run build moved into 11_MASTERS (0 FAIL, 1 body per configuration); RUN_ME_batch17.txt; QA #173 | 2026-09-23: no Air-Way carbon-steel series page; DesignTable_1824.xlsx holds the 6 OMi SKUs as MISSING rows (BUILD) - needs a dimensional source</t>
        </is>
      </c>
    </row>
    <row r="26" ht="15" customHeight="1" s="35">
      <c r="A26" s="34" t="inlineStr">
        <is>
          <t>1901</t>
        </is>
      </c>
      <c r="E26" s="34" t="inlineStr">
        <is>
          <t>OUT OF SCOPE</t>
        </is>
      </c>
      <c r="G26" s="34" t="inlineStr">
        <is>
          <t>2026-09-23: OMi feed lists 10 SKUs, all -KIT (flange bolt/split-flange kits) -&gt; kits are out of scope per project rules; no table</t>
        </is>
      </c>
    </row>
    <row r="27" ht="15" customHeight="1" s="35">
      <c r="A27" s="34" t="inlineStr">
        <is>
          <t>1902</t>
        </is>
      </c>
      <c r="E27" s="34" t="inlineStr">
        <is>
          <t>OUT OF SCOPE</t>
        </is>
      </c>
      <c r="G27" s="34" t="inlineStr">
        <is>
          <t>2026-09-23: OMi feed lists 8 SKUs, all -KIT (flange bolt/split-flange kits) -&gt; kits are out of scope per project rules; no table</t>
        </is>
      </c>
    </row>
    <row r="28" ht="15" customHeight="1" s="35">
      <c r="A28" s="34" t="inlineStr">
        <is>
          <t>1927-61</t>
        </is>
      </c>
      <c r="E28" s="34" t="inlineStr">
        <is>
          <t>OUT OF SCOPE</t>
        </is>
      </c>
      <c r="G28" s="34" t="inlineStr">
        <is>
          <t>2026-09-23: OMi feed lists 12 SKUs, all -KIT (flange bolt/split-flange kits) -&gt; kits are out of scope per project rules; no table</t>
        </is>
      </c>
    </row>
    <row r="29" ht="15" customHeight="1" s="35">
      <c r="A29" s="34" t="inlineStr">
        <is>
          <t>1927-62</t>
        </is>
      </c>
      <c r="E29" s="34" t="inlineStr">
        <is>
          <t>OUT OF SCOPE</t>
        </is>
      </c>
      <c r="G29" s="34" t="inlineStr">
        <is>
          <t>2026-09-23: OMi feed lists 12 SKUs, all -KIT (flange bolt/split-flange kits) -&gt; kits are out of scope per project rules; no table</t>
        </is>
      </c>
    </row>
    <row r="30" ht="15" customHeight="1" s="35">
      <c r="A30" s="34" t="inlineStr">
        <is>
          <t>2402</t>
        </is>
      </c>
      <c r="D30" s="34" t="inlineStr">
        <is>
          <t>Y</t>
        </is>
      </c>
      <c r="E30" s="34" t="inlineStr">
        <is>
          <t>NOT STARTED</t>
        </is>
      </c>
      <c r="G30" s="34" t="inlineStr">
        <is>
          <t>2026-09-23: no Air-Way carbon-steel series AND not found in the cs-adapters/flange/braze feed crawl (2402 is C2402 compression-only, 6540/7202 are FS-only per cs_roots.txt, 6316 not seen) - nothing to table yet</t>
        </is>
      </c>
    </row>
    <row r="31" ht="15" customHeight="1" s="35">
      <c r="A31" s="34" t="inlineStr">
        <is>
          <t>2403</t>
        </is>
      </c>
      <c r="B31" s="34" t="inlineStr">
        <is>
          <t>Y</t>
        </is>
      </c>
      <c r="C31" s="34" t="inlineStr">
        <is>
          <t>Y</t>
        </is>
      </c>
      <c r="D31" s="34" t="inlineStr">
        <is>
          <t>Y</t>
        </is>
      </c>
      <c r="E31" s="63" t="inlineStr">
        <is>
          <t>BUILT</t>
        </is>
      </c>
      <c r="F31" s="34" t="n">
        <v>1</v>
      </c>
      <c r="G31" s="34" t="inlineStr">
        <is>
          <t>BATCH 17 2026-10-20: 34 -&gt; 40 configurations (+6); old configurations identical to the previous master; dry-run build moved into 11_MASTERS (0 FAIL, 1 body per configuration); RUN_ME_batch17.txt; QA #173 | BATCH 14 2026-10-02: now GENERATED (gen_straight2 SPEC 2403, 2403-LH folded in as rows) and built for real from its tier-1 macro (Claude, SolidWorks MCP, user-approved); 34 configs (49 -&gt; 34: the 15 DROP configurations removed, user Q-SPECS-1 yes), the 34 with the old volume; 2403-04-02 / -10-04 / -16-10 / -24-16 / -LH-24-24 wait for Q-SPECS-5, 2403-06-02 has no source; RUN_ME_batch14.txt; QA #160-#162 | BUILT 2026-09-16 (49 configs incl. 2403-LH folded in; DesignTable_2403_SW2.xlsx; 32-24 reducer bores verified 1.78/1.31); rebuilt 2026-09-16 on SP3 with radius dims | scope vs OMi feed 2026-09-23: 34 BUILD / 15 DROP / 6 OMi-only (0 -FG near) of 40 OMi SKUs</t>
        </is>
      </c>
    </row>
    <row r="32" ht="15" customHeight="1" s="35">
      <c r="A32" s="34" t="inlineStr">
        <is>
          <t>2404</t>
        </is>
      </c>
      <c r="B32" s="34" t="inlineStr">
        <is>
          <t>Y</t>
        </is>
      </c>
      <c r="C32" s="34" t="inlineStr">
        <is>
          <t>Y</t>
        </is>
      </c>
      <c r="D32" s="34" t="inlineStr">
        <is>
          <t>Y</t>
        </is>
      </c>
      <c r="E32" s="63" t="inlineStr">
        <is>
          <t>BUILT</t>
        </is>
      </c>
      <c r="G32" s="34" t="inlineStr">
        <is>
          <t>2026-10-20 BATCH 18 SHIPPED (QA #176): Air-Way first - 2 configuration(s) rebuilt with Air-Way values (were OMi website / Brennan); master replaced | BATCH 17 2026-10-20: 57 -&gt; 59 configurations (+2); old configurations identical to the previous master; dry-run build moved into 11_MASTERS (0 FAIL, 1 body per configuration); RUN_ME_batch17.txt; QA #173 | BATCH 16 2026-10-19: 2404 generated (57 configurations) replaces the hand-built master: two bores (user 2026-10-09, step at the hex mid-plane), 2404-L folded (x5), 4 released rows; 24 kept rows identical to the tier-1 dry run; 2404-32-48 / -40-40 still wait for pipe-end lengths; dry-run build moved into 11_MASTERS (0 FAIL, 1 body per configuration); RUN_ME_batch16.txt; QA #170 | 2026-09-25: fold 2404-L into this master approved (user) - waiting for Brennan 2404-L-08-08 (where the extra length goes; QA #150) | BUILT (54 configs; -L/-LL rows not yet folded in) | scope vs OMi feed 2026-09-23: 59 BUILD / 10 DROP / 1 OMi-only (0 -FG near) of 60 OMi SKUs</t>
        </is>
      </c>
    </row>
    <row r="33" ht="15" customHeight="1" s="35">
      <c r="A33" s="34" t="inlineStr">
        <is>
          <t>2405</t>
        </is>
      </c>
      <c r="B33" s="34" t="inlineStr">
        <is>
          <t>Y</t>
        </is>
      </c>
      <c r="D33" s="34" t="inlineStr">
        <is>
          <t>Y</t>
        </is>
      </c>
      <c r="E33" s="62" t="inlineStr">
        <is>
          <t>BUILT</t>
        </is>
      </c>
      <c r="F33" s="34" t="n">
        <v>2</v>
      </c>
      <c r="G33" s="34" t="inlineStr">
        <is>
          <t>BATCH 17 2026-10-20: 28 -&gt; 30 configurations (+2); old configurations identical to the previous master; dry-run build moved into 11_MASTERS (0 FAIL, 1 body per configuration); RUN_ME_batch17.txt; QA #173 | BATCH 14 2026-10-02: now GENERATED (gen_straight2 SPEC 2405) and built for real from its tier-1 macro (Claude, SolidWorks MCP, user-approved); 28 configs (32 -&gt; 28: the 4 DROP configurations removed, user Q-SPECS-1 yes), the 28 with the old volume; 2405-10-06 / -14-12 wait for Q-SPECS-5; RUN_ME_batch14.txt; QA #160-#162 | BUILT 2026-09-16 by macro (32 configs; NPTF helix End A; SP3 radius dims) | scope vs OMi feed 2026-09-23: 28 BUILD / 4 DROP / 2 OMi-only (0 -FG near) of 30 OMi SKUs</t>
        </is>
      </c>
    </row>
    <row r="34" ht="15" customHeight="1" s="35">
      <c r="A34" s="34" t="inlineStr">
        <is>
          <t>2406</t>
        </is>
      </c>
      <c r="B34" s="34" t="inlineStr">
        <is>
          <t>Y</t>
        </is>
      </c>
      <c r="C34" s="34" t="inlineStr">
        <is>
          <t>Y</t>
        </is>
      </c>
      <c r="E34" s="62" t="inlineStr">
        <is>
          <t>BUILT</t>
        </is>
      </c>
      <c r="G34" s="34" t="inlineStr">
        <is>
          <t>BATCH 17 2026-10-20: 40 -&gt; 51 configurations (+11); old configurations identical to the previous master; dry-run build moved into 11_MASTERS (0 FAIL, 1 body per configuration); RUN_ME_batch17.txt; QA #173 | BUILT 2026-09-25: overnight build accepted into 11_MASTERS (40 configs; report in 03_SCRIPTS; QA #154/#155) | MACRO READY 2026-09-24 (5 configs, female -08 JIC port only; internal seat measured on the Brennan 2406-08-08 STEP; Build_2406_MASTER.bas + DesignTable_2406_SW2.xlsx; QA #136) - not yet run | internal seat open | scope vs OMi feed 2026-09-23: 41 BUILD / 8 DROP / 10 OMi-only (0 -FG near) of 51 OMi SKUs</t>
        </is>
      </c>
    </row>
    <row r="35" ht="15" customHeight="1" s="35">
      <c r="A35" s="34" t="inlineStr">
        <is>
          <t>2408</t>
        </is>
      </c>
      <c r="B35" s="34" t="inlineStr">
        <is>
          <t>Y</t>
        </is>
      </c>
      <c r="C35" s="34" t="inlineStr">
        <is>
          <t>Y</t>
        </is>
      </c>
      <c r="E35" s="62" t="inlineStr">
        <is>
          <t>BUILT</t>
        </is>
      </c>
      <c r="G35" s="34" t="inlineStr">
        <is>
          <t>BUILT 2026-09-25: overnight build accepted into 11_MASTERS (15 configs; report in 03_SCRIPTS; QA #154/#155) | MACRO READY 2026-09-24 (15 configs; Build_2408_MASTER.bas + DesignTable_2408_SW2.xlsx; QA #132) - not yet run | 9/16 rows MISSING | scope vs OMi feed 2026-09-23: 16 BUILD / 0 DROP / 0 OMi-only (0 -FG near) of 13 OMi SKUs</t>
        </is>
      </c>
    </row>
    <row r="36" ht="15" customHeight="1" s="35">
      <c r="A36" s="34" t="inlineStr">
        <is>
          <t>2500</t>
        </is>
      </c>
      <c r="B36" s="34" t="inlineStr">
        <is>
          <t>Y</t>
        </is>
      </c>
      <c r="C36" s="34" t="inlineStr">
        <is>
          <t>Y</t>
        </is>
      </c>
      <c r="D36" s="34" t="inlineStr">
        <is>
          <t>Y</t>
        </is>
      </c>
      <c r="E36" s="62" t="inlineStr">
        <is>
          <t>BUILT</t>
        </is>
      </c>
      <c r="F36" s="34" t="n">
        <v>3</v>
      </c>
      <c r="G36" s="34" t="inlineStr">
        <is>
          <t>BUILT 2026-09-16 by macro (27 configs; corner sphere assumption; SP3 radius dims) | scope vs OMi feed 2026-09-23: 11 BUILD / 16 DROP / 4 OMi-only (4 -FG near) of 15 OMi SKUs</t>
        </is>
      </c>
    </row>
    <row r="37" ht="15" customHeight="1" s="35">
      <c r="A37" s="34" t="inlineStr">
        <is>
          <t>2501</t>
        </is>
      </c>
      <c r="B37" s="34" t="inlineStr">
        <is>
          <t>Y</t>
        </is>
      </c>
      <c r="C37" s="34" t="inlineStr">
        <is>
          <t>Y</t>
        </is>
      </c>
      <c r="D37" s="34" t="inlineStr">
        <is>
          <t>Y</t>
        </is>
      </c>
      <c r="E37" s="62" t="inlineStr">
        <is>
          <t>BUILT</t>
        </is>
      </c>
      <c r="G37" s="34" t="inlineStr">
        <is>
          <t>2026-10-20 BATCH 18 SHIPPED (QA #176): Air-Way first - 4 configuration(s) rebuilt with Air-Way values (were OMi website / Brennan); master replaced | BATCH 17 2026-10-20: 48 -&gt; 56 configurations (+8); 2 old configuration(s) changed with their table cells (A19 / A20 / A21 OMi values); properties updated (DataStatus / DimSource / AxialSource); dry-run build moved into 11_MASTERS (0 FAIL, 1 body per configuration); RUN_ME_batch17.txt; QA #173 | corner-puck fix (PUCK_INSET 0.0005, QA #171): re-shipped, 2501-06-02-FG / -L-06-04-FG got their corner, every other configuration changes by the inset sliver only (BATCH 16 2026-10-19, QA #170) | BATCH 15 2026-10-08: 15 new config(s) (11 2501-xx-xx-FG + 2501-L-04-04 / -08-08 / -12-12 / -16-16-FG (2501-L folded))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(33 configs; +2501-32-32-FG, MISSING -&gt; ASSUMED: OMi settles the drill conflict; 32 identical); RUN_ME_batch14.txt; QA #159 | BUILT 2026-09-25: overnight build accepted into 11_MASTERS (32 configs; report in 03_SCRIPTS; QA #154/#155); regenerated macro + SW2 shipped (batch 13b, QA #156) | 2026-09-25: fold 2501-L into this master approved (user) - waiting for Brennan 2501-L-06-04-FG (QA #150) | MACRO READY 2026-09-24 (29 configs; Build_2501_MASTER.bas + DesignTable_2501_SW2.xlsx; QA #132) - not yet run | 2501, -L, -LL, -LLL | scope vs OMi feed 2026-09-23: 34 BUILD / 85 DROP / 22 OMi-only (20 -FG near) of 56 OMi SKUs</t>
        </is>
      </c>
    </row>
    <row r="38" ht="15" customHeight="1" s="35">
      <c r="A38" s="34" t="inlineStr">
        <is>
          <t>2502</t>
        </is>
      </c>
      <c r="B38" s="34" t="inlineStr">
        <is>
          <t>Y</t>
        </is>
      </c>
      <c r="D38" s="34" t="inlineStr">
        <is>
          <t>Y</t>
        </is>
      </c>
      <c r="E38" s="62" t="inlineStr">
        <is>
          <t>BUILT</t>
        </is>
      </c>
      <c r="F38" s="34" t="n">
        <v>4</v>
      </c>
      <c r="G38" s="34" t="inlineStr">
        <is>
          <t>BUILT 2026-09-16 by macro (29 configs; boss+JIC leg at x=N1; NPTF helix End A; SP3 radius dims; vertex-based angle placement) | scope vs OMi feed 2026-09-23: 8 BUILD / 21 DROP / 7 OMi-only (5 -FG near) of 15 OMi SKUs</t>
        </is>
      </c>
    </row>
    <row r="39" ht="15" customHeight="1" s="35">
      <c r="A39" s="34" t="inlineStr">
        <is>
          <t>2503</t>
        </is>
      </c>
      <c r="B39" s="34" t="inlineStr">
        <is>
          <t>Y</t>
        </is>
      </c>
      <c r="C39" s="34" t="inlineStr">
        <is>
          <t>Y</t>
        </is>
      </c>
      <c r="E39" s="62" t="inlineStr">
        <is>
          <t>BUILT</t>
        </is>
      </c>
      <c r="F39" s="34" t="n">
        <v>5</v>
      </c>
      <c r="G39" s="34" t="inlineStr">
        <is>
          <t>2026-10-20 BATCH 18 SHIPPED (QA #176): Air-Way first - 4 configuration(s) rebuilt with Air-Way values (were OMi website / Brennan); master replaced | BATCH 17 2026-10-20: 29 -&gt; 29 configurations; 3 old configuration(s) changed with their table cells (A19 / A20 / A21 OMi values); properties updated (DataStatus / DimSource / AxialSource); dry-run build moved into 11_MASTERS (0 FAIL, 1 body per configuration); RUN_ME_batch17.txt; QA #173 | corner-puck fix (PUCK_INSET 0.0005, QA #171): re-shipped, 2503-06-04-FG got its corner, every other configuration changes by the inset sliver only (BATCH 16 2026-10-19, QA #170) | BATCH 15 2026-10-08: 2 new config(s) (2503-20-24-FG, 2503-24-20-FG)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(27 configs; 1 changed: bore); RUN_ME_batch14.txt; QA #159 | BUILT 2026-09-25: overnight build accepted into 11_MASTERS (27 configs; report in 03_SCRIPTS; QA #154/#155) | MACRO READY 2026-09-24 (27 configs; Build_2503_MASTER.bas + DesignTable_2503_SW2.xlsx; QA #133) - not yet run | scope vs OMi feed 2026-09-23: 27 BUILD / 33 DROP / 2 OMi-only (1 -FG near) of 29 OMi SKUs</t>
        </is>
      </c>
    </row>
    <row r="40" ht="15" customHeight="1" s="35">
      <c r="A40" s="34" t="inlineStr">
        <is>
          <t>2504</t>
        </is>
      </c>
      <c r="B40" s="34" t="inlineStr">
        <is>
          <t>Y</t>
        </is>
      </c>
      <c r="E40" s="34" t="inlineStr">
        <is>
          <t>BUILT</t>
        </is>
      </c>
      <c r="G40" s="34" t="inlineStr">
        <is>
          <t>BATCH 17 2026-10-20: 4 -&gt; 5 configurations (+1); old configurations identical to the previous master; dry-run build moved into 11_MASTERS (0 FAIL, 1 body per configuration); RUN_ME_batch17.txt; QA #173 | BATCH 16 2026-10-19: NEW master 2504 (4 configurations from the OMi dimension file, ASSUMED); corner-puck fix (PUCK_INSET 0.0005, QA #171): re-shipped, 2504-04-04 / -06-06-FG built with their corner, every other configuration changes by the inset sliver only; dry-run build moved into 11_MASTERS (0 FAIL, 1 body per configuration); RUN_ME_batch16.txt; QA #170 | TABLED 2026-09-23 (AW s148, 7 rows, 0 MISSING; OMi feed 4 SKUs: 0 matched, 4 OMi-only of which 4 -FG near-matches)</t>
        </is>
      </c>
    </row>
    <row r="41" ht="15" customHeight="1" s="35">
      <c r="A41" s="34" t="inlineStr">
        <is>
          <t>2505</t>
        </is>
      </c>
      <c r="B41" s="34" t="inlineStr">
        <is>
          <t>Y</t>
        </is>
      </c>
      <c r="E41" s="34" t="inlineStr">
        <is>
          <t>BUILT</t>
        </is>
      </c>
      <c r="G41" s="34" t="inlineStr">
        <is>
          <t>BATCH 17 2026-10-20: 1 -&gt; 2 configurations (+1); old configurations identical to the previous master; dry-run build moved into 11_MASTERS (0 FAIL, 1 body per configuration); RUN_ME_batch17.txt; QA #173 | BATCH 16 2026-10-19: NEW master 2505 (2505-12-12-FG, OMi dimension file, end-library female pipe port, ASSUMED); 2505-08-08-FG / -16-16-FG BLOCKED (library port deeper than the short leg); dry-run build moved into 11_MASTERS (0 FAIL, 1 body per configuration); RUN_ME_batch16.txt; QA #170 | TABLED 2026-09-23 (AW s149, 6 rows, 0 MISSING; OMi feed 3 SKUs: 0 matched, 3 OMi-only of which 3 -FG near-matches)</t>
        </is>
      </c>
    </row>
    <row r="42" ht="15" customHeight="1" s="35">
      <c r="A42" s="34" t="inlineStr">
        <is>
          <t>2601</t>
        </is>
      </c>
      <c r="B42" s="34" t="inlineStr">
        <is>
          <t>Y</t>
        </is>
      </c>
      <c r="C42" s="34" t="inlineStr">
        <is>
          <t>Y</t>
        </is>
      </c>
      <c r="D42" s="34" t="inlineStr">
        <is>
          <t>Y</t>
        </is>
      </c>
      <c r="E42" s="62" t="inlineStr">
        <is>
          <t>BUILT</t>
        </is>
      </c>
      <c r="G42" s="34" t="inlineStr">
        <is>
          <t>BATCH 17 2026-10-20: 10 -&gt; 10 configurations; old configurations identical to the previous master; properties updated (DataStatus / DimSource / AxialSource); dry-run build moved into 11_MASTERS (0 FAIL, 1 body per configuration); RUN_ME_batch17.txt; QA #173 | BATCH 15 2026-10-08: 1 new config(s) (2601-24-24-24-FG) - OMi dimension values (catalog only paired the columns), ASSUMED; master moved from staging 11_MASTERS_NEW (dry-run build 2026-10-02, 0 FAIL, old configurations identical to the user-built master (read-only sweep 2026-10-08)); RUN_ME_batch15.txt; QA #167 | BUILT 2026-09-24 (9 configs; gen_tee.py forged-body pattern; clean report + all-config sweep; QA #127/#131) | scope vs OMi feed 2026-09-23: 9 BUILD / 20 DROP / 1 OMi-only (1 -FG near) of 10 OMi SKUs</t>
        </is>
      </c>
    </row>
    <row r="43" ht="15" customHeight="1" s="35">
      <c r="A43" s="34" t="inlineStr">
        <is>
          <t>2602</t>
        </is>
      </c>
      <c r="B43" s="34" t="inlineStr">
        <is>
          <t>Y</t>
        </is>
      </c>
      <c r="E43" s="62" t="inlineStr">
        <is>
          <t>BUILT</t>
        </is>
      </c>
      <c r="G43" s="34" t="inlineStr">
        <is>
          <t>BATCH 17 2026-10-20: 5 -&gt; 6 configurations (+1); old configurations identical to the previous master; dry-run build moved into 11_MASTERS (0 FAIL, 1 body per configuration); RUN_ME_batch17.txt; QA #173 | COLLAR UPDATE 2026-09-24: female pipe ends now end in a round collar (Brennan 2502-06-04-FG; QA #144) - re-run Build_2602 | BUILT 2026-09-24 (5 configs; gen_tee.py forged-body pattern; re-run 4:45 PM clean: sweep 5/5, saved; QA #142) | scope vs OMi feed 2026-09-23: 5 BUILD / 15 DROP / 1 OMi-only (1 -FG near) of 6 OMi SKUs</t>
        </is>
      </c>
    </row>
    <row r="44" ht="15" customHeight="1" s="35">
      <c r="A44" s="34" t="inlineStr">
        <is>
          <t>2603</t>
        </is>
      </c>
      <c r="B44" s="34" t="inlineStr">
        <is>
          <t>Y</t>
        </is>
      </c>
      <c r="C44" s="34" t="inlineStr">
        <is>
          <t>Y</t>
        </is>
      </c>
      <c r="E44" s="62" t="inlineStr">
        <is>
          <t>BUILT</t>
        </is>
      </c>
      <c r="F44" s="34" t="n">
        <v>6</v>
      </c>
      <c r="G44" s="34" t="inlineStr">
        <is>
          <t>BUILT 2026-09-16 by macro (41 configs; three legs; SP3 radius dims) | scope vs OMi feed 2026-09-23: 11 BUILD / 30 DROP / 1 OMi-only (0 -FG near) of 12 OMi SKUs</t>
        </is>
      </c>
    </row>
    <row r="45" ht="15" customHeight="1" s="35">
      <c r="A45" s="34" t="inlineStr">
        <is>
          <t>2605</t>
        </is>
      </c>
      <c r="B45" s="34" t="inlineStr">
        <is>
          <t>Y</t>
        </is>
      </c>
      <c r="E45" s="34" t="inlineStr">
        <is>
          <t>BUILT</t>
        </is>
      </c>
      <c r="G45" s="34" t="inlineStr">
        <is>
          <t>2026-10-20 BATCH 18 SHIPPED (QA #176): Air-Way first - 1 configuration(s) rebuilt with Air-Way values (were OMi website / Brennan); master replaced | BATCH 17 2026-10-20: 7 -&gt; 7 configurations; 1 old configuration(s) changed with their table cells (A19 / A20 / A21 OMi values); properties updated (DataStatus / DimSource / AxialSource); dry-run build moved into 11_MASTERS (0 FAIL, 1 body per configuration); RUN_ME_batch17.txt; QA #173 | BUILT 2026-09-24 (7 configs; gen_tee.py forged-body pattern; re-run 4:46 PM clean: sweep 7/7, saved; QA #142) | TABLED 2026-09-23 (AW s173, 31 rows, 1 MISSING; OMi feed 7 SKUs: 7 matched, 0 OMi-only of which 0 -FG near-matches)</t>
        </is>
      </c>
    </row>
    <row r="46" ht="15" customHeight="1" s="35">
      <c r="A46" s="34" t="inlineStr">
        <is>
          <t>2606</t>
        </is>
      </c>
      <c r="B46" s="34" t="inlineStr">
        <is>
          <t>Y</t>
        </is>
      </c>
      <c r="E46" s="34" t="inlineStr">
        <is>
          <t>BUILT</t>
        </is>
      </c>
      <c r="G46" s="34" t="inlineStr">
        <is>
          <t>BATCH 16 2026-10-19: NEW master 2606 (5 configurations, JIC tee with end-library ports, ASSUMED); dry-run build moved into 11_MASTERS (0 FAIL, 1 body per configuration); RUN_ME_batch16.txt; QA #170 | TABLED 2026-09-23 (AW s174, 7 rows, 0 MISSING; OMi feed 5 SKUs: 0 matched, 5 OMi-only of which 4 -FG near-matches)</t>
        </is>
      </c>
    </row>
    <row r="47" ht="15" customHeight="1" s="35">
      <c r="A47" s="34" t="inlineStr">
        <is>
          <t>2609</t>
        </is>
      </c>
      <c r="B47" s="34" t="inlineStr">
        <is>
          <t>Y</t>
        </is>
      </c>
      <c r="E47" s="34" t="inlineStr">
        <is>
          <t>BUILT</t>
        </is>
      </c>
      <c r="G47" s="34" t="inlineStr">
        <is>
          <t>BATCH 16 2026-10-19: NEW master 2609 (2609-08-08-08-FG, new SPEC, ASSUMED); dry-run build moved into 11_MASTERS (0 FAIL, 1 body per configuration); RUN_ME_batch16.txt; QA #170 | TABLED 2026-09-23 (AW s177, 1 rows, 0 MISSING; OMi feed 1 SKUs: 0 matched, 1 OMi-only of which 0 -FG near-matches)</t>
        </is>
      </c>
    </row>
    <row r="48" ht="15" customHeight="1" s="35">
      <c r="A48" s="34" t="inlineStr">
        <is>
          <t>2611</t>
        </is>
      </c>
      <c r="B48" s="34" t="inlineStr">
        <is>
          <t>Y</t>
        </is>
      </c>
      <c r="E48" s="34" t="inlineStr">
        <is>
          <t>BUILT</t>
        </is>
      </c>
      <c r="G48" s="34" t="inlineStr">
        <is>
          <t>BATCH 17 2026-10-20: 2 -&gt; 3 configurations (+1); old configurations identical to the previous master; dry-run build moved into 11_MASTERS (0 FAIL, 1 body per configuration); RUN_ME_batch17.txt; QA #173 | BATCH 16 2026-10-19: NEW master 2611 (2 configurations, ASSUMED); dry-run build moved into 11_MASTERS (0 FAIL, 1 body per configuration); RUN_ME_batch16.txt; QA #170 | TABLED 2026-09-23 (AW s179, 5 rows, 0 MISSING; OMi feed 3 SKUs: 0 matched, 3 OMi-only of which 2 -FG near-matches)</t>
        </is>
      </c>
    </row>
    <row r="49" ht="15" customHeight="1" s="35">
      <c r="A49" s="34" t="inlineStr">
        <is>
          <t>2613</t>
        </is>
      </c>
      <c r="B49" s="34" t="inlineStr">
        <is>
          <t>Y</t>
        </is>
      </c>
      <c r="E49" s="34" t="inlineStr">
        <is>
          <t>TABLED</t>
        </is>
      </c>
      <c r="G49" s="34" t="inlineStr">
        <is>
          <t>TABLED 2026-09-23 (AW s181, 4 rows, 0 MISSING; OMi feed 0 SKUs: 0 matched, 0 OMi-only of which 0 -FG near-matches)</t>
        </is>
      </c>
    </row>
    <row r="50" ht="15" customHeight="1" s="35">
      <c r="A50" s="34" t="inlineStr">
        <is>
          <t>2650</t>
        </is>
      </c>
      <c r="B50" s="34" t="inlineStr">
        <is>
          <t>Y</t>
        </is>
      </c>
      <c r="E50" s="34" t="inlineStr">
        <is>
          <t>BUILT</t>
        </is>
      </c>
      <c r="G50" s="34" t="inlineStr">
        <is>
          <t>BATCH 17 2026-10-20: 4 -&gt; 5 configurations (+1); old configurations identical to the previous master; dry-run build moved into 11_MASTERS (0 FAIL, 1 body per configuration); RUN_ME_batch17.txt; QA #173 | BUILT 2026-09-24 (4 configs; gen_tee.py forged-body pattern; clean report + all-config sweep; QA #127/#131) | TABLED 2026-09-23 (AW s203, 13 rows, 1 MISSING; OMi feed 4 SKUs: 4 matched, 0 OMi-only of which 0 -FG near-matches)</t>
        </is>
      </c>
    </row>
    <row r="51" ht="15" customHeight="1" s="35">
      <c r="A51" s="34" t="inlineStr">
        <is>
          <t>2700</t>
        </is>
      </c>
      <c r="B51" s="34" t="inlineStr">
        <is>
          <t>Y</t>
        </is>
      </c>
      <c r="C51" s="34" t="inlineStr">
        <is>
          <t>Y</t>
        </is>
      </c>
      <c r="E51" s="62" t="inlineStr">
        <is>
          <t>BUILT</t>
        </is>
      </c>
      <c r="G51" s="34" t="inlineStr">
        <is>
          <t>BATCH 17 2026-10-20: 24 -&gt; 26 configurations (+2); old configurations identical to the previous master; dry-run build moved into 11_MASTERS (0 FAIL, 1 body per configuration); RUN_ME_batch17.txt; QA #173 | BUILT 2026-09-25: overnight build accepted into 11_MASTERS (24 configs; report in 03_SCRIPTS; QA #154/#155) | MACRO READY 2026-09-24 (24 configs; Build_2700_MASTER.bas + DesignTable_2700_SW2.xlsx; QA #133) (bulkhead thread item CLOSED by the Brennan 2705-08-08 STEP) - not yet run | bulkhead thread open | scope vs OMi feed 2026-09-23: 24 BUILD / 3 DROP / 10 OMi-only (0 -FG near) of 34 OMi SKUs</t>
        </is>
      </c>
    </row>
    <row r="52" ht="15" customHeight="1" s="35">
      <c r="A52" s="34" t="inlineStr">
        <is>
          <t>2701</t>
        </is>
      </c>
      <c r="B52" s="34" t="inlineStr">
        <is>
          <t>Y</t>
        </is>
      </c>
      <c r="C52" s="34" t="inlineStr">
        <is>
          <t>Y</t>
        </is>
      </c>
      <c r="E52" s="34" t="inlineStr">
        <is>
          <t>BUILT</t>
        </is>
      </c>
      <c r="G52" s="34" t="inlineStr">
        <is>
          <t>BATCH 17 2026-10-20: 15 -&gt; 18 configurations (+3); old configurations identical to the previous master; dry-run build moved into 11_MASTERS (0 FAIL, 1 body per configuration); RUN_ME_batch17.txt; QA #173 | corner-puck fix (PUCK_INSET 0.0005, QA #171): re-shipped, 2701-02-02 / -06-06 / -06-06-LN got their corner, every other configuration changes by the inset sliver only (BATCH 16 2026-10-19, QA #170) | BATCH 15 2026-10-08: 2 new config(s) (2701-02-02-FG, 2701-05-05-FG) - from their own Brennan STEPs (-FG rule), ASSUMED; master moved from staging 11_MASTERS_NEW (dry-run build 2026-10-02, 0 FAIL, old configurations identical); RUN_ME_batch15.txt; QA #167 | BUILT 2026-09-25: overnight build accepted into 11_MASTERS (13 configs; report in 03_SCRIPTS; QA #154/#155) | MACRO READY 2026-09-25 (batch 12): 13 configs (+ -06/-10/-12 and -LN with the collar flush with the hex flats; QA #152) | MACRO READY 2026-09-24 (7 configs; Build_2701_MASTER.bas; QA #134) - not yet run | TABLED 2026-09-23 (AW s123, 33 rows, 1 MISSING; OMi feed 15 SKUs: 13 matched, 2 OMi-only of which 0 -FG near-matches)</t>
        </is>
      </c>
    </row>
    <row r="53" ht="15" customHeight="1" s="35">
      <c r="A53" s="34" t="inlineStr">
        <is>
          <t>2702</t>
        </is>
      </c>
      <c r="B53" s="34" t="inlineStr">
        <is>
          <t>Y</t>
        </is>
      </c>
      <c r="C53" s="34" t="inlineStr">
        <is>
          <t>Y</t>
        </is>
      </c>
      <c r="E53" s="34" t="inlineStr">
        <is>
          <t>BUILT</t>
        </is>
      </c>
      <c r="G53" s="34" t="inlineStr">
        <is>
          <t>corner-puck fix (PUCK_INSET 0.0005, QA #171): re-shipped, 2702-06-06-FG / -LN got their corner, every other configuration changes by the inset sliver only (BATCH 16 2026-10-19, QA #170) | BATCH 14b 2026-10-02: accepted + BUILT (11 configs; -16 rows hex arm 0.001 short of the collar; +2702-20-20-FG from its Brennan STEP); RUN_ME_batch14b.txt; QA #165-#166 | MACRO READY 2026-09-24 (10 configs; Build_2702_MASTER.bas; QA #134) - not yet run | TABLED 2026-09-23 (AW s150, 29 rows, 0 MISSING; OMi feed 12 SKUs: 11 matched, 1 OMi-only of which 1 -FG near-matches)</t>
        </is>
      </c>
    </row>
    <row r="54" ht="15" customHeight="1" s="35">
      <c r="A54" s="34" t="inlineStr">
        <is>
          <t>2703</t>
        </is>
      </c>
      <c r="B54" s="34" t="inlineStr">
        <is>
          <t>Y</t>
        </is>
      </c>
      <c r="C54" s="34" t="inlineStr">
        <is>
          <t>Y</t>
        </is>
      </c>
      <c r="E54" s="34" t="inlineStr">
        <is>
          <t>BUILT</t>
        </is>
      </c>
      <c r="G54" s="34" t="inlineStr">
        <is>
          <t>BATCH 14b 2026-10-02: accepted + BUILT (12 configs; -16 rows hex arm 0.001 short of the collar; +2703-08-08-08-FG-LN thread 3/4-16); RUN_ME_batch14b.txt; QA #165-#166 | MACRO READY 2026-09-24 (11 configs; Build_2703_MASTER.bas; QA #134) - not yet run | TABLED 2026-09-23 (AW s182, 28 rows, 1 MISSING; OMi feed 12 SKUs: 12 matched, 0 OMi-only of which 0 -FG near-matches)</t>
        </is>
      </c>
    </row>
    <row r="55" ht="15" customHeight="1" s="35">
      <c r="A55" s="34" t="inlineStr">
        <is>
          <t>2704</t>
        </is>
      </c>
      <c r="B55" s="34" t="inlineStr">
        <is>
          <t>Y</t>
        </is>
      </c>
      <c r="C55" s="34" t="inlineStr">
        <is>
          <t>Y</t>
        </is>
      </c>
      <c r="E55" s="34" t="inlineStr">
        <is>
          <t>BUILT</t>
        </is>
      </c>
      <c r="G55" s="34" t="inlineStr">
        <is>
          <t>BUILT 2026-09-25: overnight build accepted into 11_MASTERS (12 configs; report in 03_SCRIPTS; QA #154/#155) | MACRO READY 2026-09-24 (12 configs; Build_2704_MASTER.bas; QA #134) - not yet run | TABLED 2026-09-23 (AW s183, 25 rows, 0 MISSING; OMi feed 12 SKUs: 12 matched, 0 OMi-only of which 0 -FG near-matches)</t>
        </is>
      </c>
    </row>
    <row r="56" ht="15" customHeight="1" s="35">
      <c r="A56" s="34" t="inlineStr">
        <is>
          <t>2705</t>
        </is>
      </c>
      <c r="B56" s="34" t="inlineStr">
        <is>
          <t>Y</t>
        </is>
      </c>
      <c r="E56" s="34" t="inlineStr">
        <is>
          <t>BUILT</t>
        </is>
      </c>
      <c r="G56" s="34" t="inlineStr">
        <is>
          <t>2026-10-20 BATCH 18 SHIPPED (QA #176): Air-Way first - 15 configuration(s) rebuilt with Air-Way values (were OMi website / Brennan); master replaced | BATCH 17 2026-10-20: 14 -&gt; 18 configurations (+4); old configurations identical to the previous master; properties updated (DataStatus / DimSource / AxialSource); dry-run build moved into 11_MASTERS (0 FAIL, 1 body per configuration); RUN_ME_batch17.txt; QA #173 | BATCH 14 2026-10-02: Task A (OMi dimensions) accepted - the 2026-09-25 dry-run master moved 11_MASTERS_NEW -&gt; 11_MASTERS with its macro + SW2 (14 configs; 12 changed: length, 1 hex); RUN_ME_batch14.txt; QA #159 | BUILT 2026-09-25: overnight build accepted into 11_MASTERS (14 configs; report in 03_SCRIPTS; QA #154/#155) | MACRO READY 2026-09-24 (14 configs; Build_2705_MASTER.bas + DesignTable_2705_SW2.xlsx; QA #133) - not yet run | TABLED 2026-09-23 (AW s73, 21 rows, 0 MISSING; OMi feed 17 SKUs: 14 matched, 3 OMi-only of which 0 -FG near-matches)</t>
        </is>
      </c>
    </row>
    <row r="57" ht="15" customHeight="1" s="35">
      <c r="A57" s="34" t="inlineStr">
        <is>
          <t>2706</t>
        </is>
      </c>
      <c r="B57" s="34" t="inlineStr">
        <is>
          <t>Y</t>
        </is>
      </c>
      <c r="E57" s="34" t="inlineStr">
        <is>
          <t>BUILT</t>
        </is>
      </c>
      <c r="G57" s="34" t="inlineStr">
        <is>
          <t>2026-10-20 BATCH 18 SHIPPED (QA #176): Air-Way first - 21 configuration(s) rebuilt with Air-Way values (were OMi website / Brennan); master replaced | BATCH 17 2026-10-20: 23 -&gt; 25 configurations (+2); old configurations identical to the previous master; properties updated (DataStatus / DimSource / AxialSource); dry-run build moved into 11_MASTERS (0 FAIL, 1 body per configuration); RUN_ME_batch17.txt; QA #173 | BATCH 15 2026-10-08: 1 new config(s) (2706-24-24-LN)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(22 configs; 20 changed: length, bores); RUN_ME_batch14.txt; QA #159 | BUILT 2026-09-25: overnight build accepted into 11_MASTERS (22 configs; report in 03_SCRIPTS; QA #154/#155) | MACRO READY 2026-09-24 (22 configs; Build_2706_MASTER.bas + DesignTable_2706_SW2.xlsx; QA #133) - not yet run | TABLED 2026-09-23 (AW s74, 25 rows, 1 MISSING; OMi feed 29 SKUs: 23 matched, 6 OMi-only of which 0 -FG near-matches)</t>
        </is>
      </c>
    </row>
    <row r="58" ht="15" customHeight="1" s="35">
      <c r="A58" s="34" t="inlineStr">
        <is>
          <t>3051</t>
        </is>
      </c>
      <c r="B58" s="34" t="inlineStr">
        <is>
          <t>Y</t>
        </is>
      </c>
      <c r="E58" s="62" t="inlineStr">
        <is>
          <t>TABLED - master not built</t>
        </is>
      </c>
      <c r="G58" s="34" t="inlineStr">
        <is>
          <t>scope vs OMi feed 2026-09-23: 4 BUILD / 4 DROP / 0 OMi-only (0 -FG near) of 4 OMi SKUs</t>
        </is>
      </c>
    </row>
    <row r="59" ht="15" customHeight="1" s="35">
      <c r="A59" s="34" t="inlineStr">
        <is>
          <t>3474</t>
        </is>
      </c>
      <c r="B59" s="34" t="inlineStr">
        <is>
          <t>Y</t>
        </is>
      </c>
      <c r="E59" s="34" t="inlineStr">
        <is>
          <t>SKELETON-MISSING</t>
        </is>
      </c>
      <c r="G59" s="34" t="inlineStr">
        <is>
          <t>2026-09-23: no Air-Way carbon-steel series page; DesignTable_3474.xlsx holds the 7 OMi SKUs as MISSING rows (BUILD) - needs a dimensional source</t>
        </is>
      </c>
    </row>
    <row r="60" ht="15" customHeight="1" s="35">
      <c r="A60" s="34" t="inlineStr">
        <is>
          <t>4000</t>
        </is>
      </c>
      <c r="B60" s="34" t="inlineStr">
        <is>
          <t>Y</t>
        </is>
      </c>
      <c r="C60" s="34" t="inlineStr">
        <is>
          <t>Y</t>
        </is>
      </c>
      <c r="E60" s="34" t="inlineStr">
        <is>
          <t>BUILT</t>
        </is>
      </c>
      <c r="G60" s="34" t="inlineStr">
        <is>
          <t>2026-10-20 BATCH 18 SHIPPED (QA #176): NEW master (ORFS / O-ring generator stage) | 2026-09-23: no Air-Way carbon-steel series page; DesignTable_4000.xlsx holds the 11 OMi SKUs as MISSING rows (BUILD) - needs a dimensional source</t>
        </is>
      </c>
    </row>
    <row r="61" ht="15" customHeight="1" s="35">
      <c r="A61" s="34" t="inlineStr">
        <is>
          <t>4001</t>
        </is>
      </c>
      <c r="B61" s="34" t="inlineStr">
        <is>
          <t>Y</t>
        </is>
      </c>
      <c r="E61" s="34" t="inlineStr">
        <is>
          <t>SKELETON-MISSING</t>
        </is>
      </c>
      <c r="G61" s="34" t="inlineStr">
        <is>
          <t>2026-09-23: no Air-Way carbon-steel series page; DesignTable_4001.xlsx holds the 10 OMi SKUs as MISSING rows (BUILD) - needs a dimensional source</t>
        </is>
      </c>
    </row>
    <row r="62" ht="15" customHeight="1" s="35">
      <c r="A62" s="34" t="inlineStr">
        <is>
          <t>4005</t>
        </is>
      </c>
      <c r="E62" s="34" t="inlineStr">
        <is>
          <t>SKELETON-MISSING</t>
        </is>
      </c>
      <c r="G62" s="34" t="inlineStr">
        <is>
          <t>2026-09-23: no Air-Way carbon-steel series page; DesignTable_4005.xlsx holds the 9 OMi SKUs as MISSING rows (BUILD) - needs a dimensional source</t>
        </is>
      </c>
    </row>
    <row r="63" ht="15" customHeight="1" s="35">
      <c r="A63" s="34" t="inlineStr">
        <is>
          <t>4404</t>
        </is>
      </c>
      <c r="E63" s="34" t="inlineStr">
        <is>
          <t>BUILT</t>
        </is>
      </c>
      <c r="G63" s="34" t="inlineStr">
        <is>
          <t>BUILT 2026-09-25: overnight build accepted into 11_MASTERS (13 configs; report in 03_SCRIPTS; QA #154/#155) | MACRO READY 2026-09-24 (13 configs; Build_4404_MASTER.bas + DesignTable_4404_SW2.xlsx; QA #133) - not yet run | TABLED 2026-09-23 (AW s78, 33 rows, 0 MISSING; OMi feed 13 SKUs: 13 matched, 0 OMi-only of which 0 -FG near-matches)</t>
        </is>
      </c>
    </row>
    <row r="64" ht="15" customHeight="1" s="35">
      <c r="A64" s="34" t="inlineStr">
        <is>
          <t>4501</t>
        </is>
      </c>
      <c r="E64" s="34" t="inlineStr">
        <is>
          <t>BUILT</t>
        </is>
      </c>
      <c r="G64" s="34" t="inlineStr">
        <is>
          <t>BATCH 17 2026-10-20: NEW master 4501 (12 configurations); dry-run build moved into 11_MASTERS (0 FAIL, 1 body per configuration); RUN_ME_batch17.txt; QA #173 | TABLED 2026-09-23 (AW s125, 33 rows, 0 MISSING; OMi feed 12 SKUs: 1 matched, 11 OMi-only of which 11 -FG near-matches)</t>
        </is>
      </c>
    </row>
    <row r="65" ht="15" customHeight="1" s="35">
      <c r="A65" s="34" t="inlineStr">
        <is>
          <t>4503</t>
        </is>
      </c>
      <c r="E65" s="34" t="inlineStr">
        <is>
          <t>BUILT</t>
        </is>
      </c>
      <c r="G65" s="34" t="inlineStr">
        <is>
          <t>2026-10-20 BATCH 18 SHIPPED (QA #176/#177): NEW master - held root fixed (45 deg hose face-off test (HOSEFACE45)) | BATCH 17 2026-10-20: HELD (QA #175) - hose face-off on the 135 deg hose leg fails in SolidWorks; rows stay in the review table | TABLED 2026-09-23 (AW s151, 25 rows, 1 MISSING; OMi feed 7 SKUs: 0 matched, 7 OMi-only of which 7 -FG near-matches)</t>
        </is>
      </c>
    </row>
    <row r="66" ht="15" customHeight="1" s="35">
      <c r="A66" s="34" t="inlineStr">
        <is>
          <t>4601</t>
        </is>
      </c>
      <c r="E66" s="34" t="inlineStr">
        <is>
          <t>BUILT</t>
        </is>
      </c>
      <c r="G66" s="34" t="inlineStr">
        <is>
          <t>BATCH 17 2026-10-20: NEW master 4601 (15 configurations); dry-run build moved into 11_MASTERS (0 FAIL, 1 body per configuration); RUN_ME_batch17.txt; QA #173 | TABLED 2026-09-23 (AW s126, 42 rows, 0 MISSING; OMi feed 15 SKUs: 6 matched, 9 OMi-only of which 9 -FG near-matches)</t>
        </is>
      </c>
    </row>
    <row r="67" ht="15" customHeight="1" s="35">
      <c r="A67" s="34" t="inlineStr">
        <is>
          <t>4603</t>
        </is>
      </c>
      <c r="E67" s="34" t="inlineStr">
        <is>
          <t>BUILT</t>
        </is>
      </c>
      <c r="G67" s="34" t="inlineStr">
        <is>
          <t>2026-10-20 BATCH 18 SHIPPED (QA #176/#177): NEW master - held root fixed (45 deg hose face-off test (HOSEFACE45)) | BATCH 17 2026-10-20: HELD (QA #175) - hose face-off on the hose leg fails in SolidWorks; rows stay in the review table | TABLED 2026-09-23 (AW s152, 33 rows, 0 MISSING; OMi feed 5 SKUs: 4 matched, 1 OMi-only of which 1 -FG near-matches)</t>
        </is>
      </c>
    </row>
    <row r="68" ht="15" customHeight="1" s="35">
      <c r="A68" s="34" t="inlineStr">
        <is>
          <t>4604</t>
        </is>
      </c>
      <c r="E68" s="34" t="inlineStr">
        <is>
          <t>BUILT</t>
        </is>
      </c>
      <c r="G68" s="34" t="inlineStr">
        <is>
          <t>BUILT 2026-09-25: overnight build accepted into 11_MASTERS (14 configs; report in 03_SCRIPTS; QA #154/#155) | MACRO READY 2026-09-24 (14 configs; Build_4604_MASTER.bas + DesignTable_4604_SW2.xlsx; QA #133) - not yet run | TABLED 2026-09-23 (AW s79, 38 rows, 0 MISSING; OMi feed 14 SKUs: 14 matched, 0 OMi-only of which 0 -FG near-matches)</t>
        </is>
      </c>
    </row>
    <row r="69" ht="15" customHeight="1" s="35">
      <c r="A69" s="34" t="inlineStr">
        <is>
          <t>5000</t>
        </is>
      </c>
      <c r="B69" s="34" t="inlineStr">
        <is>
          <t>Y</t>
        </is>
      </c>
      <c r="E69" s="62" t="inlineStr">
        <is>
          <t>BUILT</t>
        </is>
      </c>
      <c r="G69" s="34" t="inlineStr">
        <is>
          <t>BATCH 17 2026-10-20: 19 -&gt; 22 configurations (+3); old configurations identical to the previous master; dry-run build moved into 11_MASTERS (0 FAIL, 1 body per configuration); RUN_ME_batch17.txt; QA #173 | BUILT 2026-09-23 (19 configs; DesignTable_5000_SW2.xlsx; Build_5000_MASTER.bas clean report; QA #124) | scope vs OMi feed 2026-09-23: 19 BUILD / 0 DROP / 4 OMi-only (0 -FG near) of 23 OMi SKUs</t>
        </is>
      </c>
    </row>
    <row r="70" ht="15" customHeight="1" s="35">
      <c r="A70" s="34" t="inlineStr">
        <is>
          <t>5404</t>
        </is>
      </c>
      <c r="B70" s="34" t="inlineStr">
        <is>
          <t>Y</t>
        </is>
      </c>
      <c r="E70" s="62" t="inlineStr">
        <is>
          <t>BUILT</t>
        </is>
      </c>
      <c r="G70" s="34" t="inlineStr">
        <is>
          <t>BATCH 17 2026-10-20: 25 -&gt; 31 configurations (+6); old configurations identical to the previous master; dry-run build moved into 11_MASTERS (0 FAIL, 1 body per configuration); RUN_ME_batch17.txt; QA #173 | 2026-09-25: the 5404N master (4 configs) accepted into 11_MASTERS (QA #155) | 5404-N round nipple: MACRO READY 2026-09-24 as its own master (4 configs; Build_5404N_MASTER.bas; QA #133 - no hex, so not folded into 5404; user to confirm) | BUILT 2026-09-23 (25 configs; DesignTable_5404_SW2.xlsx; Build_5404_MASTER.bas clean report; QA #124) | 5404, 5404-N; 1 conflict | scope vs OMi feed 2026-09-23: 29 BUILD / 10 DROP / 31 OMi-only (0 -FG near) of 60 OMi SKUs</t>
        </is>
      </c>
    </row>
    <row r="71" ht="15" customHeight="1" s="35">
      <c r="A71" s="34" t="inlineStr">
        <is>
          <t>5405</t>
        </is>
      </c>
      <c r="B71" s="34" t="inlineStr">
        <is>
          <t>Y</t>
        </is>
      </c>
      <c r="E71" s="62" t="inlineStr">
        <is>
          <t>BUILT</t>
        </is>
      </c>
      <c r="G71" s="34" t="inlineStr">
        <is>
          <t>BATCH 17 2026-10-20: 26 -&gt; 31 configurations (+5); old configurations identical to the previous master; dry-run build moved into 11_MASTERS (0 FAIL, 1 body per configuration); RUN_ME_batch17.txt; QA #173 | BATCH 16 2026-10-19: rebuilt from its 03_SCRIPTS macro: 5405-12-08 / -16-08 / -16-12 now in the built file (26), 23 old configurations identical; dry-run build moved into 11_MASTERS (0 FAIL, 1 body per configuration); RUN_ME_batch16.txt; QA #170 | UPDATE READY 2026-09-24: +5405-12-08/-16-08/-16-12 (bore wider than the port drill -&gt; step at the port bottom, ASSUMED); re-run Build_5405 -&gt; 26 configs (QA #141) | BUILT 2026-09-23 (23 configs; DesignTable_5405_SW2.xlsx; Build_5405_MASTER.bas clean report; QA #124) | 1 row MISSING | scope vs OMi feed 2026-09-23: 27 BUILD / 1 DROP / 7 OMi-only (0 -FG near) of 34 OMi SKUs</t>
        </is>
      </c>
    </row>
    <row r="72" ht="15" customHeight="1" s="35">
      <c r="A72" s="34" t="inlineStr">
        <is>
          <t>5406</t>
        </is>
      </c>
      <c r="B72" s="34" t="inlineStr">
        <is>
          <t>Y</t>
        </is>
      </c>
      <c r="E72" s="62" t="inlineStr">
        <is>
          <t>BUILT</t>
        </is>
      </c>
      <c r="F72" s="34" t="n">
        <v>7</v>
      </c>
      <c r="G72" s="34" t="inlineStr">
        <is>
          <t>BATCH 17 2026-10-20: 28 -&gt; 31 configurations (+3); old configurations identical to the previous master; dry-run build moved into 11_MASTERS (0 FAIL, 1 body per configuration); RUN_ME_batch17.txt; QA #173 | BUILT 2026-09-24: bushing 5406 (28 configs, 5406_MASTER), 5406-P plug (4, 5406P_MASTER), 5406-C cap (6, 5406C_MASTER) - clean reports, sweeps clean; QA #139/#140 | BUILT 2026-09-24: 5406-P plug (4 configs, 5406P_MASTER) and 5406-C cap (6 configs, 5406C_MASTER) - clean reports; bushing 5406 (28) running | MACRO READY 2026-09-24: bushing 28 configs (Build_5406_MASTER) + cap 5406-C 6 configs (Build_5406C_MASTER) + plug 5406-P 4 configs (Build_5406P_MASTER); QA #132 - not yet run. NOTE: -C and -P got their own masters because the geometry differs (cap has no male end, plug has no port) - deviation from one-master-per-topology, flagged to user | 5406, -C, -P | scope vs OMi feed 2026-09-23: 38 BUILD / 8 DROP / 23 OMi-only (0 -FG near) of 61 OMi SKUs</t>
        </is>
      </c>
    </row>
    <row r="73" ht="15" customHeight="1" s="35">
      <c r="A73" s="34" t="inlineStr">
        <is>
          <t>5500</t>
        </is>
      </c>
      <c r="B73" s="34" t="inlineStr">
        <is>
          <t>Y</t>
        </is>
      </c>
      <c r="E73" s="62" t="inlineStr">
        <is>
          <t>BUILT</t>
        </is>
      </c>
      <c r="G73" s="34" t="inlineStr">
        <is>
          <t>2026-10-20 BATCH 18 SHIPPED (QA #176): Air-Way first - 2 configuration(s) rebuilt with Air-Way values (were OMi website / Brennan); master replaced | BATCH 17 2026-10-20: 16 -&gt; 16 configurations; 1 old configuration(s) changed with their table cells (A19 / A20 / A21 OMi values); properties updated (DataStatus / DimSource / AxialSource); dry-run build moved into 11_MASTERS (0 FAIL, 1 body per configuration); RUN_ME_batch17.txt; QA #173 | corner-puck fix (PUCK_INSET 0.0005, QA #171): re-shipped, every other configuration changes by the inset sliver only (BATCH 16 2026-10-19, QA #170) | BATCH 15 2026-10-08: 3 new config(s) (5500-08-04-FG, 5500-16-08-FG, 5500-24-24-FG)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(13 configs; 1 changed: -32 hex 2.58 -&gt; 2.500); RUN_ME_batch14.txt; QA #159 | BUILT 2026-09-25: overnight build accepted into 11_MASTERS (13 configs; report in 03_SCRIPTS; QA #154/#155) | MACRO READY 2026-09-24 (13 configs; Build_5500_MASTER.bas + DesignTable_5500_SW2.xlsx; QA #132) - not yet run | scope vs OMi feed 2026-09-23: 13 BUILD / 16 DROP / 3 OMi-only (2 -FG near) of 16 OMi SKUs</t>
        </is>
      </c>
    </row>
    <row r="74" ht="15" customHeight="1" s="35">
      <c r="A74" s="34" t="inlineStr">
        <is>
          <t>5501</t>
        </is>
      </c>
      <c r="B74" s="34" t="inlineStr">
        <is>
          <t>Y</t>
        </is>
      </c>
      <c r="E74" s="34" t="inlineStr">
        <is>
          <t>BUILT</t>
        </is>
      </c>
      <c r="G74" s="34" t="inlineStr">
        <is>
          <t>BATCH 17 2026-10-20: NEW master 5501 (7 configurations) - 45 deg angled legs (helical thread on the 135 deg leg, HelixThreadV; QA #174 fix); dry-run build moved into 11_MASTERS (0 FAIL, 1 body per configuration); RUN_ME_batch17.txt; QA #173 | TABLED 2026-09-23 (AW s153, 7 rows, 0 MISSING; OMi feed 9 SKUs: 0 matched, 9 OMi-only of which 7 -FG near-matches)</t>
        </is>
      </c>
    </row>
    <row r="75" ht="15" customHeight="1" s="35">
      <c r="A75" s="34" t="inlineStr">
        <is>
          <t>5502</t>
        </is>
      </c>
      <c r="B75" s="34" t="inlineStr">
        <is>
          <t>Y</t>
        </is>
      </c>
      <c r="E75" s="62" t="inlineStr">
        <is>
          <t>BUILT</t>
        </is>
      </c>
      <c r="G75" s="34" t="inlineStr">
        <is>
          <t>2026-10-20 BATCH 18 SHIPPED (QA #176): Air-Way first - 7 configuration(s) rebuilt with Air-Way values (were OMi website / Brennan); master replaced | BATCH 17 2026-10-20: 13 -&gt; 20 configurations (+7); 5 old configuration(s) changed with their table cells (A19 / A20 / A21 OMi values); properties updated (DataStatus / DimSource / AxialSource); dry-run build moved into 11_MASTERS (0 FAIL, 1 body per configuration); RUN_ME_batch17.txt; QA #173 | corner-puck fix (PUCK_INSET 0.0005, QA #171): re-shipped, every other configuration changes by the inset sliver only (BATCH 16 2026-10-19, QA #170) | BATCH 14 2026-10-02: Task A (OMi dimensions) accepted - the 2026-09-25 dry-run master moved 11_MASTERS_NEW -&gt; 11_MASTERS with its macro + SW2 (13 configs; 3 changed: hex 0.75 -&gt; 0.562, 1.06 -&gt; 0.875); master status MACRO READY -&gt; BUILT (built by the user 2026-09-24, QA #149; now the Task A build); RUN_ME_batch14.txt; QA #159 | COLLAR UPDATE 2026-09-24: female pipe ends now end in a round collar (Brennan 2502-06-04-FG; QA #144) - re-run Build_5502 | MACRO READY 2026-09-24 (13 configs; Build_5502_MASTER.bas + DesignTable_5502_SW2.xlsx; QA #132) - not yet run | scope vs OMi feed 2026-09-23: 13 BUILD / 33 DROP / 4 OMi-only (4 -FG near) of 17 OMi SKUs</t>
        </is>
      </c>
    </row>
    <row r="76" ht="15" customHeight="1" s="35">
      <c r="A76" s="34" t="inlineStr">
        <is>
          <t>5503</t>
        </is>
      </c>
      <c r="B76" s="34" t="inlineStr">
        <is>
          <t>Y</t>
        </is>
      </c>
      <c r="E76" s="34" t="inlineStr">
        <is>
          <t>BUILT</t>
        </is>
      </c>
      <c r="G76" s="34" t="inlineStr">
        <is>
          <t>BATCH 17 2026-10-20: NEW master 5503 (6 configurations) - 45 deg angled legs (helical thread on the 135 deg leg, HelixThreadV; QA #174 fix); dry-run build moved into 11_MASTERS (0 FAIL, 1 body per configuration); RUN_ME_batch17.txt; QA #173 | TABLED 2026-09-23 (AW s154, 15 rows, 0 MISSING; OMi feed 14 SKUs: 5 matched, 9 OMi-only of which 4 -FG near-matches)</t>
        </is>
      </c>
    </row>
    <row r="77" ht="15" customHeight="1" s="35">
      <c r="A77" s="34" t="inlineStr">
        <is>
          <t>5504</t>
        </is>
      </c>
      <c r="B77" s="34" t="inlineStr">
        <is>
          <t>Y</t>
        </is>
      </c>
      <c r="E77" s="62" t="inlineStr">
        <is>
          <t>BUILT</t>
        </is>
      </c>
      <c r="G77" s="34" t="inlineStr">
        <is>
          <t>BATCH 17 2026-10-20: 5 -&gt; 9 configurations (+4); old configurations identical to the previous master; dry-run build moved into 11_MASTERS (0 FAIL, 1 body per configuration); RUN_ME_batch17.txt; QA #173 | corner-puck fix (PUCK_INSET 0.0005, QA #171): re-shipped, every other configuration changes by the inset sliver only; built from the current generator (was the 2026-09-25 overnight macro) (BATCH 16 2026-10-19, QA #170) | COLLAR UPDATE 2026-09-24: female pipe ends now end in a round collar (Brennan 2502-06-04-FG; QA #144) - re-run Build_5504 | MACRO READY 2026-09-24 (5 configs; Build_5504_MASTER.bas + DesignTable_5504_SW2.xlsx; QA #132) - not yet run | scope vs OMi feed 2026-09-23: 5 BUILD / 17 DROP / 6 OMi-only (6 -FG near) of 11 OMi SKUs</t>
        </is>
      </c>
    </row>
    <row r="78" ht="15" customHeight="1" s="35">
      <c r="A78" s="34" t="inlineStr">
        <is>
          <t>5505</t>
        </is>
      </c>
      <c r="B78" s="34" t="inlineStr">
        <is>
          <t>Y</t>
        </is>
      </c>
      <c r="E78" s="34" t="inlineStr">
        <is>
          <t>BUILT</t>
        </is>
      </c>
      <c r="G78" s="34" t="inlineStr">
        <is>
          <t>BATCH 17 2026-10-20: NEW master 5505 (2 configurations) - 45 deg angled legs (helical thread on the 135 deg leg, HelixThreadV; QA #174 fix); dry-run build moved into 11_MASTERS (0 FAIL, 1 body per configuration); RUN_ME_batch17.txt; QA #173 | TABLED 2026-09-23 (AW s155, 9 rows, 0 MISSING; OMi feed 7 SKUs: 1 matched, 6 OMi-only of which 5 -FG near-matches)</t>
        </is>
      </c>
    </row>
    <row r="79" ht="15" customHeight="1" s="35">
      <c r="A79" s="34" t="inlineStr">
        <is>
          <t>5600</t>
        </is>
      </c>
      <c r="B79" s="34" t="inlineStr">
        <is>
          <t>Y</t>
        </is>
      </c>
      <c r="E79" s="34" t="inlineStr">
        <is>
          <t>BUILT</t>
        </is>
      </c>
      <c r="G79" s="34" t="inlineStr">
        <is>
          <t>BATCH 17 2026-10-20: 6 -&gt; 8 configurations (+2); old configurations identical to the previous master; dry-run build moved into 11_MASTERS (0 FAIL, 1 body per configuration); RUN_ME_batch17.txt; QA #173 | BUILT 2026-09-24 (6 configs; gen_tee.py forged-body pattern; clean report + all-config sweep; QA #127/#131) | TABLED 2026-09-23 (AW s187, 12 rows, 0 MISSING; OMi feed 8 SKUs: 6 matched, 2 OMi-only of which 0 -FG near-matches)</t>
        </is>
      </c>
    </row>
    <row r="80" ht="15" customHeight="1" s="35">
      <c r="A80" s="34" t="inlineStr">
        <is>
          <t>5601</t>
        </is>
      </c>
      <c r="B80" s="34" t="inlineStr">
        <is>
          <t>Y</t>
        </is>
      </c>
      <c r="E80" s="34" t="inlineStr">
        <is>
          <t>BUILT</t>
        </is>
      </c>
      <c r="G80" s="34" t="inlineStr">
        <is>
          <t>BATCH 17 2026-10-20: NEW master 5601 (6 configurations); dry-run build moved into 11_MASTERS (0 FAIL, 1 body per configuration); RUN_ME_batch17.txt; QA #173 | TABLED 2026-09-23 (AW s188, 5 rows, 0 MISSING; OMi feed 5 SKUs: 0 matched, 5 OMi-only of which 2 -FG near-matches)</t>
        </is>
      </c>
    </row>
    <row r="81" ht="15" customHeight="1" s="35">
      <c r="A81" s="34" t="inlineStr">
        <is>
          <t>5602</t>
        </is>
      </c>
      <c r="B81" s="34" t="inlineStr">
        <is>
          <t>Y</t>
        </is>
      </c>
      <c r="E81" s="62" t="inlineStr">
        <is>
          <t>BUILT</t>
        </is>
      </c>
      <c r="G81" s="34" t="inlineStr">
        <is>
          <t>COLLAR UPDATE 2026-09-24: female pipe ends now end in a round collar (Brennan 2502-06-04-FG; QA #144) - re-run Build_5602 | BUILT 2026-09-24 (2 configs; gen_tee.py forged-body pattern; clean report + all-config sweep; QA #127/#131) | scope vs OMi feed 2026-09-23: 2 BUILD / 12 DROP / 7 OMi-only (7 -FG near) of 9 OMi SKUs</t>
        </is>
      </c>
    </row>
    <row r="82" ht="15" customHeight="1" s="35">
      <c r="A82" s="34" t="inlineStr">
        <is>
          <t>5603</t>
        </is>
      </c>
      <c r="B82" s="34" t="inlineStr">
        <is>
          <t>Y</t>
        </is>
      </c>
      <c r="E82" s="62" t="inlineStr">
        <is>
          <t>BUILT</t>
        </is>
      </c>
      <c r="G82" s="34" t="inlineStr">
        <is>
          <t>BATCH 17 2026-10-20: NEW master 5603 (6 configurations); dry-run build moved into 11_MASTERS (0 FAIL, 1 body per configuration); RUN_ME_batch17.txt; QA #173 | scope vs OMi feed 2026-09-23: 0 BUILD / 6 DROP / 8 OMi-only (5 -FG near) of 8 OMi SKUs</t>
        </is>
      </c>
    </row>
    <row r="83" ht="15" customHeight="1" s="35">
      <c r="A83" s="34" t="inlineStr">
        <is>
          <t>5604</t>
        </is>
      </c>
      <c r="B83" s="34" t="inlineStr">
        <is>
          <t>Y</t>
        </is>
      </c>
      <c r="E83" s="34" t="inlineStr">
        <is>
          <t>BUILT</t>
        </is>
      </c>
      <c r="G83" s="34" t="inlineStr">
        <is>
          <t>BATCH 15 2026-10-08: 1 new config(s) (5604-04-04-04-FG) - OMi dimension values (catalog only paired the columns), ASSUMED; master moved from staging 11_MASTERS_NEW (dry-run build 2026-10-02, 0 FAIL, old configurations now WITH the QA #144 round collar (QA #168)); RUN_ME_batch15.txt; QA #167 | COLLAR UPDATE 2026-09-24: female pipe ends now end in a round collar (Brennan 2502-06-04-FG; QA #144) - re-run Build_5604 | BUILT 2026-09-24 (3 configs; gen_tee.py forged-body pattern; clean report + all-config sweep; QA #127/#131) | TABLED 2026-09-23 (AW s191, 12 rows, 1 MISSING; OMi feed 9 SKUs: 4 matched, 5 OMi-only of which 4 -FG near-matches)</t>
        </is>
      </c>
    </row>
    <row r="84" ht="15" customHeight="1" s="35">
      <c r="A84" s="34" t="inlineStr">
        <is>
          <t>5605</t>
        </is>
      </c>
      <c r="B84" s="34" t="inlineStr">
        <is>
          <t>Y</t>
        </is>
      </c>
      <c r="E84" s="34" t="inlineStr">
        <is>
          <t>BUILT</t>
        </is>
      </c>
      <c r="G84" s="34" t="inlineStr">
        <is>
          <t>BATCH 15 2026-10-08: 1 new config(s) (5605-08-08-08-FG) - OMi dimension values (catalog only paired the columns), ASSUMED; master moved from staging 11_MASTERS_NEW (dry-run build 2026-10-02, 0 FAIL, old configurations now WITH the QA #144 round collar (QA #168)); RUN_ME_batch15.txt; QA #167 | COLLAR UPDATE 2026-09-24: female pipe ends now end in a round collar (Brennan 2502-06-04-FG; QA #144) - re-run Build_5605 | BUILT 2026-09-24 (3 configs; gen_tee.py forged-body pattern; clean report + all-config sweep; QA #127/#131) | TABLED 2026-09-23 (AW s192, 14 rows, 1 MISSING; OMi feed 9 SKUs: 4 matched, 5 OMi-only of which 5 -FG near-matches)</t>
        </is>
      </c>
    </row>
    <row r="85" ht="15" customHeight="1" s="35">
      <c r="A85" s="34" t="inlineStr">
        <is>
          <t>5652</t>
        </is>
      </c>
      <c r="B85" s="34" t="inlineStr">
        <is>
          <t>Y</t>
        </is>
      </c>
      <c r="E85" s="34" t="inlineStr">
        <is>
          <t>BUILT</t>
        </is>
      </c>
      <c r="G85" s="34" t="inlineStr">
        <is>
          <t>BATCH 17 2026-10-20: NEW master 5652 (6 configurations); dry-run build moved into 11_MASTERS (0 FAIL, 1 body per configuration); RUN_ME_batch17.txt; QA #173 | TABLED 2026-09-23 (AW s214, 8 rows, 0 MISSING; OMi feed 9 SKUs: 0 matched, 9 OMi-only of which 8 -FG near-matches)</t>
        </is>
      </c>
    </row>
    <row r="86" ht="15" customHeight="1" s="35">
      <c r="A86" s="34" t="inlineStr">
        <is>
          <t>6316</t>
        </is>
      </c>
      <c r="B86" s="34" t="inlineStr">
        <is>
          <t>Y</t>
        </is>
      </c>
      <c r="E86" s="34" t="inlineStr">
        <is>
          <t>NOT STARTED</t>
        </is>
      </c>
      <c r="G86" s="34" t="inlineStr">
        <is>
          <t>2026-09-23: no Air-Way carbon-steel series AND not found in the cs-adapters/flange/braze feed crawl (2402 is C2402 compression-only, 6540/7202 are FS-only per cs_roots.txt, 6316 not seen) - nothing to table yet</t>
        </is>
      </c>
    </row>
    <row r="87" ht="15" customHeight="1" s="35">
      <c r="A87" s="34" t="inlineStr">
        <is>
          <t>6400</t>
        </is>
      </c>
      <c r="B87" s="34" t="inlineStr">
        <is>
          <t>Y</t>
        </is>
      </c>
      <c r="C87" s="34" t="inlineStr">
        <is>
          <t>Y</t>
        </is>
      </c>
      <c r="E87" s="63" t="inlineStr">
        <is>
          <t>BUILT</t>
        </is>
      </c>
      <c r="G87" s="34" t="inlineStr">
        <is>
          <t>2026-10-20 BATCH 18 SHIPPED (QA #176): Air-Way first - 8 configuration(s) rebuilt with Air-Way values (were OMi website / Brennan); master replaced | BATCH 17 2026-10-20: generated master (66 configurations, 6400-L folded) replaces the hand-built one (A6); the hand-built master's 8 DROP configurations are not generated; dry-run build moved into 11_MASTERS (0 FAIL, 1 body per configuration); RUN_ME_batch17.txt; QA #173 | 2026-09-25: fold 6400-L into this master approved (user) - waiting for Brennan 6400-L-08-08-O (hex position; QA #150) | BUILT (58 configs; -L rows not yet folded in; 7 ORB -14/-32 rows pending) | scope vs OMi feed 2026-09-23: 62 BUILD / 18 DROP / 0 OMi-only (0 -FG near) of 62 OMi SKUs</t>
        </is>
      </c>
    </row>
    <row r="88" ht="15" customHeight="1" s="35">
      <c r="A88" s="34" t="inlineStr">
        <is>
          <t>6401</t>
        </is>
      </c>
      <c r="B88" s="34" t="inlineStr">
        <is>
          <t>Y</t>
        </is>
      </c>
      <c r="E88" s="62" t="inlineStr">
        <is>
          <t>BUILT</t>
        </is>
      </c>
      <c r="G88" s="34" t="inlineStr">
        <is>
          <t>2026-10-20 BATCH 18 SHIPPED (QA #176): Air-Way first - 16 configuration(s) rebuilt with Air-Way values (were OMi website / Brennan); master replaced | BATCH 17 2026-10-20: 24 -&gt; 24 configurations; old configurations identical to the previous master; properties updated (DataStatus / DimSource / AxialSource); dry-run build moved into 11_MASTERS (0 FAIL, 1 body per configuration); RUN_ME_batch17.txt; QA #173 | BATCH 15 2026-10-08: 3 new config(s) (6401-16-20-O, 6401-20-16-O, 6401-24-20-O)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(21 configs; 15 changed: length, hex; +6401-32-32-O built at last); RUN_ME_batch14.txt; QA #159 | UPDATE READY 2026-09-24: +6401-32-32-O (ORB -32 now measured); re-run Build_6401 -&gt; 21 configs (QA #141) | BUILT 2026-09-23 (20 configs; DesignTable_6401_SW2.xlsx; Build_6401_MASTER.bas clean report; QA #124) | 1 row MISSING | scope vs OMi feed 2026-09-23: 21 BUILD / 5 DROP / 3 OMi-only (0 -FG near) of 24 OMi SKUs</t>
        </is>
      </c>
    </row>
    <row r="89" ht="15" customHeight="1" s="35">
      <c r="A89" s="34" t="inlineStr">
        <is>
          <t>6402</t>
        </is>
      </c>
      <c r="B89" s="34" t="inlineStr">
        <is>
          <t>Y</t>
        </is>
      </c>
      <c r="C89" s="34" t="inlineStr">
        <is>
          <t>Y</t>
        </is>
      </c>
      <c r="E89" s="34" t="inlineStr">
        <is>
          <t>BUILT</t>
        </is>
      </c>
      <c r="G89" s="34" t="inlineStr">
        <is>
          <t>2026-10-20 BATCH 18 SHIPPED (QA #176): Air-Way first - 15 configuration(s) rebuilt with Air-Way values (were OMi website / Brennan); master replaced | BATCH 17 2026-10-20: 15 -&gt; 16 configurations (+1); 15 old configuration(s) changed with their table cells (A19 / A20 / A21 OMi values); properties updated (DataStatus / DimSource / AxialSource); dry-run build moved into 11_MASTERS (0 FAIL, 1 body per configuration); RUN_ME_batch17.txt; QA #173 | BATCH 14 2026-10-02: Task A (OMi dimensions) accepted - the 2026-09-25 dry-run master moved 11_MASTERS_NEW -&gt; 11_MASTERS with its macro + SW2 (15 configs; 2 changed); RUN_ME_batch14.txt; QA #159 | BUILT 2026-09-25: overnight build accepted into 11_MASTERS (15 configs; report in 03_SCRIPTS; QA #154/#155) | MACRO READY 2026-09-24 (7 configs, swivel -04/-08/-12/-16; Build_6402_MASTER.bas; QA #137) - not yet run | TABLED 2026-09-23 (AW s92, 22 rows, 0 MISSING; OMi feed 15 SKUs: 15 matched, 0 OMi-only of which 0 -FG near-matches)</t>
        </is>
      </c>
    </row>
    <row r="90" ht="15" customHeight="1" s="35">
      <c r="A90" s="34" t="inlineStr">
        <is>
          <t>6403</t>
        </is>
      </c>
      <c r="C90" s="34" t="inlineStr">
        <is>
          <t>Y</t>
        </is>
      </c>
      <c r="E90" s="62" t="inlineStr">
        <is>
          <t>TABLED - master not built</t>
        </is>
      </c>
      <c r="G90" s="34" t="inlineStr">
        <is>
          <t>scope vs OMi feed 2026-09-23: 0 BUILD / 8 DROP / 0 OMi-only (0 -FG near) of 0 OMi SKUs</t>
        </is>
      </c>
    </row>
    <row r="91" ht="15" customHeight="1" s="35">
      <c r="A91" s="34" t="inlineStr">
        <is>
          <t>6404</t>
        </is>
      </c>
      <c r="B91" s="34" t="inlineStr">
        <is>
          <t>Y</t>
        </is>
      </c>
      <c r="E91" s="62" t="inlineStr">
        <is>
          <t>BUILT</t>
        </is>
      </c>
      <c r="G91" s="34" t="inlineStr">
        <is>
          <t>2026-10-20 BATCH 18 SHIPPED (QA #176): Air-Way first - 13 configuration(s) rebuilt with Air-Way values (were OMi website / Brennan); master replaced | BATCH 17 2026-10-20: 14 -&gt; 14 configurations; old configurations identical to the previous master; properties updated (DataStatus / DimSource / AxialSource); dry-run build moved into 11_MASTERS (0 FAIL, 1 body per configuration); RUN_ME_batch17.txt; QA #173 | BATCH 14 2026-10-02: built for real from its tier-1 macro (Claude, SolidWorks MCP, user-approved) - ORBF-DEEPBORE (new column ORBFB_DRILLANG; 6404-06-08 port drilled through) + Task A (13 configs changed: OMi length / hex; 6404-10-08 OMi 1.750, Q-32); 14 configs; staged Task A build superseded; RUN_ME_batch14.txt; QA #159-#161 | BUILT 2026-09-25: overnight build accepted into 11_MASTERS (14 configs; report in 03_SCRIPTS; QA #154/#155); regenerated macro + SW2 shipped (batch 13b, QA #156) | MACRO READY 2026-09-24 (2 configs, female -08 ORB port only; Build_6404_MASTER.bas + DesignTable_6404_SW2.xlsx; QA #136) - not yet run | 1 row MISSING | scope vs OMi feed 2026-09-23: 14 BUILD / 12 DROP / 1 OMi-only (0 -FG near) of 15 OMi SKUs</t>
        </is>
      </c>
    </row>
    <row r="92" ht="15" customHeight="1" s="35">
      <c r="A92" s="34" t="inlineStr">
        <is>
          <t>6405</t>
        </is>
      </c>
      <c r="B92" s="34" t="inlineStr">
        <is>
          <t>Y</t>
        </is>
      </c>
      <c r="E92" s="62" t="inlineStr">
        <is>
          <t>BUILT</t>
        </is>
      </c>
      <c r="G92" s="34" t="inlineStr">
        <is>
          <t>2026-10-20 BATCH 18 SHIPPED (QA #176): Air-Way first - 31 configuration(s) rebuilt with Air-Way values (were OMi website / Brennan); master replaced | BATCH 17 2026-10-20: 40 -&gt; 44 configurations (+4); old configurations identical to the previous master; properties updated (DataStatus / DimSource / AxialSource); dry-run build moved into 11_MASTERS (0 FAIL, 1 body per configuration); RUN_ME_batch17.txt; QA #173 | BATCH 14 2026-10-02: Task A (OMi dimensions) accepted - the 2026-09-25 dry-run master moved 11_MASTERS_NEW -&gt; 11_MASTERS with its macro + SW2 (40 configs; 28 changed: length, bore, hex; +6405-24-16-O unblocked by OMi length 1.750; 6405-12-04 / -12-06 / -32-20 / -32-24 OMi bores and the 6405-20-16-O 1.000 placeholder held); RUN_ME_batch14.txt; QA #159 | BUILT 2026-09-25: overnight build accepted into 11_MASTERS (39 configs; report in 03_SCRIPTS; QA #154/#155) | UPDATE READY 2026-09-24: +6405-32-20-O/-32-32-O (ORB -32 now measured); re-run Build_6405 -&gt; 38 configs; 6405-32-24-O Air-Way bore 2.38 misprint (QA #141) | BUILT 2026-09-23 (36 configs; DesignTable_6405_SW2.xlsx; Build_6405_MASTER.bas clean report; QA #124) | 4 rows MISSING | scope vs OMi feed 2026-09-23: 41 BUILD / 3 DROP / 4 OMi-only (0 -FG near) of 45 OMi SKUs</t>
        </is>
      </c>
    </row>
    <row r="93" ht="15" customHeight="1" s="35">
      <c r="A93" s="34" t="inlineStr">
        <is>
          <t>6408</t>
        </is>
      </c>
      <c r="B93" s="34" t="inlineStr">
        <is>
          <t>Y</t>
        </is>
      </c>
      <c r="E93" s="62" t="inlineStr">
        <is>
          <t>BUILT</t>
        </is>
      </c>
      <c r="G93" s="34" t="inlineStr">
        <is>
          <t>2026-10-20 BATCH 18 SHIPPED (QA #176): Air-Way first - 1 configuration(s) rebuilt with Air-Way values (were OMi website / Brennan); master replaced | BATCH 17 2026-10-20: 14 -&gt; 14 configurations; old configurations identical to the previous master; properties updated (DataStatus / DimSource / AxialSource); dry-run build moved into 11_MASTERS (0 FAIL, 1 body per configuration); RUN_ME_batch17.txt; QA #173 | BATCH 14 2026-10-02: Task A (OMi dimensions) accepted - the 2026-09-25 dry-run master moved 11_MASTERS_NEW -&gt; 11_MASTERS with its macro + SW2 (14 configs; 1 changed: hole); RUN_ME_batch14.txt; QA #159 | BUILT 2026-09-25: overnight build accepted into 11_MASTERS (14 configs; report in 03_SCRIPTS; QA #154/#155) | MACRO READY 2026-09-25 (batch 11e, 13 configs): HOLLOW cored plugs -04..-32 (not -14) = OMi 6408-xx-O, solid -02/-03/-05 + 6408-04-O-SLD; hole per Brennan 6408-08-O / -20-O STEPs (QA #147) - re-run Build_6408 | BUILT 2026-09-24 (12 configs, SOLID plugs -02..-32; clean report, sweep 12/12; QA #143) | MACRO READY 2026-09-24 (12 configs - 6408-32-O-SOLID added by the 6408 update after the -32 ORB groove width was measured on the Brennan 6400-32-32-O STEP, RUN_ME_6408_update.txt; Build_6408_MASTER.bas + DesignTable_6408_SW2.xlsx; QA #132) - not yet run | 15/23 rows MISSING | scope vs OMi feed 2026-09-23: 22 BUILD / 1 DROP / 13 OMi-only (0 -FG near) of 26 OMi SKUs</t>
        </is>
      </c>
    </row>
    <row r="94" ht="15" customHeight="1" s="35">
      <c r="A94" s="34" t="inlineStr">
        <is>
          <t>6410</t>
        </is>
      </c>
      <c r="B94" s="34" t="inlineStr">
        <is>
          <t>Y</t>
        </is>
      </c>
      <c r="E94" s="62" t="inlineStr">
        <is>
          <t>BUILT</t>
        </is>
      </c>
      <c r="G94" s="34" t="inlineStr">
        <is>
          <t>2026-10-20 BATCH 18 SHIPPED (QA #176): Air-Way first - 19 configuration(s) rebuilt with Air-Way values (were OMi website / Brennan); master replaced | BATCH 17 2026-10-20: 30 -&gt; 34 configurations (+4); old configurations identical to the previous master; properties updated (DataStatus / DimSource / AxialSource); dry-run build moved into 11_MASTERS (0 FAIL, 1 body per configuration); RUN_ME_batch17.txt; QA #173 | BATCH 14 2026-10-02: built for real from its tier-1 macro (Claude, SolidWorks MCP, user-approved) - ORBF-DEEPBORE (port drilled through when bore &gt;= port minor) + Task A (17 changed, incl. 6410-12-08-O 1.09 -&gt; OMi 1.480 = Brennan); 30 configs (27 -&gt; 30: +6410-20-12-O, -20-16-O, -24-16-O); staged Task A build superseded; 6410-32-24-O waits for Q-BOREWIDE; RUN_ME_batch14.txt; QA #159-#161 | BUILT 2026-09-25: overnight build accepted into 11_MASTERS (27 configs; report in 03_SCRIPTS; QA #154/#155) | MACRO READY 2026-09-24 (4 configs, female -08 ORB port only; Build_6410_MASTER.bas + DesignTable_6410_SW2.xlsx; QA #136; 6410-12-08-O length Air-Way 1.09 vs Brennan 1.48: user 2026-09-24 keep Air-Way for now) - not yet run | 3 rows MISSING | scope vs OMi feed 2026-09-23: 32 BUILD / 13 DROP / 6 OMi-only (0 -FG near) of 38 OMi SKUs</t>
        </is>
      </c>
    </row>
    <row r="95" ht="15" customHeight="1" s="35">
      <c r="A95" s="34" t="inlineStr">
        <is>
          <t>6420</t>
        </is>
      </c>
      <c r="B95" s="34" t="inlineStr">
        <is>
          <t>Y</t>
        </is>
      </c>
      <c r="E95" s="34" t="inlineStr">
        <is>
          <t>SKELETON-MISSING</t>
        </is>
      </c>
      <c r="G95" s="34" t="inlineStr">
        <is>
          <t>2026-09-23: no Air-Way carbon-steel series page; DesignTable_6420.xlsx holds the 2 OMi SKUs as MISSING rows (BUILD) - needs a dimensional source</t>
        </is>
      </c>
    </row>
    <row r="96" ht="15" customHeight="1" s="35">
      <c r="A96" s="34" t="inlineStr">
        <is>
          <t>6425</t>
        </is>
      </c>
      <c r="B96" s="34" t="inlineStr">
        <is>
          <t>Y</t>
        </is>
      </c>
      <c r="E96" s="34" t="inlineStr">
        <is>
          <t>SKELETON-MISSING</t>
        </is>
      </c>
      <c r="G96" s="34" t="inlineStr">
        <is>
          <t>2026-09-23: no Air-Way carbon-steel series page; DesignTable_6425.xlsx holds the 6 OMi SKUs as MISSING rows (BUILD) - needs a dimensional source</t>
        </is>
      </c>
    </row>
    <row r="97" ht="15" customHeight="1" s="35">
      <c r="A97" s="34" t="inlineStr">
        <is>
          <t>6500</t>
        </is>
      </c>
      <c r="B97" s="34" t="inlineStr">
        <is>
          <t>Y</t>
        </is>
      </c>
      <c r="C97" s="34" t="inlineStr">
        <is>
          <t>Y</t>
        </is>
      </c>
      <c r="E97" s="62" t="inlineStr">
        <is>
          <t>BUILT</t>
        </is>
      </c>
      <c r="G97" s="34" t="inlineStr">
        <is>
          <t>2026-10-20 BATCH 18 SHIPPED (QA #176): Air-Way first - 5 configuration(s) rebuilt with Air-Way values (were OMi website / Brennan); master replaced | BATCH 17 2026-10-20: 24 -&gt; 26 configurations (+2); 3 old configuration(s) changed with their table cells (A19 / A20 / A21 OMi values); properties updated (DataStatus / DimSource / AxialSource); dry-run build moved into 11_MASTERS (0 FAIL, 1 body per configuration); RUN_ME_batch17.txt; QA #173 | BATCH 16 2026-10-19: +9 configs: 6500-04-06 / -12-08 / -12-16 / -16-12-FG (OMi leftovers) + 6500-L-04-04 / -06-06 / -08-08 / -12-12 / -16-16-FG (6500-L folded, wave 1); dry-run build moved into 11_MASTERS (0 FAIL, 1 body per configuration); RUN_ME_batch16.txt; QA #170; corner-puck fix (PUCK_INSET 0.0005, QA #171): re-shipped, 6500-06-04 / -06-06-FG and 6500-L-04-04 / -L-06-06-FG got their corner, every other configuration changes by the inset sliver only | BATCH 15 2026-10-08: 1 new config(s) (6500-06-04-FG)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(14 configs; 1 changed: hex 1.13 -&gt; 1.062); RUN_ME_batch14.txt; QA #159 | BUILT 2026-09-25: overnight build accepted into 11_MASTERS (14 configs; report in 03_SCRIPTS; QA #154/#155) | MACRO READY 2026-09-24 (7 configs, swivel -04/-08/-12/-16; swivel nut item CLOSED by the Brennan 6500 STEPs; Build_6500_MASTER.bas; QA #137) - not yet run | 6500, 6500-L; swivel nut open | scope vs OMi feed 2026-09-23: 14 BUILD / 34 DROP / 14 OMi-only (10 -FG near) of 28 OMi SKUs</t>
        </is>
      </c>
    </row>
    <row r="98" ht="15" customHeight="1" s="35">
      <c r="A98" s="34" t="inlineStr">
        <is>
          <t>6501</t>
        </is>
      </c>
      <c r="B98" s="34" t="inlineStr">
        <is>
          <t>Y</t>
        </is>
      </c>
      <c r="E98" s="34" t="inlineStr">
        <is>
          <t>BUILT</t>
        </is>
      </c>
      <c r="G98" s="34" t="inlineStr">
        <is>
          <t>2026-10-20 BATCH 18 SHIPPED (QA #176): Air-Way first - 1 configuration(s) rebuilt with Air-Way values (were OMi website / Brennan); master replaced | BATCH 17 2026-10-20: 14 -&gt; 14 configurations; 1 old configuration(s) changed with their table cells (A19 / A20 / A21 OMi values); properties updated (DataStatus / DimSource / AxialSource); dry-run build moved into 11_MASTERS (0 FAIL, 1 body per configuration); RUN_ME_batch17.txt; QA #173 | BATCH 16 2026-10-19: +3 configs 6501-06-06 / -12-08 / -12-12-FG (OMi leftovers, ASSUMED); dry-run build moved into 11_MASTERS (0 FAIL, 1 body per configuration); RUN_ME_batch16.txt; QA #170; corner-puck fix (PUCK_INSET 0.0005, QA #171): re-shipped, every other configuration changes by the inset sliver only | BATCH 15 2026-10-08: 10 new config(s) (6501-04-06 / -06-04 / -06-08 / -08-06 / -08-08 / -08-10 / -16-16 / -20-20 / -24-24 / -32-32-FG) - OMi dimension values (catalog only paired the columns), ASSUMED; master moved from staging 11_MASTERS_NEW (dry-run build 2026-10-02, 0 FAIL, old configurations identical); RUN_ME_batch15.txt; QA #167 | BUILT 2026-09-25: overnight build accepted into 11_MASTERS (1 configs; report in 03_SCRIPTS; QA #154/#155) | MACRO READY 2026-09-24 (1 config - the only 6501 row with Air-Way data and a measured swivel size; Build_6501_MASTER.bas; QA #137) - not yet run | TABLED 2026-09-23 (AW s132, 16 rows, 1 MISSING; OMi feed 15 SKUs: 1 matched, 14 OMi-only of which 10 -FG near-matches)</t>
        </is>
      </c>
    </row>
    <row r="99" ht="15" customHeight="1" s="35">
      <c r="A99" s="34" t="inlineStr">
        <is>
          <t>6502</t>
        </is>
      </c>
      <c r="B99" s="34" t="inlineStr">
        <is>
          <t>Y</t>
        </is>
      </c>
      <c r="C99" s="34" t="inlineStr">
        <is>
          <t>Y</t>
        </is>
      </c>
      <c r="E99" s="34" t="inlineStr">
        <is>
          <t>BUILT</t>
        </is>
      </c>
      <c r="G99" s="34" t="inlineStr">
        <is>
          <t>2026-10-20 BATCH 18 SHIPPED (QA #176): Air-Way first - 3 configuration(s) rebuilt with Air-Way values (were OMi website / Brennan); master replaced | BATCH 17 2026-10-20: 11 -&gt; 12 configurations (+1); 3 old configuration(s) changed with their table cells (A19 / A20 / A21 OMi values); properties updated (DataStatus / DimSource / AxialSource); dry-run build moved into 11_MASTERS (0 FAIL, 1 body per configuration); RUN_ME_batch17.txt; QA #173 | corner-puck fix (PUCK_INSET 0.0005, QA #171): re-shipped, 6502-06-06-FG got its corner, every other configuration changes by the inset sliver only (BATCH 16 2026-10-19, QA #170) | BATCH 15 2026-10-08: 1 new config(s) (6502-10-08-FG) - OMi dimension values (catalog only paired the columns), ASSUMED; master moved from staging 11_MASTERS_NEW (dry-run build 2026-10-02, 0 FAIL, old configurations identical); RUN_ME_batch15.txt; QA #167 | BATCH 14 2026-10-02: built for real from its tier-1 macro (Claude, SolidWorks MCP, user-approved) - NECK-6502: the swivel neck turned clear of the forged corner (NECKTRIM1 / NECKFILL1); 10 configs (8 -&gt; 10: +6502-05-05-FG, -12-12-FG), the 8 old identical; RUN_ME_batch14.txt; QA #160/#161 | BUILT 2026-09-25: overnight build accepted into 11_MASTERS (8 configs; report in 03_SCRIPTS; QA #154/#155) | MACRO READY 2026-09-24 (2 configs, swivel -04/-08; Build_6502_MASTER.bas; QA #146) - not yet run; 6502-12-12-FG needs a Brennan STEP | BLOCKED 2026-09-24: 45deg body - the corner puck reaches past the JIC swivel body face into the neck; needs a Brennan 6502-08-08-FG STEP (QA #141) | TABLED 2026-09-23 (AW s156, 22 rows, 1 MISSING; OMi feed 15 SKUs: 10 matched, 5 OMi-only of which 0 -FG near-matches)</t>
        </is>
      </c>
    </row>
    <row r="100" ht="15" customHeight="1" s="35">
      <c r="A100" s="34" t="inlineStr">
        <is>
          <t>6503</t>
        </is>
      </c>
      <c r="B100" s="34" t="inlineStr">
        <is>
          <t>Y</t>
        </is>
      </c>
      <c r="E100" s="34" t="inlineStr">
        <is>
          <t>BUILT</t>
        </is>
      </c>
      <c r="G100" s="34" t="inlineStr">
        <is>
          <t>2026-10-20 BATCH 18 SHIPPED (QA #176): Air-Way first - 1 configuration(s) rebuilt with Air-Way values (were OMi website / Brennan); master replaced | BATCH 17 2026-10-20: 1 -&gt; 1 configurations; 1 old configuration(s) changed with their table cells (A19 / A20 / A21 OMi values); properties updated (DataStatus / DimSource / AxialSource); dry-run build moved into 11_MASTERS (0 FAIL, 1 body per configuration); RUN_ME_batch17.txt; QA #173 | corner-puck fix (PUCK_INSET 0.0005, QA #171): re-shipped, every other configuration changes by the inset sliver only; built from the current generator (was the 2026-09-25 overnight macro) (BATCH 16 2026-10-19, QA #170) | BUILT 2026-09-25: overnight build accepted into 11_MASTERS (1 configs; report in 03_SCRIPTS; QA #154/#155) | COLLAR UPDATE 2026-09-24: female pipe ends now end in a round collar (Brennan 2502-06-04-FG; QA #144) - re-run Build_6503 | MACRO READY 2026-09-24 (1 config - the only 6503 row with Air-Way data and a measured swivel size; Build_6503_MASTER.bas; QA #137) - not yet run | TABLED 2026-09-23 (AW s133, 11 rows, 0 MISSING; OMi feed 5 SKUs: 1 matched, 4 OMi-only of which 4 -FG near-matches)</t>
        </is>
      </c>
    </row>
    <row r="101" ht="15" customHeight="1" s="35">
      <c r="A101" s="34" t="inlineStr">
        <is>
          <t>6504</t>
        </is>
      </c>
      <c r="B101" s="34" t="inlineStr">
        <is>
          <t>Y</t>
        </is>
      </c>
      <c r="C101" s="34" t="inlineStr">
        <is>
          <t>Y</t>
        </is>
      </c>
      <c r="E101" s="34" t="inlineStr">
        <is>
          <t>BUILT</t>
        </is>
      </c>
      <c r="G101" s="34" t="inlineStr">
        <is>
          <t>2026-10-20 BATCH 18 SHIPPED (QA #176): Air-Way first - 1 configuration(s) rebuilt with Air-Way values (were OMi website / Brennan); master replaced | BATCH 17 2026-10-20: 10 -&gt; 14 configurations (+4); old configurations identical to the previous master; properties updated (DataStatus / DimSource / AxialSource); dry-run build moved into 11_MASTERS (0 FAIL, 1 body per configuration); RUN_ME_batch17.txt; QA #173 | BATCH 15 2026-10-08: 1 new config(s) (6504-06-08)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(9 configs; +6504-24-24 unblocked by OMi bore 1.312; 8 identical); RUN_ME_batch14.txt; QA #159 | BUILT 2026-09-25: overnight build accepted into 11_MASTERS (8 configs; report in 03_SCRIPTS; QA #154/#155); regenerated macro + SW2 shipped (batch 13b, QA #156) | MACRO READY 2026-09-24 (4 configs, swivel -04/-08/-12/-16; Build_6504_MASTER.bas; QA #137) - not yet run | TABLED 2026-09-23 (AW s100, 14 rows, 1 MISSING; OMi feed 20 SKUs: 10 matched, 10 OMi-only of which 0 -FG near-matches)</t>
        </is>
      </c>
    </row>
    <row r="102" ht="15" customHeight="1" s="35">
      <c r="A102" s="34" t="inlineStr">
        <is>
          <t>6505</t>
        </is>
      </c>
      <c r="B102" s="34" t="inlineStr">
        <is>
          <t>Y</t>
        </is>
      </c>
      <c r="C102" s="34" t="inlineStr">
        <is>
          <t>Y</t>
        </is>
      </c>
      <c r="E102" s="34" t="inlineStr">
        <is>
          <t>BUILT</t>
        </is>
      </c>
      <c r="G102" s="34" t="inlineStr">
        <is>
          <t>2026-10-20 BATCH 18 SHIPPED (QA #176): Air-Way first - 16 configuration(s) rebuilt with Air-Way values (were OMi website / Brennan); master replaced | BATCH 17 2026-10-20: 19 -&gt; 21 configurations (+2); 13 old configuration(s) changed with their table cells (A19 / A20 / A21 OMi values); properties updated (DataStatus / DimSource / AxialSource); dry-run build moved into 11_MASTERS (0 FAIL, 1 body per configuration); RUN_ME_batch17.txt; QA #173 | BATCH 16 2026-10-19: +1 config 6505-12-08 (OMi leftover from batch 15, ASSUMED); 18 old identical; dry-run build moved into 11_MASTERS (0 FAIL, 1 body per configuration); RUN_ME_batch16.txt; QA #170 | BATCH 15 2026-10-08: 2 new config(s) (6505-06-04, 6505-16-12) - OMi dimension values (catalog only paired the columns), ASSUMED; master moved from staging 11_MASTERS_NEW (dry-run build 2026-10-02, 0 FAIL, old configurations identical); RUN_ME_batch15.txt; QA #167 | BATCH 14 2026-10-02: Task A (OMi dimensions) accepted - the 2026-09-25 dry-run master moved 11_MASTERS_NEW -&gt; 11_MASTERS with its macro + SW2 (16 configs; 5 changed: hex, bore); RUN_ME_batch14.txt; QA #159 | BUILT 2026-09-25: overnight build accepted into 11_MASTERS (16 configs; report in 03_SCRIPTS; QA #154/#155) | MACRO READY 2026-09-24 (8 configs, swivel -04/-08/-12/-16; Build_6505_MASTER.bas; QA #137) - not yet run | TABLED 2026-09-23 (AW s101, 20 rows, 0 MISSING; OMi feed 20 SKUs: 16 matched, 4 OMi-only of which 0 -FG near-matches)</t>
        </is>
      </c>
    </row>
    <row r="103" ht="15" customHeight="1" s="35">
      <c r="A103" s="34" t="inlineStr">
        <is>
          <t>6506</t>
        </is>
      </c>
      <c r="B103" s="34" t="inlineStr">
        <is>
          <t>Y</t>
        </is>
      </c>
      <c r="E103" s="34" t="inlineStr">
        <is>
          <t>BUILT</t>
        </is>
      </c>
      <c r="G103" s="34" t="inlineStr">
        <is>
          <t>2026-10-20 BATCH 18 SHIPPED (QA #176): Air-Way first - 13 configuration(s) rebuilt with Air-Way values (were OMi website / Brennan); master replaced | BATCH 17 2026-10-20: 14 -&gt; 14 configurations; 10 old configuration(s) changed with their table cells (A19 / A20 / A21 OMi values); properties updated (DataStatus / DimSource / AxialSource); dry-run build moved into 11_MASTERS (0 FAIL, 1 body per configuration); RUN_ME_batch17.txt; QA #173 | BATCH 15 2026-10-08: 4 new config(s) (6506-12-12, 6506-12-16, 6506-16-16, 6506-20-20) - OMi dimension values (catalog only paired the columns), ASSUMED; master moved from staging 11_MASTERS_NEW (dry-run build 2026-10-02, 0 FAIL, old configurations identical); RUN_ME_batch15.txt; QA #167 | BUILT 2026-09-25: overnight build accepted into 11_MASTERS (10 configs; report in 03_SCRIPTS; QA #154/#155) | MACRO READY 2026-09-24 (4 configs, swivel -04/-08/-12/-16; Build_6506_MASTER.bas; QA #137) - not yet run | TABLED 2026-09-23 (AW s102, 18 rows, 5 MISSING; OMi feed 19 SKUs: 15 matched, 4 OMi-only of which 0 -FG near-matches)</t>
        </is>
      </c>
    </row>
    <row r="104" ht="15" customHeight="1" s="35">
      <c r="A104" s="34" t="inlineStr">
        <is>
          <t>6540</t>
        </is>
      </c>
      <c r="C104" s="34" t="inlineStr">
        <is>
          <t>Y</t>
        </is>
      </c>
      <c r="E104" s="34" t="inlineStr">
        <is>
          <t>NOT STARTED</t>
        </is>
      </c>
      <c r="G104" s="34" t="inlineStr">
        <is>
          <t>2026-09-23: no Air-Way carbon-steel series AND not found in the cs-adapters/flange/braze feed crawl (2402 is C2402 compression-only, 6540/7202 are FS-only per cs_roots.txt, 6316 not seen) - nothing to table yet</t>
        </is>
      </c>
    </row>
    <row r="105" ht="15" customHeight="1" s="35">
      <c r="A105" s="34" t="inlineStr">
        <is>
          <t>6565</t>
        </is>
      </c>
      <c r="B105" s="34" t="inlineStr">
        <is>
          <t>Y</t>
        </is>
      </c>
      <c r="C105" s="34" t="inlineStr">
        <is>
          <t>Y</t>
        </is>
      </c>
      <c r="E105" s="34" t="inlineStr">
        <is>
          <t>BUILT</t>
        </is>
      </c>
      <c r="G105" s="34" t="inlineStr">
        <is>
          <t>2026-10-20 BATCH 18 SHIPPED (QA #176): Air-Way first - 0 configuration(s) rebuilt with Air-Way values (were OMi website / Brennan); master replaced | BATCH 14 2026-10-02: built for real from its tier-1 macro (Claude, SolidWorks MCP, user-approved) - 6565-CAVITY: seat cones end at the through-bore (SWA/SWB_SEATENDR) + Task A; 8 configs (5 -&gt; 8: +6565-10-10 Task A OMi nut hex, -20-20, -24-24), the 5 old identical; staged Task A build superseded; 6565-32-32 waits for Q-THREAD; RUN_ME_batch14.txt; QA #159-#161 | BUILT 2026-09-25: overnight build accepted into 11_MASTERS (5 configs; report in 03_SCRIPTS; QA #154/#155); regenerated macro + SW2 shipped (batch 13b, QA #156) | MACRO READY 2026-09-24 (4 configs, swivel both ends -04/-08/-12/-16; Build_6565_MASTER.bas; QA #137) - not yet run | TABLED 2026-09-23 (AW s104, 9 rows, 1 MISSING; OMi feed 9 SKUs: 9 matched, 0 OMi-only of which 0 -FG near-matches)</t>
        </is>
      </c>
    </row>
    <row r="106" ht="15" customHeight="1" s="35">
      <c r="A106" s="34" t="inlineStr">
        <is>
          <t>6566</t>
        </is>
      </c>
      <c r="B106" s="34" t="inlineStr">
        <is>
          <t>Y</t>
        </is>
      </c>
      <c r="E106" s="34" t="inlineStr">
        <is>
          <t>SKELETON-MISSING</t>
        </is>
      </c>
      <c r="G106" s="34" t="inlineStr">
        <is>
          <t>2026-09-23: no Air-Way carbon-steel series page; DesignTable_6566.xlsx holds the 2 OMi SKUs as MISSING rows (BUILD) - needs a dimensional source</t>
        </is>
      </c>
    </row>
    <row r="107" ht="15" customHeight="1" s="35">
      <c r="A107" s="34" t="inlineStr">
        <is>
          <t>6600</t>
        </is>
      </c>
      <c r="B107" s="34" t="inlineStr">
        <is>
          <t>Y</t>
        </is>
      </c>
      <c r="C107" s="34" t="inlineStr">
        <is>
          <t>Y</t>
        </is>
      </c>
      <c r="E107" s="34" t="inlineStr">
        <is>
          <t>BUILT</t>
        </is>
      </c>
      <c r="G107" s="34" t="inlineStr">
        <is>
          <t>BATCH 17 2026-10-20: 9 -&gt; 10 configurations (+1); old configurations identical to the previous master; dry-run build moved into 11_MASTERS (0 FAIL, 1 body per configuration); RUN_ME_batch17.txt; QA #173 | BUILT 2026-09-25: overnight build accepted into 11_MASTERS (9 configs; report in 03_SCRIPTS; QA #154/#155) | MACRO READY 2026-09-24 (4 configs, swivel -04/-08/-12/-16; Build_6600_MASTER.bas; QA #137) - not yet run | TABLED 2026-09-23 (AW s193, 20 rows, 1 MISSING; OMi feed 10 SKUs: 10 matched, 0 OMi-only of which 0 -FG near-matches)</t>
        </is>
      </c>
    </row>
    <row r="108" ht="15" customHeight="1" s="35">
      <c r="A108" s="34" t="inlineStr">
        <is>
          <t>6602</t>
        </is>
      </c>
      <c r="B108" s="34" t="inlineStr">
        <is>
          <t>Y</t>
        </is>
      </c>
      <c r="C108" s="34" t="inlineStr">
        <is>
          <t>Y</t>
        </is>
      </c>
      <c r="E108" s="34" t="inlineStr">
        <is>
          <t>BUILT</t>
        </is>
      </c>
      <c r="G108" s="34" t="inlineStr">
        <is>
          <t>BATCH 17 2026-10-20: 9 -&gt; 10 configurations (+1); old configurations identical to the previous master; dry-run build moved into 11_MASTERS (0 FAIL, 1 body per configuration); RUN_ME_batch17.txt; QA #173 | BUILT 2026-09-25: overnight build accepted into 11_MASTERS (9 configs; report in 03_SCRIPTS; QA #154/#155) | MACRO READY 2026-09-24 (4 configs, swivel -04/-08/-12/-16; Build_6602_MASTER.bas; QA #137) - not yet run | TABLED 2026-09-23 (AW s194, 39 rows, 1 MISSING; OMi feed 9 SKUs: 9 matched, 0 OMi-only of which 0 -FG near-matches)</t>
        </is>
      </c>
    </row>
    <row r="109" ht="15" customHeight="1" s="35">
      <c r="A109" s="34" t="inlineStr">
        <is>
          <t>6603</t>
        </is>
      </c>
      <c r="B109" s="34" t="inlineStr">
        <is>
          <t>Y</t>
        </is>
      </c>
      <c r="E109" s="34" t="inlineStr">
        <is>
          <t>TABLED</t>
        </is>
      </c>
      <c r="G109" s="34" t="inlineStr">
        <is>
          <t>TABLED 2026-09-23 (AW s195, 5 rows, 0 MISSING; OMi feed 2 SKUs: 0 matched, 2 OMi-only of which 2 -FG near-matches)</t>
        </is>
      </c>
    </row>
    <row r="110" ht="15" customHeight="1" s="35">
      <c r="A110" s="34" t="inlineStr">
        <is>
          <t>6606</t>
        </is>
      </c>
      <c r="B110" s="34" t="inlineStr">
        <is>
          <t>Y</t>
        </is>
      </c>
      <c r="E110" s="34" t="inlineStr">
        <is>
          <t>BUILT</t>
        </is>
      </c>
      <c r="G110" s="34" t="inlineStr">
        <is>
          <t>BATCH 17 2026-10-20: NEW master 6606 (4 configurations); dry-run build moved into 11_MASTERS (0 FAIL, 1 body per configuration); RUN_ME_batch17.txt; QA #173 | TABLED 2026-09-23 (AW s198, 2 rows, 0 MISSING; OMi feed 6 SKUs: 0 matched, 6 OMi-only of which 2 -FG near-matches)</t>
        </is>
      </c>
    </row>
    <row r="111" ht="15" customHeight="1" s="35">
      <c r="A111" s="34" t="inlineStr">
        <is>
          <t>6701</t>
        </is>
      </c>
      <c r="B111" s="34" t="inlineStr">
        <is>
          <t>Y</t>
        </is>
      </c>
      <c r="E111" s="34" t="inlineStr">
        <is>
          <t>SKELETON-MISSING</t>
        </is>
      </c>
      <c r="G111" s="34" t="inlineStr">
        <is>
          <t>2026-09-23: no Air-Way carbon-steel series page; DesignTable_6701.xlsx holds the 7 OMi SKUs as MISSING rows (BUILD) - needs a dimensional source</t>
        </is>
      </c>
    </row>
    <row r="112" ht="15" customHeight="1" s="35">
      <c r="A112" s="34" t="inlineStr">
        <is>
          <t>6801</t>
        </is>
      </c>
      <c r="B112" s="34" t="inlineStr">
        <is>
          <t>Y</t>
        </is>
      </c>
      <c r="C112" s="34" t="inlineStr">
        <is>
          <t>Y</t>
        </is>
      </c>
      <c r="D112" s="34" t="inlineStr">
        <is>
          <t>Y</t>
        </is>
      </c>
      <c r="E112" s="62" t="inlineStr">
        <is>
          <t>BUILT</t>
        </is>
      </c>
      <c r="G112" s="34" t="inlineStr">
        <is>
          <t>BATCH 17 2026-10-20: 35 -&gt; 39 configurations (+4); old configurations identical to the previous master; dry-run build moved into 11_MASTERS (0 FAIL, 1 body per configuration); RUN_ME_batch17.txt; QA #173 | corner-puck fix (PUCK_INSET 0.0005, QA #171): re-shipped, 6801-06-04 / -06-05 / -06-06-NWO-FG got their corner, every other configuration changes by the inset sliver only (BATCH 16 2026-10-19, QA #170) | BATCH 15 2026-10-08: 2 new config(s) (6801-16-08-NWO-FG, 6801-24-32-NWO-FG) - from their own Brennan STEPs (-FG rule), ASSUMED; master moved from staging 11_MASTERS_NEW (dry-run build 2026-10-02, 0 FAIL, old configurations identical); RUN_ME_batch15.txt; QA #167 | BUILT 2026-09-25: overnight build accepted into 11_MASTERS (33 configs; report in 03_SCRIPTS; QA #154/#155); regenerated macro + SW2 shipped (batch 13b, QA #156) | 6801, -L, -LL, -LLL; 8 rows MISSING | scope vs OMi feed 2026-09-23: 41 BUILD / 96 DROP / 12 OMi-only (10 -FG near) of 53 OMi SKUs</t>
        </is>
      </c>
    </row>
    <row r="113" ht="15" customHeight="1" s="35">
      <c r="A113" s="34" t="inlineStr">
        <is>
          <t>6802</t>
        </is>
      </c>
      <c r="B113" s="34" t="inlineStr">
        <is>
          <t>Y</t>
        </is>
      </c>
      <c r="C113" s="34" t="inlineStr">
        <is>
          <t>Y</t>
        </is>
      </c>
      <c r="E113" s="62" t="inlineStr">
        <is>
          <t>BUILT</t>
        </is>
      </c>
      <c r="G113" s="34" t="inlineStr">
        <is>
          <t>corner-puck fix (PUCK_INSET 0.0005, QA #171): re-shipped, 6802-06-04 / -06-06-NWO-FG got their corner, every other configuration changes by the inset sliver only (BATCH 16 2026-10-19, QA #170) | BATCH 15 2026-10-08: 1 new config(s) (6802-32-32-NWO-FG; ORBTRIM1 live only there) - from their own Brennan STEPs (-FG rule), ASSUMED; master moved from staging 11_MASTERS_NEW (dry-run build 2026-10-02, 0 FAIL, old configurations identical); RUN_ME_batch15.txt; QA #167 | BATCH 14 2026-10-02: built for real from its tier-1 macro (Claude, SolidWorks MCP, user-approved) - 6802-E45: the 45 deg locknut-reach check fixed (ORBTRIM corner trim dormant); 19 configs (16 -&gt; 19: +6802-20-16, -20-20, -24-24-NWO-FG), the 16 old identical; 6802-32-32 waits for its STEP to be measured; RUN_ME_batch14.txt; QA #160/#161 | BUILT 2026-09-25: overnight build accepted into 11_MASTERS (16 configs; report in 03_SCRIPTS; QA #154/#155); regenerated macro + SW2 shipped (batch 13b, QA #156) | 3 rows MISSING | scope vs OMi feed 2026-09-23: 20 BUILD / 36 DROP / 4 OMi-only (3 -FG near) of 24 OMi SKUs</t>
        </is>
      </c>
    </row>
    <row r="114" ht="15" customHeight="1" s="35">
      <c r="A114" s="34" t="inlineStr">
        <is>
          <t>6803</t>
        </is>
      </c>
      <c r="B114" s="34" t="inlineStr">
        <is>
          <t>Y</t>
        </is>
      </c>
      <c r="C114" s="34" t="inlineStr">
        <is>
          <t>Y</t>
        </is>
      </c>
      <c r="E114" s="62" t="inlineStr">
        <is>
          <t>BUILT</t>
        </is>
      </c>
      <c r="F114" s="34" t="n">
        <v>8</v>
      </c>
      <c r="G114" s="34" t="inlineStr">
        <is>
          <t>BATCH 17 2026-10-20: 5 -&gt; 8 configurations (+3); old configurations identical to the previous master; dry-run build moved into 11_MASTERS (0 FAIL, 1 body per configuration); RUN_ME_batch17.txt; QA #173 | BUILT 2026-09-25: overnight build accepted into 11_MASTERS (5 configs; report in 03_SCRIPTS; QA #154/#155); regenerated macro + SW2 shipped (batch 13b, QA #156) | scope vs OMi feed 2026-09-23: 5 BUILD / 29 DROP / 3 OMi-only (3 -FG near) of 8 OMi SKUs</t>
        </is>
      </c>
    </row>
    <row r="115" ht="15" customHeight="1" s="35">
      <c r="A115" s="34" t="inlineStr">
        <is>
          <t>6804</t>
        </is>
      </c>
      <c r="B115" s="34" t="inlineStr">
        <is>
          <t>Y</t>
        </is>
      </c>
      <c r="C115" s="34" t="inlineStr">
        <is>
          <t>Y</t>
        </is>
      </c>
      <c r="E115" s="62" t="inlineStr">
        <is>
          <t>BUILT</t>
        </is>
      </c>
      <c r="G115" s="34" t="inlineStr">
        <is>
          <t>BUILT 2026-09-25: overnight build accepted into 11_MASTERS (8 configs; report in 03_SCRIPTS; QA #154/#155); regenerated macro + SW2 shipped (batch 13b, QA #156) | 1 row MISSING | scope vs OMi feed 2026-09-23: 8 BUILD / 44 DROP / 1 OMi-only (1 -FG near) of 9 OMi SKUs</t>
        </is>
      </c>
    </row>
    <row r="116" ht="15" customHeight="1" s="35">
      <c r="A116" s="34" t="inlineStr">
        <is>
          <t>6805</t>
        </is>
      </c>
      <c r="B116" s="34" t="inlineStr">
        <is>
          <t>Y</t>
        </is>
      </c>
      <c r="E116" s="62" t="inlineStr">
        <is>
          <t>TABLED - master not built</t>
        </is>
      </c>
      <c r="G116" s="34" t="inlineStr">
        <is>
          <t>1 row MISSING | scope vs OMi feed 2026-09-23: 3 BUILD / 15 DROP / 9 OMi-only (9 -FG near) of 12 OMi SKUs</t>
        </is>
      </c>
    </row>
    <row r="117" ht="15" customHeight="1" s="35">
      <c r="A117" s="34" t="inlineStr">
        <is>
          <t>6806</t>
        </is>
      </c>
      <c r="B117" s="34" t="inlineStr">
        <is>
          <t>Y</t>
        </is>
      </c>
      <c r="E117" s="62" t="inlineStr">
        <is>
          <t>TABLED - master not built</t>
        </is>
      </c>
      <c r="G117" s="34" t="inlineStr">
        <is>
          <t>scope vs OMi feed 2026-09-23: 1 BUILD / 16 DROP / 10 OMi-only (9 -FG near) of 11 OMi SKUs</t>
        </is>
      </c>
    </row>
    <row r="118" ht="15" customHeight="1" s="35">
      <c r="A118" s="34" t="inlineStr">
        <is>
          <t>6807</t>
        </is>
      </c>
      <c r="B118" s="34" t="inlineStr">
        <is>
          <t>Y</t>
        </is>
      </c>
      <c r="E118" s="34" t="inlineStr">
        <is>
          <t>BUILT</t>
        </is>
      </c>
      <c r="G118" s="34" t="inlineStr">
        <is>
          <t>BATCH 17 2026-10-20: NEW master 6807 (1 configurations); dry-run build moved into 11_MASTERS (0 FAIL, 1 body per configuration); RUN_ME_batch17.txt; QA #173 | TABLED 2026-09-23 (AW s140, 12 rows, 0 MISSING; OMi feed 5 SKUs: 1 matched, 4 OMi-only of which 4 -FG near-matches)</t>
        </is>
      </c>
    </row>
    <row r="119" ht="15" customHeight="1" s="35">
      <c r="A119" s="34" t="inlineStr">
        <is>
          <t>6809</t>
        </is>
      </c>
      <c r="B119" s="34" t="inlineStr">
        <is>
          <t>Y</t>
        </is>
      </c>
      <c r="C119" s="34" t="inlineStr">
        <is>
          <t>Y</t>
        </is>
      </c>
      <c r="E119" s="34" t="inlineStr">
        <is>
          <t>TABLED</t>
        </is>
      </c>
      <c r="G119" s="34" t="inlineStr">
        <is>
          <t>TABLED 2026-09-23 (AW s141, 12 rows, 0 MISSING; OMi feed 4 SKUs: 0 matched, 4 OMi-only of which 4 -FG near-matches)</t>
        </is>
      </c>
    </row>
    <row r="120" ht="15" customHeight="1" s="35">
      <c r="A120" s="34" t="inlineStr">
        <is>
          <t>6810</t>
        </is>
      </c>
      <c r="B120" s="34" t="inlineStr">
        <is>
          <t>Y</t>
        </is>
      </c>
      <c r="E120" s="34" t="inlineStr">
        <is>
          <t>TABLED</t>
        </is>
      </c>
      <c r="G120" s="34" t="inlineStr">
        <is>
          <t>TABLED 2026-09-23 (AW s160, 4 rows, 0 MISSING; OMi feed 1 SKUs: 0 matched, 1 OMi-only of which 1 -FG near-matches)</t>
        </is>
      </c>
    </row>
    <row r="121" ht="15" customHeight="1" s="35">
      <c r="A121" s="34" t="inlineStr">
        <is>
          <t>6815</t>
        </is>
      </c>
      <c r="B121" s="34" t="inlineStr">
        <is>
          <t>Y</t>
        </is>
      </c>
      <c r="E121" s="34" t="inlineStr">
        <is>
          <t>SKELETON-MISSING</t>
        </is>
      </c>
      <c r="G121" s="34" t="inlineStr">
        <is>
          <t>2026-09-23: no Air-Way carbon-steel series page; DesignTable_6815.xlsx holds the 6 OMi SKUs as MISSING rows (BUILD) - needs a dimensional source</t>
        </is>
      </c>
    </row>
    <row r="122" ht="15" customHeight="1" s="35">
      <c r="A122" s="34" t="inlineStr">
        <is>
          <t>6832</t>
        </is>
      </c>
      <c r="B122" s="34" t="inlineStr">
        <is>
          <t>Y</t>
        </is>
      </c>
      <c r="E122" s="34" t="inlineStr">
        <is>
          <t>SKELETON-MISSING</t>
        </is>
      </c>
      <c r="G122" s="34" t="inlineStr">
        <is>
          <t>2026-09-23: no Air-Way carbon-steel series page; DesignTable_6832.xlsx holds the 4 OMi SKUs as MISSING rows (BUILD) - needs a dimensional source</t>
        </is>
      </c>
    </row>
    <row r="123" ht="15" customHeight="1" s="35">
      <c r="A123" s="34" t="inlineStr">
        <is>
          <t>6835</t>
        </is>
      </c>
      <c r="B123" s="34" t="inlineStr">
        <is>
          <t>Y</t>
        </is>
      </c>
      <c r="E123" s="34" t="inlineStr">
        <is>
          <t>SKELETON-MISSING</t>
        </is>
      </c>
      <c r="G123" s="34" t="inlineStr">
        <is>
          <t>2026-09-23: no Air-Way carbon-steel series page; DesignTable_6835.xlsx holds the 4 OMi SKUs as MISSING rows (BUILD) - needs a dimensional source</t>
        </is>
      </c>
    </row>
    <row r="124" ht="15" customHeight="1" s="35">
      <c r="A124" s="34" t="inlineStr">
        <is>
          <t>6900</t>
        </is>
      </c>
      <c r="B124" s="34" t="inlineStr">
        <is>
          <t>Y</t>
        </is>
      </c>
      <c r="E124" s="62" t="inlineStr">
        <is>
          <t>TABLED - master not built</t>
        </is>
      </c>
      <c r="G124" s="34" t="inlineStr">
        <is>
          <t>all 24 rows MISSING | scope vs OMi feed 2026-09-23: 21 BUILD / 3 DROP / 1 OMi-only (0 -FG near) of 22 OMi SKUs</t>
        </is>
      </c>
    </row>
    <row r="125" ht="15" customHeight="1" s="35">
      <c r="A125" s="34" t="inlineStr">
        <is>
          <t>6901</t>
        </is>
      </c>
      <c r="B125" s="34" t="inlineStr">
        <is>
          <t>Y</t>
        </is>
      </c>
      <c r="E125" s="34" t="inlineStr">
        <is>
          <t>TABLED</t>
        </is>
      </c>
      <c r="G125" s="34" t="inlineStr">
        <is>
          <t>TABLED 2026-09-23 (AW s142, 29 rows, 0 MISSING; OMi feed 17 SKUs: 3 matched, 14 OMi-only of which 13 -FG near-matches)</t>
        </is>
      </c>
    </row>
    <row r="126" ht="15" customHeight="1" s="35">
      <c r="A126" s="34" t="inlineStr">
        <is>
          <t>6902</t>
        </is>
      </c>
      <c r="B126" s="34" t="inlineStr">
        <is>
          <t>Y</t>
        </is>
      </c>
      <c r="E126" s="34" t="inlineStr">
        <is>
          <t>BUILT</t>
        </is>
      </c>
      <c r="G126" s="34" t="inlineStr">
        <is>
          <t>BATCH 17 2026-10-20: NEW master 6902 (1 configurations) - 45 deg angled legs (helical thread on the 135 deg leg, HelixThreadV; QA #174 fix); dry-run build moved into 11_MASTERS (0 FAIL, 1 body per configuration); RUN_ME_batch17.txt; QA #173 | TABLED 2026-09-23 (AW s161, 18 rows, 0 MISSING; OMi feed 10 SKUs: 1 matched, 9 OMi-only of which 8 -FG near-matches)</t>
        </is>
      </c>
    </row>
    <row r="127" ht="15" customHeight="1" s="35">
      <c r="A127" s="34" t="inlineStr">
        <is>
          <t>7202</t>
        </is>
      </c>
      <c r="C127" s="34" t="inlineStr">
        <is>
          <t>Y</t>
        </is>
      </c>
      <c r="E127" s="34" t="inlineStr">
        <is>
          <t>NOT STARTED</t>
        </is>
      </c>
      <c r="G127" s="34" t="inlineStr">
        <is>
          <t>2026-09-23: no Air-Way carbon-steel series AND not found in the cs-adapters/flange/braze feed crawl (2402 is C2402 compression-only, 6540/7202 are FS-only per cs_roots.txt, 6316 not seen) - nothing to table yet</t>
        </is>
      </c>
    </row>
  </sheetData>
  <autoFilter ref="A1:E1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7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34" min="1" max="1"/>
    <col width="12" customWidth="1" style="34" min="2" max="2"/>
    <col width="22" customWidth="1" style="34" min="3" max="4"/>
    <col width="10" customWidth="1" style="34" min="5" max="5"/>
    <col width="24" customWidth="1" style="34" min="6" max="6"/>
  </cols>
  <sheetData>
    <row r="1" ht="17.25" customHeight="1" s="35">
      <c r="A1" s="36" t="inlineStr">
        <is>
          <t>INDUSTRY-STANDARD VALUES — PRESSURE, MATERIAL, FINISH, TEMPERATURE</t>
        </is>
      </c>
    </row>
    <row r="2" ht="15" customHeight="1" s="35">
      <c r="A2" s="34" t="inlineStr">
        <is>
          <t>Every figure below is sourced and labelled. Nothing here is assumed or interpolated.</t>
        </is>
      </c>
    </row>
    <row r="3" ht="15" customHeight="1" s="35"/>
    <row r="4" ht="15" customHeight="1" s="35">
      <c r="A4" s="38" t="inlineStr">
        <is>
          <t>PRESSURE RATINGS — 37 deg flare (JIC), carbon steel</t>
        </is>
      </c>
    </row>
    <row r="5" ht="15" customHeight="1" s="35">
      <c r="A5" s="34" t="inlineStr">
        <is>
          <t>TWO DIFFERENT TABLES EXIST. They do not agree. Both are reproduced; neither is averaged.</t>
        </is>
      </c>
    </row>
    <row r="6" ht="15" customHeight="1" s="35"/>
    <row r="7" ht="15" customHeight="1" s="35">
      <c r="A7" s="39" t="inlineStr">
        <is>
          <t>Dash</t>
        </is>
      </c>
      <c r="B7" s="39" t="inlineStr">
        <is>
          <t>Tube OD</t>
        </is>
      </c>
      <c r="C7" s="39" t="inlineStr">
        <is>
          <t>GENERIC SAE-STYLE psi</t>
        </is>
      </c>
      <c r="D7" s="39" t="inlineStr">
        <is>
          <t>Parker Triple-Lok psi</t>
        </is>
      </c>
      <c r="E7" s="39" t="inlineStr">
        <is>
          <t>Delta</t>
        </is>
      </c>
      <c r="F7" s="39" t="inlineStr">
        <is>
          <t>Which to use</t>
        </is>
      </c>
    </row>
    <row r="8" ht="15" customHeight="1" s="35">
      <c r="A8" s="34" t="n">
        <v>2</v>
      </c>
      <c r="B8" s="34" t="inlineStr">
        <is>
          <t>1/8</t>
        </is>
      </c>
      <c r="C8" s="48" t="n">
        <v>5000</v>
      </c>
      <c r="D8" s="40" t="n">
        <v>7500</v>
      </c>
      <c r="E8" s="34" t="inlineStr">
        <is>
          <t>+50%</t>
        </is>
      </c>
      <c r="F8" s="34" t="inlineStr">
        <is>
          <t>GENERIC (conservative)</t>
        </is>
      </c>
    </row>
    <row r="9" ht="15" customHeight="1" s="35">
      <c r="A9" s="34" t="n">
        <v>3</v>
      </c>
      <c r="B9" s="34" t="inlineStr">
        <is>
          <t>3/16</t>
        </is>
      </c>
      <c r="C9" s="48" t="n">
        <v>5000</v>
      </c>
      <c r="D9" s="40" t="n">
        <v>7500</v>
      </c>
      <c r="E9" s="34" t="inlineStr">
        <is>
          <t>+50%</t>
        </is>
      </c>
      <c r="F9" s="34" t="inlineStr">
        <is>
          <t>GENERIC (conservative)</t>
        </is>
      </c>
    </row>
    <row r="10" ht="15" customHeight="1" s="35">
      <c r="A10" s="34" t="n">
        <v>4</v>
      </c>
      <c r="B10" s="34" t="inlineStr">
        <is>
          <t>1/4</t>
        </is>
      </c>
      <c r="C10" s="48" t="n">
        <v>5000</v>
      </c>
      <c r="D10" s="40" t="n">
        <v>7500</v>
      </c>
      <c r="E10" s="34" t="inlineStr">
        <is>
          <t>+50%</t>
        </is>
      </c>
      <c r="F10" s="34" t="inlineStr">
        <is>
          <t>GENERIC (conservative)</t>
        </is>
      </c>
    </row>
    <row r="11" ht="15" customHeight="1" s="35">
      <c r="A11" s="34" t="n">
        <v>5</v>
      </c>
      <c r="B11" s="34" t="inlineStr">
        <is>
          <t>5/16</t>
        </is>
      </c>
      <c r="C11" s="48" t="n">
        <v>5000</v>
      </c>
      <c r="D11" s="40" t="n">
        <v>7500</v>
      </c>
      <c r="E11" s="34" t="inlineStr">
        <is>
          <t>+50%</t>
        </is>
      </c>
      <c r="F11" s="34" t="inlineStr">
        <is>
          <t>GENERIC (conservative)</t>
        </is>
      </c>
    </row>
    <row r="12" ht="15" customHeight="1" s="35">
      <c r="A12" s="34" t="n">
        <v>6</v>
      </c>
      <c r="B12" s="34" t="inlineStr">
        <is>
          <t>3/8</t>
        </is>
      </c>
      <c r="C12" s="48" t="n">
        <v>5000</v>
      </c>
      <c r="D12" s="40" t="n">
        <v>7500</v>
      </c>
      <c r="E12" s="34" t="inlineStr">
        <is>
          <t>+50%</t>
        </is>
      </c>
      <c r="F12" s="34" t="inlineStr">
        <is>
          <t>GENERIC (conservative)</t>
        </is>
      </c>
    </row>
    <row r="13" ht="15" customHeight="1" s="35">
      <c r="A13" s="34" t="n">
        <v>8</v>
      </c>
      <c r="B13" s="34" t="inlineStr">
        <is>
          <t>1/2</t>
        </is>
      </c>
      <c r="C13" s="48" t="n">
        <v>4500</v>
      </c>
      <c r="D13" s="40" t="n">
        <v>6000</v>
      </c>
      <c r="E13" s="34" t="inlineStr">
        <is>
          <t>+33%</t>
        </is>
      </c>
      <c r="F13" s="34" t="inlineStr">
        <is>
          <t>GENERIC (conservative)</t>
        </is>
      </c>
    </row>
    <row r="14" ht="15" customHeight="1" s="35">
      <c r="A14" s="34" t="n">
        <v>10</v>
      </c>
      <c r="B14" s="34" t="inlineStr">
        <is>
          <t>5/8</t>
        </is>
      </c>
      <c r="C14" s="48" t="n">
        <v>3500</v>
      </c>
      <c r="D14" s="40" t="n">
        <v>6000</v>
      </c>
      <c r="E14" s="34" t="inlineStr">
        <is>
          <t>+71%</t>
        </is>
      </c>
      <c r="F14" s="34" t="inlineStr">
        <is>
          <t>GENERIC (conservative)</t>
        </is>
      </c>
    </row>
    <row r="15" ht="15" customHeight="1" s="35">
      <c r="A15" s="34" t="n">
        <v>12</v>
      </c>
      <c r="B15" s="34" t="inlineStr">
        <is>
          <t>3/4</t>
        </is>
      </c>
      <c r="C15" s="48" t="n">
        <v>3500</v>
      </c>
      <c r="D15" s="40" t="n">
        <v>5000</v>
      </c>
      <c r="E15" s="34" t="inlineStr">
        <is>
          <t>+43%</t>
        </is>
      </c>
      <c r="F15" s="34" t="inlineStr">
        <is>
          <t>GENERIC (conservative)</t>
        </is>
      </c>
    </row>
    <row r="16" ht="15" customHeight="1" s="35">
      <c r="A16" s="34" t="n">
        <v>14</v>
      </c>
      <c r="B16" s="34" t="inlineStr">
        <is>
          <t>7/8</t>
        </is>
      </c>
      <c r="C16" s="48" t="n">
        <v>3000</v>
      </c>
      <c r="D16" s="40" t="n">
        <v>5000</v>
      </c>
      <c r="E16" s="34" t="inlineStr">
        <is>
          <t>+67%</t>
        </is>
      </c>
      <c r="F16" s="34" t="inlineStr">
        <is>
          <t>GENERIC (conservative)</t>
        </is>
      </c>
    </row>
    <row r="17" ht="15" customHeight="1" s="35">
      <c r="A17" s="34" t="n">
        <v>16</v>
      </c>
      <c r="B17" s="34" t="inlineStr">
        <is>
          <t>1</t>
        </is>
      </c>
      <c r="C17" s="48" t="n">
        <v>3000</v>
      </c>
      <c r="D17" s="40" t="n">
        <v>4000</v>
      </c>
      <c r="E17" s="34" t="inlineStr">
        <is>
          <t>+33%</t>
        </is>
      </c>
      <c r="F17" s="34" t="inlineStr">
        <is>
          <t>GENERIC (conservative)</t>
        </is>
      </c>
    </row>
    <row r="18" ht="15" customHeight="1" s="35">
      <c r="A18" s="34" t="n">
        <v>20</v>
      </c>
      <c r="B18" s="34" t="inlineStr">
        <is>
          <t>1 1/4</t>
        </is>
      </c>
      <c r="C18" s="48" t="n">
        <v>2500</v>
      </c>
      <c r="D18" s="40" t="n">
        <v>4000</v>
      </c>
      <c r="E18" s="34" t="inlineStr">
        <is>
          <t>+60%</t>
        </is>
      </c>
      <c r="F18" s="34" t="inlineStr">
        <is>
          <t>GENERIC (conservative)</t>
        </is>
      </c>
    </row>
    <row r="19" ht="15" customHeight="1" s="35">
      <c r="A19" s="34" t="n">
        <v>24</v>
      </c>
      <c r="B19" s="34" t="inlineStr">
        <is>
          <t>1 1/2</t>
        </is>
      </c>
      <c r="C19" s="48" t="n">
        <v>2000</v>
      </c>
      <c r="D19" s="40" t="n">
        <v>3000</v>
      </c>
      <c r="E19" s="34" t="inlineStr">
        <is>
          <t>+50%</t>
        </is>
      </c>
      <c r="F19" s="34" t="inlineStr">
        <is>
          <t>GENERIC (conservative)</t>
        </is>
      </c>
    </row>
    <row r="20" ht="15" customHeight="1" s="35">
      <c r="A20" s="34" t="n">
        <v>32</v>
      </c>
      <c r="B20" s="34" t="inlineStr">
        <is>
          <t>2</t>
        </is>
      </c>
      <c r="C20" s="48" t="n">
        <v>1500</v>
      </c>
      <c r="D20" s="40" t="n">
        <v>2000</v>
      </c>
      <c r="E20" s="34" t="inlineStr">
        <is>
          <t>+33%</t>
        </is>
      </c>
      <c r="F20" s="34" t="inlineStr">
        <is>
          <t>GENERIC (conservative)</t>
        </is>
      </c>
    </row>
    <row r="21" ht="15" customHeight="1" s="35"/>
    <row r="22" ht="15" customHeight="1" s="35">
      <c r="A22" s="34" t="inlineStr">
        <is>
          <t>GENERIC column: Ham-Let SAE37 catalog AND hoseandfittings.com — two independent sources, IDENTICAL on all 13 sizes.</t>
        </is>
      </c>
    </row>
    <row r="23" ht="15" customHeight="1" s="35">
      <c r="A23" s="34" t="inlineStr">
        <is>
          <t xml:space="preserve">  https://s29.q4cdn.com/619069826/files/doc_downloads/2025/Jan/SAE37-FLARE-2025.pdf</t>
        </is>
      </c>
    </row>
    <row r="24" ht="15" customHeight="1" s="35">
      <c r="A24" s="34" t="inlineStr">
        <is>
          <t xml:space="preserve">  https://www.hoseandfittings.com/jic-pressures/</t>
        </is>
      </c>
    </row>
    <row r="25" ht="15" customHeight="1" s="35">
      <c r="A25" s="34" t="inlineStr">
        <is>
          <t>PARKER column: Parker Catalog 4300 Triple-Lok, HTX union table p.B10 - product-specific rating for Parker's own fitting.</t>
        </is>
      </c>
    </row>
    <row r="26" ht="15" customHeight="1" s="35">
      <c r="A26" s="34" t="inlineStr">
        <is>
          <t xml:space="preserve">  https://irp-cdn.multiscreensite.com/a854805f/files/uploaded/Catalog%204300-%20Triple-Lok%20&amp;%20Triple-Lok_2%2037%C2%B0%20Flare%20Tube%20Fittings.pdf</t>
        </is>
      </c>
    </row>
    <row r="27" ht="15" customHeight="1" s="35">
      <c r="A27" s="38" t="inlineStr">
        <is>
          <t>RECOMMENDATION: publish the GENERIC figures. They are conservative, two-source agreed, and not tied to</t>
        </is>
      </c>
    </row>
    <row r="28" ht="15" customHeight="1" s="35">
      <c r="A28" s="34" t="inlineStr">
        <is>
          <t>another maker's product. Parker's are 30-50% higher and specific to Parker's manufacturing.</t>
        </is>
      </c>
    </row>
    <row r="29" ht="15" customHeight="1" s="35"/>
    <row r="30" ht="15" customHeight="1" s="35">
      <c r="A30" s="38" t="inlineStr">
        <is>
          <t>RULES THAT GOVERN HOW THE RATING IS APPLIED</t>
        </is>
      </c>
    </row>
    <row r="31" ht="15" customHeight="1" s="35">
      <c r="A31" s="34" t="inlineStr">
        <is>
          <t>1. Published figures are WORKING pressure at a 4:1 minimum burst factor.  [Ham-Let; Pulsar Hydraulics]</t>
        </is>
      </c>
    </row>
    <row r="32" ht="15" customHeight="1" s="35">
      <c r="A32" s="34" t="inlineStr">
        <is>
          <t>2. Fitting SHAPE does not change the rating - a -8 union, -8 elbow and -8 tee all rate the same.  [Parker Cat.4300]</t>
        </is>
      </c>
    </row>
    <row r="33" ht="15" customHeight="1" s="35">
      <c r="A33" s="34" t="inlineStr">
        <is>
          <t>3. END TYPE does. A flare-to-NPTF part rates below an all-flare part of the same dash.  [Parker Cat.4300]</t>
        </is>
      </c>
    </row>
    <row r="34" ht="15" customHeight="1" s="35">
      <c r="A34" s="34" t="inlineStr">
        <is>
          <t>4. On a two-end fitting the LOWER-rated end governs.  VERBATIM: 'When using jump size adapters or</t>
        </is>
      </c>
    </row>
    <row r="35" ht="15" customHeight="1" s="35">
      <c r="A35" s="34" t="inlineStr">
        <is>
          <t xml:space="preserve">   adapters with two thread styles, always refer to the lowest of the two ratings.'  [pulsarhydraulics.com/pressure-ratings]</t>
        </is>
      </c>
    </row>
    <row r="36" ht="15" customHeight="1" s="35">
      <c r="A36" s="40" t="inlineStr">
        <is>
          <t>5. DERIVED RULE APPLIED IN THIS WORKBOOK: rating = generic table value for the LARGER of the two dash</t>
        </is>
      </c>
    </row>
    <row r="37" ht="15" customHeight="1" s="35">
      <c r="A37" s="34" t="inlineStr">
        <is>
          <t xml:space="preserve">   sizes, because larger dash = lower rating = the governing end. This is our application of rule 4,</t>
        </is>
      </c>
    </row>
    <row r="38" ht="15" customHeight="1" s="35">
      <c r="A38" s="34" t="inlineStr">
        <is>
          <t xml:space="preserve">   NOT a published figure. Flagged as DERIVED on every row it touches.</t>
        </is>
      </c>
    </row>
    <row r="39" ht="15" customHeight="1" s="35"/>
    <row r="40" ht="15" customHeight="1" s="35">
      <c r="A40" s="38" t="inlineStr">
        <is>
          <t>MATERIAL</t>
        </is>
      </c>
    </row>
    <row r="41" ht="15" customHeight="1" s="35">
      <c r="A41" s="34" t="inlineStr">
        <is>
          <t>SAE J514 clause 3.9 (2001 repro): 'Unless otherwise specified, fittings and ferrules shall be made from carbon steel.'</t>
        </is>
      </c>
    </row>
    <row r="42" ht="15" customHeight="1" s="35">
      <c r="A42" s="34" t="inlineStr">
        <is>
          <t xml:space="preserve">  -&gt; The standard mandates the CLASS only. Specific grade is the manufacturer's choice.</t>
        </is>
      </c>
    </row>
    <row r="43" ht="15" customHeight="1" s="35">
      <c r="A43" s="34" t="inlineStr">
        <is>
          <t xml:space="preserve">  Source: studocu reproduction of J514(2001) - SECONDARY source, current 2022 edition is paywalled and unverified.</t>
        </is>
      </c>
    </row>
    <row r="44" ht="15" customHeight="1" s="35"/>
    <row r="45" ht="15" customHeight="1" s="35">
      <c r="A45" s="34" t="inlineStr">
        <is>
          <t>Parker Triple-Lok actual grades (Catalog 4300, 'Materials and Manufacture'):</t>
        </is>
      </c>
    </row>
    <row r="46" ht="15" customHeight="1" s="35">
      <c r="A46" s="34" t="inlineStr">
        <is>
          <t xml:space="preserve">   Cold formed bodies   ASTM A576 C1010/C1008</t>
        </is>
      </c>
    </row>
    <row r="47" ht="15" customHeight="1" s="35">
      <c r="A47" s="34" t="inlineStr">
        <is>
          <t xml:space="preserve">   Forged bodies        ASTM A576 1214/1215</t>
        </is>
      </c>
    </row>
    <row r="48" ht="15" customHeight="1" s="35">
      <c r="A48" s="34" t="inlineStr">
        <is>
          <t xml:space="preserve">   Bar stock bodies     ASTM A108 12L14</t>
        </is>
      </c>
    </row>
    <row r="49" ht="15" customHeight="1" s="35">
      <c r="A49" s="34" t="inlineStr">
        <is>
          <t xml:space="preserve">   Bar stock sleeves    ASTM A108 C1137</t>
        </is>
      </c>
    </row>
    <row r="50" ht="15" customHeight="1" s="35">
      <c r="A50" s="34" t="inlineStr">
        <is>
          <t xml:space="preserve">   Cold formed nuts     ASTM A576 C1010/C1008</t>
        </is>
      </c>
    </row>
    <row r="51" ht="15" customHeight="1" s="35">
      <c r="A51" s="34" t="inlineStr">
        <is>
          <t xml:space="preserve">  https://www.goodyearrubberproducts.com/files/Parker/ParkerTubeCatalog4300/Parker%20Tube%20Catalog%204300examin1.Page062.pdf</t>
        </is>
      </c>
    </row>
    <row r="52" ht="15" customHeight="1" s="35">
      <c r="A52" s="40" t="inlineStr">
        <is>
          <t>Dunlop Hiflex cites ASTM A108 (bar) / ASTM A105 (forging) - MAKERS GENUINELY DIFFER. Pick one and state it.</t>
        </is>
      </c>
    </row>
    <row r="53" ht="15" customHeight="1" s="35"/>
    <row r="54" ht="15" customHeight="1" s="35">
      <c r="A54" s="38" t="inlineStr">
        <is>
          <t>FINISH / PLATING</t>
        </is>
      </c>
    </row>
    <row r="55" ht="15" customHeight="1" s="35">
      <c r="A55" s="34" t="inlineStr">
        <is>
          <t>SAE baseline: 72 hours salt spray without red rust. NOTE: attributed to SAE by Eaton and a Parker distributor,</t>
        </is>
      </c>
    </row>
    <row r="56" ht="15" customHeight="1" s="35">
      <c r="A56" s="34" t="inlineStr">
        <is>
          <t xml:space="preserve">  but NOT seen in SAE-published text. Treat as corroborated hearsay, not a verified quote.</t>
        </is>
      </c>
    </row>
    <row r="57" ht="15" customHeight="1" s="35">
      <c r="A57" s="34" t="inlineStr">
        <is>
          <t>Legacy  : zinc + yellow chromate (HEXAVALENT) - being phased out industry-wide.</t>
        </is>
      </c>
    </row>
    <row r="58" ht="15" customHeight="1" s="35">
      <c r="A58" s="34" t="inlineStr">
        <is>
          <t>Current : trivalent Cr3 zinc, ASTM B633 Type V/VI passivate. Brennan quotes 120h white / 240h red.</t>
        </is>
      </c>
    </row>
    <row r="59" ht="15" customHeight="1" s="35">
      <c r="A59" s="34" t="inlineStr">
        <is>
          <t>Premium : zinc-nickel. Gates and STAUFF both quote 1,200h red rust per ISO 9227. STAUFF declares Cr(VI)-free,</t>
        </is>
      </c>
    </row>
    <row r="60" ht="15" customHeight="1" s="35">
      <c r="A60" s="34" t="inlineStr">
        <is>
          <t xml:space="preserve">          RoHS 2002/95/EC, ELV 2000/53/EC and REACH compliant.</t>
        </is>
      </c>
    </row>
    <row r="61" ht="15" customHeight="1" s="35">
      <c r="A61" s="34" t="inlineStr">
        <is>
          <t>ASTM B633-23 was revised to add Types V and VI specifically for non-chromate RoHS passivates.</t>
        </is>
      </c>
    </row>
    <row r="62" ht="15" customHeight="1" s="35">
      <c r="A62" s="34" t="inlineStr">
        <is>
          <t>CAUTION: salt-spray hours from different makers use DIFFERENT test standards (ASTM B117 vs ISO 9227 vs</t>
        </is>
      </c>
    </row>
    <row r="63" ht="15" customHeight="1" s="35">
      <c r="A63" s="40" t="inlineStr">
        <is>
          <t xml:space="preserve">  DIN 50021-SS). They are NOT interchangeable and should not be compared directly.</t>
        </is>
      </c>
    </row>
    <row r="64" ht="15" customHeight="1" s="35"/>
    <row r="65" ht="15" customHeight="1" s="35">
      <c r="A65" s="38" t="inlineStr">
        <is>
          <t>TEMPERATURE</t>
        </is>
      </c>
    </row>
    <row r="66" ht="15" customHeight="1" s="35">
      <c r="A66" s="34" t="inlineStr">
        <is>
          <t>-65 F to +400 F for steel 37 deg flare (metal-to-metal joint).  [kimballmidwest.com] - SINGLE distributor source, WEAK.</t>
        </is>
      </c>
    </row>
    <row r="67" ht="15" customHeight="1" s="35">
      <c r="A67" s="34" t="inlineStr">
        <is>
          <t>No published O-ring-boss / ORB temperature limit was found. An ORB joint is limited by the elastomer,</t>
        </is>
      </c>
    </row>
    <row r="68" ht="15" customHeight="1" s="35">
      <c r="A68" s="49" t="inlineStr">
        <is>
          <t xml:space="preserve">  not the steel, so this figure does NOT apply to ORB ends. UNRESOLVED - needs your seal supplier's data.</t>
        </is>
      </c>
    </row>
    <row r="69">
      <c r="A69" s="34" t="inlineStr">
        <is>
          <t>MS33656J (12 Mar 1987, canceled 1993 -&gt; AS4395)</t>
        </is>
      </c>
      <c r="B69" s="34" t="inlineStr">
        <is>
          <t>Fitting end, flared tube connection - male 37deg end: A/B/C/D/E/F/H/J/K/Q/W per dash -2..-48. FREE via ASSIST quicksearch ident 41956. Transcribed in 03_SCRIPTS/ms33656.py. Verified == Brennan STEP measurements at dashes 2-32.</t>
        </is>
      </c>
    </row>
    <row r="70">
      <c r="A70" s="34" t="inlineStr">
        <is>
          <t>Parker ORD-5700 Design Table 4-4 (AS4395 fitting end)</t>
        </is>
      </c>
      <c r="B70" s="34" t="inlineStr">
        <is>
          <t>ORB stud-end groove: F root dia (+.002/-.003) and G width (+.015/-.000), dashes 2-32 (no -7). FREE: parker.com O-Ring Handbook PDF + bayseal.com mirror. Transcribed in 03_SCRIPTS/ms_nuts_orb.py. F == library GRVDIA on all 13 dashes; G == library GRVW on 2-12; G NOT printed for 14-32.</t>
        </is>
      </c>
    </row>
    <row r="71">
      <c r="A71" s="34" t="inlineStr">
        <is>
          <t>AN818 Rev 20 Amd 4 (26 Sep 2024, Active)</t>
        </is>
      </c>
      <c r="B71" s="34" t="inlineStr">
        <is>
          <t>Nut, tube coupling, short (aerospace UNJ): A bore, C dia, H csink, J, L, M, N, P hex, Q, R, S, U per dash -2..-48. FREE via ASSIST ident 54315 (token 5791795). Transcribed in ms_nuts_orb.py. Internal seat NOT dimensioned.</t>
        </is>
      </c>
    </row>
    <row r="72">
      <c r="A72" s="34" t="inlineStr">
        <is>
          <t>MS51531D (30 Sep 2021, Active)</t>
        </is>
      </c>
      <c r="B72" s="34" t="inlineStr">
        <is>
          <t>Nut, tube coupling, 37 deg flared (industrial SAE J514 / UNF-2B): B thread, C hex, D1 bore, I1, J1 full thread min, L1 for B2-B32. FREE via ASSIST ident 43344 (token 5774431). Transcribed in ms_nuts_orb.py. Note 5: drawing does not restrict designs -&gt; Air-Way nut may differ. Internal seat NOT dimensioned.</t>
        </is>
      </c>
    </row>
    <row r="73">
      <c r="A73" s="34" t="inlineStr">
        <is>
          <t>SAE-AS1708 (Active, DoD-adopted 1987, reaffirmed 2025)</t>
        </is>
      </c>
      <c r="B73" s="34" t="inlineStr">
        <is>
          <t>Fitting End, Internal Flare Design Standard - the ONLY standard for the female 37 deg seat. ASSIST hosts the adoption notice only; body must be purchased from SAE. UNRESOLVED for 6500 / 6500-L / 2406 / 6900 internal seat.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4" min="1" max="1"/>
    <col width="14" customWidth="1" style="34" min="2" max="3"/>
    <col width="17" customWidth="1" style="34" min="4" max="4"/>
    <col width="15" customWidth="1" style="34" min="5" max="5"/>
    <col width="21" customWidth="1" style="34" min="6" max="6"/>
    <col width="15" customWidth="1" style="34" min="7" max="7"/>
    <col width="22" customWidth="1" style="34" min="8" max="8"/>
  </cols>
  <sheetData>
    <row r="1" ht="17.35" customHeight="1" s="35">
      <c r="A1" s="36" t="inlineStr">
        <is>
          <t>END GEOMETRY BY DASH SIZE — the dimensions the fitting catalogs never print</t>
        </is>
      </c>
    </row>
    <row r="2" ht="15" customHeight="1" s="35">
      <c r="A2" s="34" t="inlineStr">
        <is>
          <t>These depend ONLY on dash size, not on the part. Same for every fitting carrying that end.</t>
        </is>
      </c>
    </row>
    <row r="3" ht="15" customHeight="1" s="35">
      <c r="A3" s="34" t="inlineStr">
        <is>
          <t>Model them as named dimensions (not generic slots) because the meaning IS universal.</t>
        </is>
      </c>
    </row>
    <row r="5" ht="15" customHeight="1" s="35">
      <c r="A5" s="38" t="inlineStr">
        <is>
          <t>SAE STRAIGHT THREAD O-RING BOSS — MALE STUD END</t>
        </is>
      </c>
    </row>
    <row r="6" ht="15" customHeight="1" s="35">
      <c r="A6" s="34" t="inlineStr">
        <is>
          <t>Source: Parker O-Ring Handbook ORD-5700 'Boss Seals', Design Table 4-4 (fitting end per AS4395, used with J1926/1 bosses).</t>
        </is>
      </c>
    </row>
    <row r="7" ht="15" customHeight="1" s="35">
      <c r="A7" s="34" t="inlineStr">
        <is>
          <t>https://www.parker.com/content/dam/Parker-com/Literature/O-Ring-Division-Literature/ORD-5700_BossSeals.pdf</t>
        </is>
      </c>
    </row>
    <row r="8" ht="15" customHeight="1" s="35">
      <c r="A8" s="39" t="inlineStr">
        <is>
          <t>Dash</t>
        </is>
      </c>
      <c r="B8" s="39" t="inlineStr">
        <is>
          <t>Thread</t>
        </is>
      </c>
      <c r="C8" s="39" t="inlineStr">
        <is>
          <t>O-ring AS568</t>
        </is>
      </c>
      <c r="D8" s="39" t="inlineStr">
        <is>
          <t>ORB_GRVDIA (F)</t>
        </is>
      </c>
      <c r="E8" s="39" t="inlineStr">
        <is>
          <t>ORB_GRVW (G)</t>
        </is>
      </c>
      <c r="F8" s="39" t="inlineStr">
        <is>
          <t>groove depth (derived)</t>
        </is>
      </c>
      <c r="G8" s="39" t="inlineStr">
        <is>
          <t>seat face dia K</t>
        </is>
      </c>
      <c r="H8" s="39" t="inlineStr">
        <is>
          <t>confidence</t>
        </is>
      </c>
    </row>
    <row r="9" ht="15" customHeight="1" s="35">
      <c r="A9" s="34" t="n">
        <v>2</v>
      </c>
      <c r="B9" s="34" t="inlineStr">
        <is>
          <t>5/16-24</t>
        </is>
      </c>
      <c r="C9" s="34" t="inlineStr">
        <is>
          <t>-902</t>
        </is>
      </c>
      <c r="D9" s="48" t="n">
        <v>0.25</v>
      </c>
      <c r="E9" s="48" t="n">
        <v>0.063</v>
      </c>
      <c r="F9" s="34" t="n">
        <v>0.0312</v>
      </c>
      <c r="G9" s="34" t="n">
        <v>0.549</v>
      </c>
      <c r="H9" s="34" t="inlineStr">
        <is>
          <t>good</t>
        </is>
      </c>
    </row>
    <row r="10" ht="15" customHeight="1" s="35">
      <c r="A10" s="34" t="n">
        <v>3</v>
      </c>
      <c r="B10" s="34" t="inlineStr">
        <is>
          <t>3/8-24</t>
        </is>
      </c>
      <c r="C10" s="34" t="inlineStr">
        <is>
          <t>-903</t>
        </is>
      </c>
      <c r="D10" s="48" t="n">
        <v>0.312</v>
      </c>
      <c r="E10" s="48" t="n">
        <v>0.063</v>
      </c>
      <c r="F10" s="34" t="n">
        <v>0.0315</v>
      </c>
      <c r="G10" s="34" t="n">
        <v>0.611</v>
      </c>
      <c r="H10" s="34" t="inlineStr">
        <is>
          <t>good</t>
        </is>
      </c>
    </row>
    <row r="11" ht="15" customHeight="1" s="35">
      <c r="A11" s="34" t="n">
        <v>4</v>
      </c>
      <c r="B11" s="34" t="inlineStr">
        <is>
          <t>7/16-20</t>
        </is>
      </c>
      <c r="C11" s="34" t="inlineStr">
        <is>
          <t>-904</t>
        </is>
      </c>
      <c r="D11" s="48" t="n">
        <v>0.364</v>
      </c>
      <c r="E11" s="48" t="n">
        <v>0.075</v>
      </c>
      <c r="F11" s="34" t="n">
        <v>0.0368</v>
      </c>
      <c r="G11" s="34" t="n">
        <v>0.674</v>
      </c>
      <c r="H11" s="34" t="inlineStr">
        <is>
          <t>good</t>
        </is>
      </c>
    </row>
    <row r="12" ht="15" customHeight="1" s="35">
      <c r="A12" s="34" t="n">
        <v>5</v>
      </c>
      <c r="B12" s="34" t="inlineStr">
        <is>
          <t>1/2-20</t>
        </is>
      </c>
      <c r="C12" s="34" t="inlineStr">
        <is>
          <t>-905</t>
        </is>
      </c>
      <c r="D12" s="48" t="n">
        <v>0.426</v>
      </c>
      <c r="E12" s="48" t="n">
        <v>0.075</v>
      </c>
      <c r="F12" s="34" t="n">
        <v>0.037</v>
      </c>
      <c r="G12" s="34" t="n">
        <v>0.736</v>
      </c>
      <c r="H12" s="34" t="inlineStr">
        <is>
          <t>good</t>
        </is>
      </c>
    </row>
    <row r="13" ht="15" customHeight="1" s="35">
      <c r="A13" s="34" t="n">
        <v>6</v>
      </c>
      <c r="B13" s="34" t="inlineStr">
        <is>
          <t>9/16-18</t>
        </is>
      </c>
      <c r="C13" s="34" t="inlineStr">
        <is>
          <t>-906</t>
        </is>
      </c>
      <c r="D13" s="48" t="n">
        <v>0.481</v>
      </c>
      <c r="E13" s="48" t="n">
        <v>0.083</v>
      </c>
      <c r="F13" s="34" t="n">
        <v>0.0408</v>
      </c>
      <c r="G13" s="34" t="n">
        <v>0.799</v>
      </c>
      <c r="H13" s="34" t="inlineStr">
        <is>
          <t>good</t>
        </is>
      </c>
    </row>
    <row r="14" ht="15" customHeight="1" s="35">
      <c r="A14" s="34" t="n">
        <v>8</v>
      </c>
      <c r="B14" s="34" t="inlineStr">
        <is>
          <t>3/4-16</t>
        </is>
      </c>
      <c r="C14" s="34" t="inlineStr">
        <is>
          <t>-908</t>
        </is>
      </c>
      <c r="D14" s="48" t="n">
        <v>0.66</v>
      </c>
      <c r="E14" s="48" t="n">
        <v>0.094</v>
      </c>
      <c r="F14" s="34" t="n">
        <v>0.045</v>
      </c>
      <c r="G14" s="34" t="n">
        <v>0.986</v>
      </c>
      <c r="H14" s="34" t="inlineStr">
        <is>
          <t>good</t>
        </is>
      </c>
    </row>
    <row r="15" ht="15" customHeight="1" s="35">
      <c r="A15" s="34" t="n">
        <v>10</v>
      </c>
      <c r="B15" s="34" t="inlineStr">
        <is>
          <t>7/8-14</t>
        </is>
      </c>
      <c r="C15" s="34" t="inlineStr">
        <is>
          <t>-910</t>
        </is>
      </c>
      <c r="D15" s="48" t="n">
        <v>0.773</v>
      </c>
      <c r="E15" s="48" t="n">
        <v>0.107</v>
      </c>
      <c r="F15" s="34" t="n">
        <v>0.051</v>
      </c>
      <c r="G15" s="34" t="n">
        <v>1.111</v>
      </c>
      <c r="H15" s="34" t="inlineStr">
        <is>
          <t>good</t>
        </is>
      </c>
    </row>
    <row r="16" ht="15" customHeight="1" s="35">
      <c r="A16" s="34" t="n">
        <v>12</v>
      </c>
      <c r="B16" s="34" t="inlineStr">
        <is>
          <t>1 1/16-12</t>
        </is>
      </c>
      <c r="C16" s="34" t="inlineStr">
        <is>
          <t>-912</t>
        </is>
      </c>
      <c r="D16" s="48" t="n">
        <v>0.945</v>
      </c>
      <c r="E16" s="48" t="n">
        <v>0.125</v>
      </c>
      <c r="F16" s="34" t="n">
        <v>0.0588</v>
      </c>
      <c r="G16" s="34" t="n">
        <v>1.361</v>
      </c>
      <c r="H16" s="34" t="inlineStr">
        <is>
          <t>good</t>
        </is>
      </c>
    </row>
    <row r="17" ht="15" customHeight="1" s="35">
      <c r="A17" s="34" t="n">
        <v>14</v>
      </c>
      <c r="B17" s="34" t="inlineStr">
        <is>
          <t>1 3/16-12</t>
        </is>
      </c>
      <c r="C17" s="34" t="inlineStr">
        <is>
          <t>-914</t>
        </is>
      </c>
      <c r="D17" s="48" t="n">
        <v>1.07</v>
      </c>
      <c r="E17" s="49" t="n"/>
      <c r="F17" s="34" t="n">
        <v>0.0587</v>
      </c>
      <c r="G17" s="34" t="n">
        <v>1.475</v>
      </c>
      <c r="H17" s="34" t="inlineStr">
        <is>
          <t>width missing</t>
        </is>
      </c>
    </row>
    <row r="18" ht="15" customHeight="1" s="35">
      <c r="A18" s="34" t="n">
        <v>16</v>
      </c>
      <c r="B18" s="34" t="inlineStr">
        <is>
          <t>1 5/16-12</t>
        </is>
      </c>
      <c r="C18" s="34" t="inlineStr">
        <is>
          <t>-916</t>
        </is>
      </c>
      <c r="D18" s="48" t="n">
        <v>1.195</v>
      </c>
      <c r="E18" s="49" t="n">
        <v>0.125</v>
      </c>
      <c r="F18" s="34" t="n">
        <v>0.0587</v>
      </c>
      <c r="G18" s="34" t="n">
        <v>1.599</v>
      </c>
      <c r="H18" s="34" t="inlineStr">
        <is>
          <t>width MEASURED Brennan 6400 STEP 2026-09-05 (single source; method validated on -4/-12)</t>
        </is>
      </c>
    </row>
    <row r="19" ht="15" customHeight="1" s="35">
      <c r="A19" s="34" t="n">
        <v>20</v>
      </c>
      <c r="B19" s="34" t="inlineStr">
        <is>
          <t>1 5/8-12</t>
        </is>
      </c>
      <c r="C19" s="34" t="inlineStr">
        <is>
          <t>-920</t>
        </is>
      </c>
      <c r="D19" s="48" t="n">
        <v>1.507</v>
      </c>
      <c r="E19" s="49" t="n">
        <v>0.125</v>
      </c>
      <c r="F19" s="34" t="n">
        <v>0.059</v>
      </c>
      <c r="H19" s="34" t="inlineStr">
        <is>
          <t>width MEASURED Brennan 6400-32-20-O STEP 2026-09-05 (single source; method validated on -4/-12)</t>
        </is>
      </c>
    </row>
    <row r="20" ht="15" customHeight="1" s="35">
      <c r="A20" s="34" t="n">
        <v>24</v>
      </c>
      <c r="B20" s="34" t="inlineStr">
        <is>
          <t>1 7/8-12</t>
        </is>
      </c>
      <c r="C20" s="34" t="inlineStr">
        <is>
          <t>-924</t>
        </is>
      </c>
      <c r="D20" s="48" t="n">
        <v>1.756</v>
      </c>
      <c r="E20" s="49" t="n">
        <v>0.125</v>
      </c>
      <c r="F20" s="34" t="n">
        <v>0.0595</v>
      </c>
      <c r="G20" s="34" t="n">
        <v>2.095</v>
      </c>
      <c r="H20" s="34" t="inlineStr">
        <is>
          <t>width MEASURED Brennan 6400 STEP 2026-09-05 (single source; method validated on -4/-12)</t>
        </is>
      </c>
    </row>
    <row r="21" ht="15" customHeight="1" s="35">
      <c r="A21" s="34" t="n">
        <v>32</v>
      </c>
      <c r="B21" s="34" t="inlineStr">
        <is>
          <t>2 1/2-12</t>
        </is>
      </c>
      <c r="C21" s="34" t="inlineStr">
        <is>
          <t>-932</t>
        </is>
      </c>
      <c r="D21" s="48" t="n">
        <v>2.381</v>
      </c>
      <c r="E21" s="49" t="n"/>
      <c r="F21" s="34" t="n">
        <v>0.0595</v>
      </c>
      <c r="G21" s="34" t="n">
        <v>2.718</v>
      </c>
      <c r="H21" s="34" t="inlineStr">
        <is>
          <t>width missing</t>
        </is>
      </c>
    </row>
    <row r="23" ht="15" customHeight="1" s="35">
      <c r="A23" s="34" t="inlineStr">
        <is>
          <t>Groove DEPTH is not published anywhere - derived as (thread major dia - F) / 2.</t>
        </is>
      </c>
    </row>
    <row r="24" ht="15" customHeight="1" s="35">
      <c r="A24" s="49" t="inlineStr">
        <is>
          <t>ORB THREAD LENGTH is not published by any source found. Parker's drawing marks it only 'Full threads to this point'.</t>
        </is>
      </c>
    </row>
    <row r="26" ht="15" customHeight="1" s="35">
      <c r="A26" s="38" t="inlineStr">
        <is>
          <t>JIC 37 DEGREE MALE FLARE CONE</t>
        </is>
      </c>
    </row>
    <row r="27" ht="15" customHeight="1" s="35">
      <c r="A27" s="34" t="inlineStr">
        <is>
          <t>Source: Wikipedia 'JIC fitting' reproducing SHF Inc. SAE J514 tables. Geometry self-validates:</t>
        </is>
      </c>
    </row>
    <row r="28" ht="15" customHeight="1" s="35">
      <c r="A28" s="34" t="inlineStr">
        <is>
          <t xml:space="preserve">   tip dia + 2 x seat length x tan(37) = cone major dia, to within 0.001 in on every row.</t>
        </is>
      </c>
    </row>
    <row r="29" ht="15" customHeight="1" s="35">
      <c r="A29" s="34" t="inlineStr">
        <is>
          <t>https://en.wikipedia.org/wiki/JIC_fitting</t>
        </is>
      </c>
    </row>
    <row r="30" ht="15" customHeight="1" s="35">
      <c r="A30" s="39" t="inlineStr">
        <is>
          <t>Dash</t>
        </is>
      </c>
      <c r="B30" s="39" t="inlineStr">
        <is>
          <t>Thread</t>
        </is>
      </c>
      <c r="C30" s="39" t="inlineStr">
        <is>
          <t>JIC_CONEDIA (E)</t>
        </is>
      </c>
      <c r="D30" s="39" t="inlineStr">
        <is>
          <t>JIC_SEATL (A)</t>
        </is>
      </c>
      <c r="E30" s="39" t="inlineStr">
        <is>
          <t>JIC_THDL (B)</t>
        </is>
      </c>
      <c r="F30" s="39" t="inlineStr">
        <is>
          <t>tip dia</t>
        </is>
      </c>
      <c r="G30" s="39" t="inlineStr">
        <is>
          <t>bore</t>
        </is>
      </c>
      <c r="H30" s="39" t="inlineStr">
        <is>
          <t>confidence</t>
        </is>
      </c>
    </row>
    <row r="31" ht="15" customHeight="1" s="35">
      <c r="A31" s="34" t="n">
        <v>2</v>
      </c>
      <c r="B31" s="34" t="inlineStr">
        <is>
          <t>5/16-24</t>
        </is>
      </c>
      <c r="C31" s="48" t="n">
        <v>0.25</v>
      </c>
      <c r="D31" s="48" t="n">
        <v>0.111</v>
      </c>
      <c r="E31" s="34" t="n">
        <v>0.208</v>
      </c>
      <c r="F31" s="34" t="n">
        <v>0.083</v>
      </c>
      <c r="G31" s="34" t="n">
        <v>0.062</v>
      </c>
      <c r="H31" s="34" t="inlineStr">
        <is>
          <t>good</t>
        </is>
      </c>
    </row>
    <row r="32" ht="15" customHeight="1" s="35">
      <c r="A32" s="34" t="n">
        <v>3</v>
      </c>
      <c r="B32" s="34" t="inlineStr">
        <is>
          <t>3/8-24</t>
        </is>
      </c>
      <c r="C32" s="48" t="n">
        <v>0.312</v>
      </c>
      <c r="D32" s="48" t="n">
        <v>0.11</v>
      </c>
      <c r="E32" s="34" t="n">
        <v>0.239</v>
      </c>
      <c r="F32" s="34" t="n">
        <v>0.146</v>
      </c>
      <c r="G32" s="34" t="n">
        <v>0.125</v>
      </c>
      <c r="H32" s="34" t="inlineStr">
        <is>
          <t>good</t>
        </is>
      </c>
    </row>
    <row r="33" ht="15" customHeight="1" s="35">
      <c r="A33" s="34" t="n">
        <v>4</v>
      </c>
      <c r="B33" s="34" t="inlineStr">
        <is>
          <t>7/16-20</t>
        </is>
      </c>
      <c r="C33" s="48" t="n">
        <v>0.364</v>
      </c>
      <c r="D33" s="48" t="n">
        <v>0.114</v>
      </c>
      <c r="E33" s="34" t="n">
        <v>0.282</v>
      </c>
      <c r="F33" s="34" t="n">
        <v>0.193</v>
      </c>
      <c r="G33" s="34" t="n">
        <v>0.172</v>
      </c>
      <c r="H33" s="34" t="inlineStr">
        <is>
          <t>good</t>
        </is>
      </c>
    </row>
    <row r="34" ht="15" customHeight="1" s="35">
      <c r="A34" s="34" t="n">
        <v>5</v>
      </c>
      <c r="B34" s="34" t="inlineStr">
        <is>
          <t>1/2-20</t>
        </is>
      </c>
      <c r="C34" s="48" t="n">
        <v>0.426</v>
      </c>
      <c r="D34" s="48" t="n">
        <v>0.114</v>
      </c>
      <c r="E34" s="34" t="n">
        <v>0.282</v>
      </c>
      <c r="F34" s="34" t="n">
        <v>0.255</v>
      </c>
      <c r="G34" s="34" t="n">
        <v>0.234</v>
      </c>
      <c r="H34" s="34" t="inlineStr">
        <is>
          <t>good</t>
        </is>
      </c>
    </row>
    <row r="35" ht="15" customHeight="1" s="35">
      <c r="A35" s="34" t="n">
        <v>6</v>
      </c>
      <c r="B35" s="34" t="inlineStr">
        <is>
          <t>9/16-18</t>
        </is>
      </c>
      <c r="C35" s="48" t="n">
        <v>0.481</v>
      </c>
      <c r="D35" s="48" t="n">
        <v>0.108</v>
      </c>
      <c r="E35" s="34" t="n">
        <v>0.275</v>
      </c>
      <c r="F35" s="34" t="n">
        <v>0.318</v>
      </c>
      <c r="G35" s="34" t="n">
        <v>0.281</v>
      </c>
      <c r="H35" s="34" t="inlineStr">
        <is>
          <t>good</t>
        </is>
      </c>
    </row>
    <row r="36" ht="15" customHeight="1" s="35">
      <c r="A36" s="34" t="n">
        <v>8</v>
      </c>
      <c r="B36" s="34" t="inlineStr">
        <is>
          <t>3/4-16</t>
        </is>
      </c>
      <c r="C36" s="48" t="n">
        <v>0.659</v>
      </c>
      <c r="D36" s="48" t="n">
        <v>0.155</v>
      </c>
      <c r="E36" s="34" t="n">
        <v>0.31</v>
      </c>
      <c r="F36" s="34" t="n">
        <v>0.426</v>
      </c>
      <c r="G36" s="34" t="n">
        <v>0.406</v>
      </c>
      <c r="H36" s="34" t="inlineStr">
        <is>
          <t>good</t>
        </is>
      </c>
    </row>
    <row r="37" ht="15" customHeight="1" s="35">
      <c r="A37" s="34" t="n">
        <v>10</v>
      </c>
      <c r="B37" s="34" t="inlineStr">
        <is>
          <t>7/8-14</t>
        </is>
      </c>
      <c r="C37" s="48" t="n">
        <v>0.772</v>
      </c>
      <c r="D37" s="48" t="n">
        <v>0.155</v>
      </c>
      <c r="E37" s="34" t="n">
        <v>0.385</v>
      </c>
      <c r="F37" s="34" t="n">
        <v>0.539</v>
      </c>
      <c r="G37" s="34" t="n">
        <v>0.531</v>
      </c>
      <c r="H37" s="34" t="inlineStr">
        <is>
          <t>good</t>
        </is>
      </c>
    </row>
    <row r="38" ht="15" customHeight="1" s="35">
      <c r="A38" s="34" t="n">
        <v>12</v>
      </c>
      <c r="B38" s="34" t="inlineStr">
        <is>
          <t>1 1/16-12</t>
        </is>
      </c>
      <c r="C38" s="48" t="n">
        <v>0.9429999999999999</v>
      </c>
      <c r="D38" s="48" t="n">
        <v>0.185</v>
      </c>
      <c r="E38" s="34" t="n">
        <v>0.424</v>
      </c>
      <c r="F38" s="34" t="n">
        <v>0.664</v>
      </c>
      <c r="G38" s="34" t="n">
        <v>0.609</v>
      </c>
      <c r="H38" s="34" t="inlineStr">
        <is>
          <t>good</t>
        </is>
      </c>
    </row>
    <row r="39" ht="15" customHeight="1" s="35">
      <c r="A39" s="34" t="n">
        <v>14</v>
      </c>
      <c r="B39" s="34" t="inlineStr">
        <is>
          <t>1 3/16-12</t>
        </is>
      </c>
      <c r="C39" s="40" t="n">
        <v>1.068</v>
      </c>
      <c r="D39" s="48" t="n">
        <v>0.186</v>
      </c>
      <c r="E39" s="34" t="n">
        <v>0.45</v>
      </c>
      <c r="F39" s="34" t="n">
        <v>0.788</v>
      </c>
      <c r="G39" s="34" t="n">
        <v>0.719</v>
      </c>
      <c r="H39" s="34" t="inlineStr">
        <is>
          <t>single source</t>
        </is>
      </c>
    </row>
    <row r="40" ht="15" customHeight="1" s="35">
      <c r="A40" s="34" t="n">
        <v>16</v>
      </c>
      <c r="B40" s="34" t="inlineStr">
        <is>
          <t>1 5/16-12</t>
        </is>
      </c>
      <c r="C40" s="48" t="n">
        <v>1.193</v>
      </c>
      <c r="D40" s="48" t="n">
        <v>0.186</v>
      </c>
      <c r="E40" s="34" t="n">
        <v>0.471</v>
      </c>
      <c r="F40" s="34" t="n">
        <v>0.913</v>
      </c>
      <c r="G40" s="34" t="n">
        <v>0.844</v>
      </c>
      <c r="H40" s="34" t="inlineStr">
        <is>
          <t>good</t>
        </is>
      </c>
    </row>
    <row r="41" ht="15" customHeight="1" s="35">
      <c r="A41" s="34" t="n">
        <v>20</v>
      </c>
      <c r="B41" s="34" t="inlineStr">
        <is>
          <t>1 5/8-12</t>
        </is>
      </c>
      <c r="C41" s="40" t="n">
        <v>1.502</v>
      </c>
      <c r="D41" s="49" t="n"/>
      <c r="G41" s="34" t="n">
        <v>1.078</v>
      </c>
      <c r="H41" s="34" t="inlineStr">
        <is>
          <t>cone dia from ISO mm table only</t>
        </is>
      </c>
    </row>
    <row r="42" ht="15" customHeight="1" s="35">
      <c r="A42" s="34" t="n">
        <v>24</v>
      </c>
      <c r="B42" s="34" t="inlineStr">
        <is>
          <t>1 7/8-12</t>
        </is>
      </c>
      <c r="C42" s="40" t="n">
        <v>1.752</v>
      </c>
      <c r="D42" s="49" t="n"/>
      <c r="H42" s="34" t="inlineStr">
        <is>
          <t>ISO mm table only</t>
        </is>
      </c>
    </row>
    <row r="43" ht="15" customHeight="1" s="35">
      <c r="A43" s="34" t="n">
        <v>32</v>
      </c>
      <c r="B43" s="34" t="inlineStr">
        <is>
          <t>2 1/2-12</t>
        </is>
      </c>
      <c r="C43" s="40" t="n">
        <v>2.376</v>
      </c>
      <c r="D43" s="49" t="n"/>
      <c r="H43" s="34" t="inlineStr">
        <is>
          <t>ISO mm table only</t>
        </is>
      </c>
    </row>
    <row r="45" ht="15" customHeight="1" s="35">
      <c r="A45" s="34" t="inlineStr">
        <is>
          <t>Seat angle = 37 deg HALF-ANGLE from the axis = 74 deg included. Multiple sources state both; no contradiction.</t>
        </is>
      </c>
    </row>
    <row r="46" ht="15" customHeight="1" s="35">
      <c r="A46" s="40" t="inlineStr">
        <is>
          <t>-20/-24/-32 cone dia converted from an ISO 8434-2 mm table - INDICATIVE, not confirmed in inches.</t>
        </is>
      </c>
    </row>
    <row r="47" ht="15" customHeight="1" s="35">
      <c r="A47" s="49" t="inlineStr">
        <is>
          <t>-20/-24/-32 seat length and thread length: NOT FOUND anywhere. Blocked.</t>
        </is>
      </c>
    </row>
    <row r="49" ht="15" customHeight="1" s="35">
      <c r="A49" s="38" t="inlineStr">
        <is>
          <t>CROSS-CHECK AGAINST THE AIR-WAY DATA</t>
        </is>
      </c>
    </row>
    <row r="50" ht="15" customHeight="1" s="35">
      <c r="A50" s="34" t="inlineStr">
        <is>
          <t>6400-08-08-O: catalog bore 0.39 vs JIC table bore 0.406 - Air-Way's part is slightly tighter. Use Air-Way's.</t>
        </is>
      </c>
    </row>
    <row r="51" ht="15" customHeight="1" s="35">
      <c r="A51" s="48" t="inlineStr">
        <is>
          <t>6400-08-08-O: independent cone major dia 0.659. The proportion used in the first build guide was 0.66 - correct.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4" min="1" max="2"/>
    <col width="9" customWidth="1" style="34" min="3" max="10"/>
    <col width="72" customWidth="1" style="34" min="11" max="11"/>
  </cols>
  <sheetData>
    <row r="1" ht="17.25" customHeight="1" s="35">
      <c r="A1" s="36" t="inlineStr">
        <is>
          <t>GENERIC DIMENSION SLOTS — why they exist</t>
        </is>
      </c>
    </row>
    <row r="2" ht="15" customHeight="1" s="35">
      <c r="A2" s="34" t="inlineStr">
        <is>
          <t>Air-Way uses a DIFFERENT set of dimension letters for every fitting family. The 2404 prints L/C/D/D1;</t>
        </is>
      </c>
    </row>
    <row r="3" ht="15" customHeight="1" s="35">
      <c r="A3" s="34" t="inlineStr">
        <is>
          <t>the 6801 prints M/M7/C4/Y/D(1)/D(2); the 6400 prints L5/C4/D(1)/D(2); the 2501 prints M/N/Y/D/D1.</t>
        </is>
      </c>
    </row>
    <row r="4" ht="15" customHeight="1" s="35">
      <c r="A4" s="34" t="inlineStr">
        <is>
          <t>A fixed schema of L/C/D/D1 columns cannot hold them, and renaming SolidWorks dimensions per topology</t>
        </is>
      </c>
    </row>
    <row r="5" ht="15" customHeight="1" s="35">
      <c r="A5" s="34" t="inlineStr">
        <is>
          <t>would break the one-macro-serves-all rule.</t>
        </is>
      </c>
    </row>
    <row r="7" ht="15" customHeight="1" s="35">
      <c r="A7" s="34" t="inlineStr">
        <is>
          <t>SOLUTION: every master model uses generic slots D1..D8 in the sketch named DRIVE. Design-table headers</t>
        </is>
      </c>
    </row>
    <row r="8" ht="15" customHeight="1" s="35">
      <c r="A8" s="34" t="inlineStr">
        <is>
          <t>are D1@DRIVE .. D8@DRIVE for ALL 126 topologies. This sheet records what each slot means per topology.</t>
        </is>
      </c>
    </row>
    <row r="9" ht="15" customHeight="1" s="35">
      <c r="A9" s="34" t="inlineStr">
        <is>
          <t>Catalog letters live in DATA, never in geometry names.</t>
        </is>
      </c>
    </row>
    <row r="10" ht="15" customHeight="1" s="35">
      <c r="A10" s="50" t="n"/>
      <c r="B10" s="50" t="n"/>
      <c r="C10" s="50" t="n"/>
      <c r="D10" s="50" t="n"/>
      <c r="E10" s="50" t="n"/>
      <c r="F10" s="50" t="n"/>
      <c r="G10" s="50" t="n"/>
      <c r="H10" s="50" t="n"/>
      <c r="I10" s="50" t="n"/>
      <c r="J10" s="50" t="n"/>
      <c r="K10" s="50" t="n"/>
    </row>
    <row r="11" ht="15" customHeight="1" s="35">
      <c r="A11" s="34" t="inlineStr">
        <is>
          <t>Topology</t>
        </is>
      </c>
      <c r="B11" s="34" t="inlineStr">
        <is>
          <t>Shape</t>
        </is>
      </c>
      <c r="C11" s="34" t="inlineStr">
        <is>
          <t>D1</t>
        </is>
      </c>
      <c r="D11" s="34" t="inlineStr">
        <is>
          <t>D2</t>
        </is>
      </c>
      <c r="E11" s="34" t="inlineStr">
        <is>
          <t>D3</t>
        </is>
      </c>
      <c r="F11" s="34" t="inlineStr">
        <is>
          <t>D4</t>
        </is>
      </c>
      <c r="G11" s="34" t="inlineStr">
        <is>
          <t>D5</t>
        </is>
      </c>
      <c r="H11" s="34" t="inlineStr">
        <is>
          <t>D6</t>
        </is>
      </c>
      <c r="I11" s="34" t="inlineStr">
        <is>
          <t>D7</t>
        </is>
      </c>
      <c r="J11" s="34" t="inlineStr">
        <is>
          <t>D8</t>
        </is>
      </c>
      <c r="K11" s="34" t="inlineStr">
        <is>
          <t>Source headers (verbatim)</t>
        </is>
      </c>
    </row>
    <row r="12" ht="15" customHeight="1" s="35">
      <c r="A12" s="34" t="inlineStr">
        <is>
          <t>2404</t>
        </is>
      </c>
      <c r="B12" s="34" t="inlineStr">
        <is>
          <t>Straight</t>
        </is>
      </c>
      <c r="C12" s="34" t="inlineStr">
        <is>
          <t>L</t>
        </is>
      </c>
      <c r="D12" s="34" t="inlineStr">
        <is>
          <t>C</t>
        </is>
      </c>
      <c r="E12" s="34" t="inlineStr">
        <is>
          <t>D</t>
        </is>
      </c>
      <c r="F12" s="34" t="inlineStr">
        <is>
          <t>D1</t>
        </is>
      </c>
      <c r="K12" s="34" t="inlineStr">
        <is>
          <t>Part # | TUBE OD | B UN/UNF-2A | A NPTF | L | C | D | D1</t>
        </is>
      </c>
    </row>
    <row r="13" ht="15" customHeight="1" s="35">
      <c r="A13" s="34" t="inlineStr">
        <is>
          <t>2501</t>
        </is>
      </c>
      <c r="B13" s="34" t="inlineStr">
        <is>
          <t>90 deg</t>
        </is>
      </c>
      <c r="C13" s="34" t="inlineStr">
        <is>
          <t>M</t>
        </is>
      </c>
      <c r="D13" s="34" t="inlineStr">
        <is>
          <t>N</t>
        </is>
      </c>
      <c r="E13" s="34" t="inlineStr">
        <is>
          <t>Y</t>
        </is>
      </c>
      <c r="F13" s="34" t="inlineStr">
        <is>
          <t>D</t>
        </is>
      </c>
      <c r="G13" s="34" t="inlineStr">
        <is>
          <t>D1</t>
        </is>
      </c>
      <c r="K13" s="34" t="inlineStr">
        <is>
          <t>Part # | TUBE OD | B UN/UNF-2A | A NPTF | M | N | Y | D | D1</t>
        </is>
      </c>
    </row>
    <row r="14" ht="15" customHeight="1" s="35">
      <c r="A14" s="34" t="inlineStr">
        <is>
          <t>6400</t>
        </is>
      </c>
      <c r="B14" s="34" t="inlineStr">
        <is>
          <t>Straight</t>
        </is>
      </c>
      <c r="C14" s="34" t="inlineStr">
        <is>
          <t>L5</t>
        </is>
      </c>
      <c r="D14" s="34" t="inlineStr">
        <is>
          <t>C4</t>
        </is>
      </c>
      <c r="E14" s="34" t="inlineStr">
        <is>
          <t>D(1)</t>
        </is>
      </c>
      <c r="F14" s="34" t="inlineStr">
        <is>
          <t>D(2)</t>
        </is>
      </c>
      <c r="K14" s="34" t="inlineStr">
        <is>
          <t>Part # | B (1) UN/UNF-2A | B (2) UN/UNF-2A | L5 | C4 | D (1)* | D (2)*</t>
        </is>
      </c>
    </row>
    <row r="15" ht="15" customHeight="1" s="35">
      <c r="A15" s="34" t="inlineStr">
        <is>
          <t>6801</t>
        </is>
      </c>
      <c r="B15" s="34" t="inlineStr">
        <is>
          <t>90 deg</t>
        </is>
      </c>
      <c r="C15" s="34" t="inlineStr">
        <is>
          <t>M</t>
        </is>
      </c>
      <c r="D15" s="34" t="inlineStr">
        <is>
          <t>M7</t>
        </is>
      </c>
      <c r="E15" s="34" t="inlineStr">
        <is>
          <t>C4</t>
        </is>
      </c>
      <c r="F15" s="34" t="inlineStr">
        <is>
          <t>Y</t>
        </is>
      </c>
      <c r="G15" s="34" t="inlineStr">
        <is>
          <t>D(1)</t>
        </is>
      </c>
      <c r="H15" s="34" t="inlineStr">
        <is>
          <t>D(2)</t>
        </is>
      </c>
      <c r="K15" s="34" t="inlineStr">
        <is>
          <t>Part # | B (1) UN/UNF-2A | B (2) UN/UNF-2A | M | M7 | C4 | Y | D (1) | D (2)</t>
        </is>
      </c>
    </row>
    <row r="16" ht="15" customHeight="1" s="35">
      <c r="A16" s="34" t="inlineStr">
        <is>
          <t>6802</t>
        </is>
      </c>
      <c r="B16" s="34" t="inlineStr">
        <is>
          <t>45 deg</t>
        </is>
      </c>
      <c r="C16" s="34" t="inlineStr">
        <is>
          <t>M2</t>
        </is>
      </c>
      <c r="D16" s="34" t="inlineStr">
        <is>
          <t>M8</t>
        </is>
      </c>
      <c r="E16" s="34" t="inlineStr">
        <is>
          <t>C4</t>
        </is>
      </c>
      <c r="F16" s="34" t="inlineStr">
        <is>
          <t>Y</t>
        </is>
      </c>
      <c r="G16" s="34" t="inlineStr">
        <is>
          <t>D(1)</t>
        </is>
      </c>
      <c r="H16" s="34" t="inlineStr">
        <is>
          <t>D(2)</t>
        </is>
      </c>
      <c r="K16" s="34" t="inlineStr">
        <is>
          <t>Part # | B (1) UN/UNF-2A | B (2) UN/UNF-2A | M2 | M8 | C4 | Y | D (1) | D (2)</t>
        </is>
      </c>
    </row>
    <row r="18" ht="15" customHeight="1" s="35">
      <c r="A18" s="38" t="inlineStr">
        <is>
          <t>HEXA and HEXB remain named slots (HEXA@DRIVE / HEXB@DRIVE) - hex is universal across all fittings.</t>
        </is>
      </c>
    </row>
    <row r="19" ht="15" customHeight="1" s="35">
      <c r="A19" s="34" t="inlineStr">
        <is>
          <t>BEND@DRIVE exists in every master (0 for straights, 45 or 90 for elbows).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4" min="1" max="1"/>
    <col width="22" customWidth="1" style="34" min="2" max="2"/>
    <col width="12" customWidth="1" style="34" min="3" max="3"/>
    <col width="64" customWidth="1" style="34" min="4" max="4"/>
  </cols>
  <sheetData>
    <row r="1" ht="17.25" customHeight="1" s="35">
      <c r="A1" s="36" t="inlineStr">
        <is>
          <t>SOLIDWORKS NAMING CONVENTION — v2 (generic slots)</t>
        </is>
      </c>
    </row>
    <row r="2" ht="15" customHeight="1" s="35">
      <c r="A2" s="34" t="inlineStr">
        <is>
          <t>SUPERSEDES v1. v1 used catalog letters (L@DRIVE, C@DRIVE) — that only worked for the 2404.</t>
        </is>
      </c>
    </row>
    <row r="3" ht="15" customHeight="1" s="35">
      <c r="A3" s="39" t="n"/>
      <c r="B3" s="39" t="n"/>
      <c r="C3" s="39" t="n"/>
      <c r="D3" s="39" t="n"/>
    </row>
    <row r="4" ht="15" customHeight="1" s="35">
      <c r="A4" s="34" t="inlineStr">
        <is>
          <t>Dimension name</t>
        </is>
      </c>
      <c r="B4" s="34" t="inlineStr">
        <is>
          <t>Design-table header</t>
        </is>
      </c>
      <c r="C4" s="34" t="inlineStr">
        <is>
          <t>Universal?</t>
        </is>
      </c>
      <c r="D4" s="34" t="inlineStr">
        <is>
          <t>What it holds</t>
        </is>
      </c>
    </row>
    <row r="5" ht="15" customHeight="1" s="35">
      <c r="A5" s="34" t="inlineStr">
        <is>
          <t>D1</t>
        </is>
      </c>
      <c r="B5" s="34" t="inlineStr">
        <is>
          <t>D1@DRIVE</t>
        </is>
      </c>
      <c r="C5" s="34" t="inlineStr">
        <is>
          <t>Yes</t>
        </is>
      </c>
      <c r="D5" s="34" t="inlineStr">
        <is>
          <t>Generic slot 1. Meaning per topology — see DimensionMap.</t>
        </is>
      </c>
    </row>
    <row r="6" ht="15" customHeight="1" s="35">
      <c r="A6" s="34" t="inlineStr">
        <is>
          <t>D2</t>
        </is>
      </c>
      <c r="B6" s="34" t="inlineStr">
        <is>
          <t>D2@DRIVE</t>
        </is>
      </c>
      <c r="C6" s="34" t="inlineStr">
        <is>
          <t>Yes</t>
        </is>
      </c>
      <c r="D6" s="34" t="inlineStr">
        <is>
          <t>Generic slot 2.</t>
        </is>
      </c>
    </row>
    <row r="7" ht="15" customHeight="1" s="35">
      <c r="A7" s="34" t="inlineStr">
        <is>
          <t>D3</t>
        </is>
      </c>
      <c r="B7" s="34" t="inlineStr">
        <is>
          <t>D3@DRIVE</t>
        </is>
      </c>
      <c r="C7" s="34" t="inlineStr">
        <is>
          <t>Yes</t>
        </is>
      </c>
      <c r="D7" s="34" t="inlineStr">
        <is>
          <t>Generic slot 3.</t>
        </is>
      </c>
    </row>
    <row r="8" ht="15" customHeight="1" s="35">
      <c r="A8" s="34" t="inlineStr">
        <is>
          <t>D4</t>
        </is>
      </c>
      <c r="B8" s="34" t="inlineStr">
        <is>
          <t>D4@DRIVE</t>
        </is>
      </c>
      <c r="C8" s="34" t="inlineStr">
        <is>
          <t>Yes</t>
        </is>
      </c>
      <c r="D8" s="34" t="inlineStr">
        <is>
          <t>Generic slot 4.</t>
        </is>
      </c>
    </row>
    <row r="9" ht="15" customHeight="1" s="35">
      <c r="A9" s="34" t="inlineStr">
        <is>
          <t>D5</t>
        </is>
      </c>
      <c r="B9" s="34" t="inlineStr">
        <is>
          <t>D5@DRIVE</t>
        </is>
      </c>
      <c r="C9" s="34" t="inlineStr">
        <is>
          <t>Yes</t>
        </is>
      </c>
      <c r="D9" s="34" t="inlineStr">
        <is>
          <t>Generic slot 5. Empty on topologies with fewer dimensions.</t>
        </is>
      </c>
    </row>
    <row r="10" ht="15" customHeight="1" s="35">
      <c r="A10" s="34" t="inlineStr">
        <is>
          <t>D6</t>
        </is>
      </c>
      <c r="B10" s="34" t="inlineStr">
        <is>
          <t>D6@DRIVE</t>
        </is>
      </c>
      <c r="C10" s="34" t="inlineStr">
        <is>
          <t>Yes</t>
        </is>
      </c>
      <c r="D10" s="34" t="inlineStr">
        <is>
          <t>Generic slot 6. Empty on topologies with fewer dimensions.</t>
        </is>
      </c>
    </row>
    <row r="11" ht="15" customHeight="1" s="35">
      <c r="A11" s="34" t="inlineStr">
        <is>
          <t>HEXA</t>
        </is>
      </c>
      <c r="B11" s="34" t="inlineStr">
        <is>
          <t>HEXA@DRIVE</t>
        </is>
      </c>
      <c r="C11" s="34" t="inlineStr">
        <is>
          <t>Yes</t>
        </is>
      </c>
      <c r="D11" s="34" t="inlineStr">
        <is>
          <t>Hex across flats, end A. Universal — every fitting has a hex.</t>
        </is>
      </c>
    </row>
    <row r="12" ht="15" customHeight="1" s="35">
      <c r="A12" s="34" t="inlineStr">
        <is>
          <t>HEXB</t>
        </is>
      </c>
      <c r="B12" s="34" t="inlineStr">
        <is>
          <t>HEXB@DRIVE</t>
        </is>
      </c>
      <c r="C12" s="34" t="inlineStr">
        <is>
          <t>Yes</t>
        </is>
      </c>
      <c r="D12" s="34" t="inlineStr">
        <is>
          <t>Hex across flats, end B.</t>
        </is>
      </c>
    </row>
    <row r="13" ht="15" customHeight="1" s="35">
      <c r="A13" s="34" t="inlineStr">
        <is>
          <t>BEND</t>
        </is>
      </c>
      <c r="B13" s="34" t="inlineStr">
        <is>
          <t>BEND@DRIVE</t>
        </is>
      </c>
      <c r="C13" s="34" t="inlineStr">
        <is>
          <t>Yes</t>
        </is>
      </c>
      <c r="D13" s="34" t="inlineStr">
        <is>
          <t>0 straight / 45 / 90. Present even when 0.</t>
        </is>
      </c>
    </row>
    <row r="14" ht="15" customHeight="1" s="35">
      <c r="A14" s="34" t="inlineStr">
        <is>
          <t>SEATB</t>
        </is>
      </c>
      <c r="B14" s="34" t="inlineStr">
        <is>
          <t>SEATB@DRIVE</t>
        </is>
      </c>
      <c r="C14" s="34" t="inlineStr">
        <is>
          <t>Yes</t>
        </is>
      </c>
      <c r="D14" s="34" t="inlineStr">
        <is>
          <t>Seat half-angle, 37 for JIC.</t>
        </is>
      </c>
    </row>
    <row r="15" ht="15" customHeight="1" s="35">
      <c r="A15" s="34" t="inlineStr">
        <is>
          <t>THD_EndA</t>
        </is>
      </c>
      <c r="B15" s="34" t="inlineStr">
        <is>
          <t>(suppressed feature)</t>
        </is>
      </c>
      <c r="C15" s="34" t="inlineStr">
        <is>
          <t>Yes</t>
        </is>
      </c>
      <c r="D15" s="34" t="inlineStr">
        <is>
          <t>Helical Thread feature, end A. Suppressed except during drawing.</t>
        </is>
      </c>
    </row>
    <row r="16" ht="15" customHeight="1" s="35">
      <c r="A16" s="34" t="inlineStr">
        <is>
          <t>THD_EndB</t>
        </is>
      </c>
      <c r="B16" s="34" t="inlineStr">
        <is>
          <t>(suppressed feature)</t>
        </is>
      </c>
      <c r="C16" s="34" t="inlineStr">
        <is>
          <t>Yes</t>
        </is>
      </c>
      <c r="D16" s="34" t="inlineStr">
        <is>
          <t>Helical Thread feature, end B.</t>
        </is>
      </c>
    </row>
    <row r="18" ht="15" customHeight="1" s="35">
      <c r="A18" s="38" t="inlineStr">
        <is>
          <t>WHY GENERIC SLOTS:</t>
        </is>
      </c>
    </row>
    <row r="19" ht="15" customHeight="1" s="35">
      <c r="A19" s="34" t="inlineStr">
        <is>
          <t>Air-Way labels dimensions differently for every family — 2404 uses L/C/D/D1, 6801 uses M/M7/C4/Y/D(1)/D(2),</t>
        </is>
      </c>
    </row>
    <row r="20" ht="15" customHeight="1" s="35">
      <c r="A20" s="34" t="inlineStr">
        <is>
          <t>6400 uses L5/C4/D(1)/D(2), 2501 uses M/N/Y/D/D1. Naming SolidWorks dimensions after catalog letters would mean</t>
        </is>
      </c>
    </row>
    <row r="21" ht="15" customHeight="1" s="35">
      <c r="A21" s="34" t="inlineStr">
        <is>
          <t>a different design-table template and a different macro for roughly every third topology.</t>
        </is>
      </c>
    </row>
    <row r="23" ht="15" customHeight="1" s="35">
      <c r="A23" s="34" t="inlineStr">
        <is>
          <t>With generic slots, ALL 126 masters expose the identical header set. One template, one macro, no exceptions.</t>
        </is>
      </c>
    </row>
    <row r="24" ht="15" customHeight="1" s="35">
      <c r="A24" s="34" t="inlineStr">
        <is>
          <t>The catalog letter lives in the DimensionMap sheet — in data, never in geometry names.</t>
        </is>
      </c>
    </row>
    <row r="26" ht="15" customHeight="1" s="35">
      <c r="A26" s="38" t="inlineStr">
        <is>
          <t>THE RULE: every driving dimension lives in ONE sketch named exactly DRIVE.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E60"/>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8" customWidth="1" style="34" min="1" max="1"/>
    <col width="16" customWidth="1" style="34" min="2" max="2"/>
    <col width="18" customWidth="1" style="34" min="3" max="3"/>
    <col width="13" customWidth="1" style="34" min="4" max="4"/>
    <col width="15" customWidth="1" style="34" min="5" max="5"/>
    <col width="46" customWidth="1" style="34" min="6" max="6"/>
    <col width="38" customWidth="1" style="34" min="7" max="7"/>
    <col width="15" customWidth="1" style="34" min="8" max="49"/>
    <col width="16" customWidth="1" style="34" min="50" max="55"/>
    <col width="15" customWidth="1" style="34" min="56" max="57"/>
  </cols>
  <sheetData>
    <row r="1" ht="15" customHeight="1" s="35">
      <c r="A1" s="41" t="inlineStr">
        <is>
          <t>IDENTITY</t>
        </is>
      </c>
      <c r="H1" s="41" t="inlineStr">
        <is>
          <t>CLASSIFICATION</t>
        </is>
      </c>
      <c r="L1" s="41" t="inlineStr">
        <is>
          <t>END A</t>
        </is>
      </c>
      <c r="S1" s="41" t="inlineStr">
        <is>
          <t>END B</t>
        </is>
      </c>
      <c r="Z1" s="41" t="inlineStr">
        <is>
          <t>GEOMETRY (design-table drivers)</t>
        </is>
      </c>
      <c r="AH1" s="41" t="inlineStr">
        <is>
          <t>SPECIFICATION</t>
        </is>
      </c>
      <c r="AP1" s="41" t="inlineStr">
        <is>
          <t>OUTPUT</t>
        </is>
      </c>
      <c r="AS1" s="41" t="inlineStr">
        <is>
          <t>QA / PROVENANCE</t>
        </is>
      </c>
      <c r="AX1" s="51" t="inlineStr">
        <is>
          <t>CROSS-VERIFICATION (independent sources)</t>
        </is>
      </c>
      <c r="BD1" s="42" t="inlineStr">
        <is>
          <t>OMi CATALOG SCOPE</t>
        </is>
      </c>
    </row>
    <row r="2" ht="45.75" customHeight="1" s="35">
      <c r="A2" s="43" t="inlineStr">
        <is>
          <t>PartNumber_OMi</t>
        </is>
      </c>
      <c r="B2" s="43" t="inlineStr">
        <is>
          <t>PartNumber_AirWay</t>
        </is>
      </c>
      <c r="C2" s="43" t="inlineStr">
        <is>
          <t>ConfigName</t>
        </is>
      </c>
      <c r="D2" s="43" t="inlineStr">
        <is>
          <t>GeometryRoot</t>
        </is>
      </c>
      <c r="E2" s="43" t="inlineStr">
        <is>
          <t>SeriesID_AirWay</t>
        </is>
      </c>
      <c r="F2" s="43" t="inlineStr">
        <is>
          <t>SourceURL</t>
        </is>
      </c>
      <c r="G2" s="43" t="inlineStr">
        <is>
          <t>Description</t>
        </is>
      </c>
      <c r="H2" s="43" t="inlineStr">
        <is>
          <t>Category</t>
        </is>
      </c>
      <c r="I2" s="43" t="inlineStr">
        <is>
          <t>MaterialLine</t>
        </is>
      </c>
      <c r="J2" s="43" t="inlineStr">
        <is>
          <t>Shape</t>
        </is>
      </c>
      <c r="K2" s="43" t="inlineStr">
        <is>
          <t>PortCount</t>
        </is>
      </c>
      <c r="L2" s="43" t="inlineStr">
        <is>
          <t>EndA_Function</t>
        </is>
      </c>
      <c r="M2" s="43" t="inlineStr">
        <is>
          <t>EndA_Type</t>
        </is>
      </c>
      <c r="N2" s="43" t="inlineStr">
        <is>
          <t>EndA_DashSize</t>
        </is>
      </c>
      <c r="O2" s="43" t="inlineStr">
        <is>
          <t>EndA_Thread</t>
        </is>
      </c>
      <c r="P2" s="43" t="inlineStr">
        <is>
          <t>EndA_ThreadForm</t>
        </is>
      </c>
      <c r="Q2" s="43" t="inlineStr">
        <is>
          <t>EndA_ThreadStd</t>
        </is>
      </c>
      <c r="R2" s="43" t="inlineStr">
        <is>
          <t>EndA_SeatAngle_deg</t>
        </is>
      </c>
      <c r="S2" s="43" t="inlineStr">
        <is>
          <t>EndB_Function</t>
        </is>
      </c>
      <c r="T2" s="43" t="inlineStr">
        <is>
          <t>EndB_Type</t>
        </is>
      </c>
      <c r="U2" s="43" t="inlineStr">
        <is>
          <t>EndB_DashSize</t>
        </is>
      </c>
      <c r="V2" s="43" t="inlineStr">
        <is>
          <t>EndB_Thread</t>
        </is>
      </c>
      <c r="W2" s="43" t="inlineStr">
        <is>
          <t>EndB_ThreadForm</t>
        </is>
      </c>
      <c r="X2" s="43" t="inlineStr">
        <is>
          <t>EndB_ThreadStd</t>
        </is>
      </c>
      <c r="Y2" s="43" t="inlineStr">
        <is>
          <t>EndB_SeatAngle_deg</t>
        </is>
      </c>
      <c r="Z2" s="43" t="inlineStr">
        <is>
          <t>D_L</t>
        </is>
      </c>
      <c r="AA2" s="43" t="inlineStr">
        <is>
          <t>D_C</t>
        </is>
      </c>
      <c r="AB2" s="43" t="inlineStr">
        <is>
          <t>D_D</t>
        </is>
      </c>
      <c r="AC2" s="43" t="inlineStr">
        <is>
          <t>D_D1</t>
        </is>
      </c>
      <c r="AD2" s="43" t="inlineStr">
        <is>
          <t>D_HEXA</t>
        </is>
      </c>
      <c r="AE2" s="43" t="inlineStr">
        <is>
          <t>D_HEXB</t>
        </is>
      </c>
      <c r="AF2" s="43" t="inlineStr">
        <is>
          <t>D_BendAngle_deg</t>
        </is>
      </c>
      <c r="AG2" s="43" t="inlineStr">
        <is>
          <t>D_TubeOD</t>
        </is>
      </c>
      <c r="AH2" s="43" t="inlineStr">
        <is>
          <t>TubeOD_Frac</t>
        </is>
      </c>
      <c r="AI2" s="43" t="inlineStr">
        <is>
          <t>Material</t>
        </is>
      </c>
      <c r="AJ2" s="43" t="inlineStr">
        <is>
          <t>MaterialSpec</t>
        </is>
      </c>
      <c r="AK2" s="43" t="inlineStr">
        <is>
          <t>Finish</t>
        </is>
      </c>
      <c r="AL2" s="43" t="inlineStr">
        <is>
          <t>FinishSpec</t>
        </is>
      </c>
      <c r="AM2" s="43" t="inlineStr">
        <is>
          <t>PressureRating</t>
        </is>
      </c>
      <c r="AN2" s="43" t="inlineStr">
        <is>
          <t>PressureUnit</t>
        </is>
      </c>
      <c r="AO2" s="43" t="inlineStr">
        <is>
          <t>TempMin_F</t>
        </is>
      </c>
      <c r="AP2" s="43" t="inlineStr">
        <is>
          <t>TempMax_F</t>
        </is>
      </c>
      <c r="AQ2" s="43" t="inlineStr">
        <is>
          <t>FileName_Base</t>
        </is>
      </c>
      <c r="AR2" s="43" t="inlineStr">
        <is>
          <t>Out_DrawingPDF</t>
        </is>
      </c>
      <c r="AS2" s="43" t="inlineStr">
        <is>
          <t>Out_STEP</t>
        </is>
      </c>
      <c r="AT2" s="43" t="inlineStr">
        <is>
          <t>DataStatus</t>
        </is>
      </c>
      <c r="AU2" s="43" t="inlineStr">
        <is>
          <t>StdCheck_Result</t>
        </is>
      </c>
      <c r="AV2" s="43" t="inlineStr">
        <is>
          <t>StdCheck_Source</t>
        </is>
      </c>
      <c r="AW2" s="43" t="inlineStr">
        <is>
          <t>Notes</t>
        </is>
      </c>
      <c r="AX2" s="43" t="inlineStr">
        <is>
          <t>HexB_Parker</t>
        </is>
      </c>
      <c r="AY2" s="43" t="inlineStr">
        <is>
          <t>HexB_Brennan</t>
        </is>
      </c>
      <c r="AZ2" s="43" t="inlineStr">
        <is>
          <t>HexB_PressureConn</t>
        </is>
      </c>
      <c r="BA2" s="43" t="inlineStr">
        <is>
          <t>Hex_CrossCheck</t>
        </is>
      </c>
      <c r="BB2" s="43" t="inlineStr">
        <is>
          <t>L_Parker</t>
        </is>
      </c>
      <c r="BC2" s="43" t="inlineStr">
        <is>
          <t>L_CrossCheck</t>
        </is>
      </c>
      <c r="BD2" s="43" t="inlineStr">
        <is>
          <t>InOMiCatalog</t>
        </is>
      </c>
      <c r="BE2" s="43" t="inlineStr">
        <is>
          <t>ScopeAction</t>
        </is>
      </c>
    </row>
    <row r="3" ht="15" customHeight="1" s="35">
      <c r="A3" s="52">
        <f>D3&amp;"-"&amp;TEXT(U3,"00")&amp;"-"&amp;TEXT(N3,"00")</f>
        <v/>
      </c>
      <c r="B3" s="53" t="inlineStr">
        <is>
          <t>2404-2-2</t>
        </is>
      </c>
      <c r="C3" s="52">
        <f>A3</f>
        <v/>
      </c>
      <c r="D3" s="53" t="inlineStr">
        <is>
          <t>2404</t>
        </is>
      </c>
      <c r="E3" s="53" t="n">
        <v>64</v>
      </c>
      <c r="F3" s="53" t="inlineStr">
        <is>
          <t>https://parts.air-way.com/hydraulic-fittings/jic-and-beaded-hose-fittings/straight/2404-male-connector-series-64</t>
        </is>
      </c>
      <c r="G3" s="52">
        <f>"Male Connector, "&amp;T3&amp;" x "&amp;M3&amp;", "&amp;V3&amp;" x "&amp;O3</f>
        <v/>
      </c>
      <c r="H3" s="53" t="inlineStr">
        <is>
          <t>JIC 37 &amp; Beaded Hose</t>
        </is>
      </c>
      <c r="I3" s="53" t="inlineStr">
        <is>
          <t>Carbon Steel</t>
        </is>
      </c>
      <c r="J3" s="53" t="inlineStr">
        <is>
          <t>Straight</t>
        </is>
      </c>
      <c r="K3" s="53" t="n">
        <v>2</v>
      </c>
      <c r="L3" s="53" t="inlineStr">
        <is>
          <t>A</t>
        </is>
      </c>
      <c r="M3" s="53" t="inlineStr">
        <is>
          <t>Male Pipe NPTF</t>
        </is>
      </c>
      <c r="N3" s="53" t="n">
        <v>2</v>
      </c>
      <c r="O3" s="53" t="inlineStr">
        <is>
          <t>1/8-27</t>
        </is>
      </c>
      <c r="P3" s="53" t="inlineStr">
        <is>
          <t>NPTF Dryseal</t>
        </is>
      </c>
      <c r="Q3" s="53" t="inlineStr">
        <is>
          <t>ASME B1.20.3</t>
        </is>
      </c>
      <c r="R3" s="53" t="inlineStr">
        <is>
          <t>N/A (tapered thread seal)</t>
        </is>
      </c>
      <c r="S3" s="53" t="inlineStr">
        <is>
          <t>B</t>
        </is>
      </c>
      <c r="T3" s="53" t="inlineStr">
        <is>
          <t>Male 37 deg Flare (JIC)</t>
        </is>
      </c>
      <c r="U3" s="53" t="n">
        <v>2</v>
      </c>
      <c r="V3" s="53" t="inlineStr">
        <is>
          <t>5/16-24</t>
        </is>
      </c>
      <c r="W3" s="53" t="inlineStr">
        <is>
          <t>UN/UNF-2A</t>
        </is>
      </c>
      <c r="X3" s="53" t="inlineStr">
        <is>
          <t>SAE J514 / J514-1</t>
        </is>
      </c>
      <c r="Y3" s="53" t="n">
        <v>37</v>
      </c>
      <c r="Z3" s="53" t="n">
        <v>1.11</v>
      </c>
      <c r="AA3" s="53" t="n">
        <v>0.44</v>
      </c>
      <c r="AB3" s="53" t="n">
        <v>0.06</v>
      </c>
      <c r="AC3" s="53" t="n">
        <v>0.19</v>
      </c>
      <c r="AD3" s="54" t="n"/>
      <c r="AE3" s="55" t="n">
        <v>0.4375</v>
      </c>
      <c r="AF3" s="53" t="n">
        <v>0</v>
      </c>
      <c r="AG3" s="53" t="n">
        <v>0.125</v>
      </c>
      <c r="AH3" s="53" t="inlineStr">
        <is>
          <t>1/8</t>
        </is>
      </c>
      <c r="AI3" s="54" t="n"/>
      <c r="AJ3" s="54" t="n"/>
      <c r="AK3" s="54" t="n"/>
      <c r="AL3" s="54" t="n"/>
      <c r="AM3" s="54" t="n"/>
      <c r="AN3" s="53" t="inlineStr">
        <is>
          <t>psi</t>
        </is>
      </c>
      <c r="AO3" s="54" t="n"/>
      <c r="AP3" s="54" t="n"/>
      <c r="AQ3" s="52">
        <f>SUBSTITUTE(A3,"/","_")</f>
        <v/>
      </c>
      <c r="AR3" s="52">
        <f>AQ3&amp;".pdf"</f>
        <v/>
      </c>
      <c r="AS3" s="52">
        <f>AQ3&amp;".step"</f>
        <v/>
      </c>
      <c r="AT3" s="53" t="inlineStr">
        <is>
          <t>VERIFIED</t>
        </is>
      </c>
      <c r="AU3" s="53" t="inlineStr">
        <is>
          <t>MATCH</t>
        </is>
      </c>
      <c r="AV3" s="53" t="inlineStr">
        <is>
          <t>L: Air-Way vs Parker Cat4300. Hex: 2+ independent sources agree.</t>
        </is>
      </c>
      <c r="AW3" s="53" t="inlineStr">
        <is>
          <t>Material/finish/pressure NOT published by Air-Way or OMi - awaiting client input</t>
        </is>
      </c>
      <c r="AX3" s="37" t="inlineStr">
        <is>
          <t>7/16</t>
        </is>
      </c>
      <c r="AY3" s="37" t="inlineStr">
        <is>
          <t>7/16</t>
        </is>
      </c>
      <c r="AZ3" s="37" t="inlineStr">
        <is>
          <t>7/16</t>
        </is>
      </c>
      <c r="BA3" s="45" t="inlineStr">
        <is>
          <t>AGREE</t>
        </is>
      </c>
      <c r="BB3" s="37" t="n">
        <v>1.11</v>
      </c>
      <c r="BC3" s="45" t="inlineStr">
        <is>
          <t>MATCH</t>
        </is>
      </c>
      <c r="BD3" s="45" t="inlineStr">
        <is>
          <t>Y</t>
        </is>
      </c>
      <c r="BE3" s="45" t="inlineStr">
        <is>
          <t>BUILD</t>
        </is>
      </c>
    </row>
    <row r="4" ht="15" customHeight="1" s="35">
      <c r="A4" s="52">
        <f>D4&amp;"-"&amp;TEXT(U4,"00")&amp;"-"&amp;TEXT(N4,"00")</f>
        <v/>
      </c>
      <c r="B4" s="53" t="inlineStr">
        <is>
          <t>2404-3-2</t>
        </is>
      </c>
      <c r="C4" s="52">
        <f>A4</f>
        <v/>
      </c>
      <c r="D4" s="53" t="inlineStr">
        <is>
          <t>2404</t>
        </is>
      </c>
      <c r="E4" s="53" t="n">
        <v>64</v>
      </c>
      <c r="F4" s="53" t="inlineStr">
        <is>
          <t>https://parts.air-way.com/hydraulic-fittings/jic-and-beaded-hose-fittings/straight/2404-male-connector-series-64</t>
        </is>
      </c>
      <c r="G4" s="52">
        <f>"Male Connector, "&amp;T4&amp;" x "&amp;M4&amp;", "&amp;V4&amp;" x "&amp;O4</f>
        <v/>
      </c>
      <c r="H4" s="53" t="inlineStr">
        <is>
          <t>JIC 37 &amp; Beaded Hose</t>
        </is>
      </c>
      <c r="I4" s="53" t="inlineStr">
        <is>
          <t>Carbon Steel</t>
        </is>
      </c>
      <c r="J4" s="53" t="inlineStr">
        <is>
          <t>Straight</t>
        </is>
      </c>
      <c r="K4" s="53" t="n">
        <v>2</v>
      </c>
      <c r="L4" s="53" t="inlineStr">
        <is>
          <t>A</t>
        </is>
      </c>
      <c r="M4" s="53" t="inlineStr">
        <is>
          <t>Male Pipe NPTF</t>
        </is>
      </c>
      <c r="N4" s="53" t="n">
        <v>2</v>
      </c>
      <c r="O4" s="53" t="inlineStr">
        <is>
          <t>1/8-27</t>
        </is>
      </c>
      <c r="P4" s="53" t="inlineStr">
        <is>
          <t>NPTF Dryseal</t>
        </is>
      </c>
      <c r="Q4" s="53" t="inlineStr">
        <is>
          <t>ASME B1.20.3</t>
        </is>
      </c>
      <c r="R4" s="53" t="inlineStr">
        <is>
          <t>N/A (tapered thread seal)</t>
        </is>
      </c>
      <c r="S4" s="53" t="inlineStr">
        <is>
          <t>B</t>
        </is>
      </c>
      <c r="T4" s="53" t="inlineStr">
        <is>
          <t>Male 37 deg Flare (JIC)</t>
        </is>
      </c>
      <c r="U4" s="53" t="n">
        <v>3</v>
      </c>
      <c r="V4" s="53" t="inlineStr">
        <is>
          <t>3/8-24</t>
        </is>
      </c>
      <c r="W4" s="53" t="inlineStr">
        <is>
          <t>UN/UNF-2A</t>
        </is>
      </c>
      <c r="X4" s="53" t="inlineStr">
        <is>
          <t>SAE J514 / J514-1</t>
        </is>
      </c>
      <c r="Y4" s="53" t="n">
        <v>37</v>
      </c>
      <c r="Z4" s="53" t="n">
        <v>1.14</v>
      </c>
      <c r="AA4" s="53" t="n">
        <v>0.44</v>
      </c>
      <c r="AB4" s="53" t="n">
        <v>0.13</v>
      </c>
      <c r="AC4" s="53" t="n">
        <v>0.19</v>
      </c>
      <c r="AD4" s="54" t="n"/>
      <c r="AE4" s="55" t="n">
        <v>0.4375</v>
      </c>
      <c r="AF4" s="53" t="n">
        <v>0</v>
      </c>
      <c r="AG4" s="53" t="n">
        <v>0.1875</v>
      </c>
      <c r="AH4" s="53" t="inlineStr">
        <is>
          <t>3/16</t>
        </is>
      </c>
      <c r="AI4" s="54" t="n"/>
      <c r="AJ4" s="54" t="n"/>
      <c r="AK4" s="54" t="n"/>
      <c r="AL4" s="54" t="n"/>
      <c r="AM4" s="54" t="n"/>
      <c r="AN4" s="53" t="inlineStr">
        <is>
          <t>psi</t>
        </is>
      </c>
      <c r="AO4" s="54" t="n"/>
      <c r="AP4" s="54" t="n"/>
      <c r="AQ4" s="52">
        <f>SUBSTITUTE(A4,"/","_")</f>
        <v/>
      </c>
      <c r="AR4" s="52">
        <f>AQ4&amp;".pdf"</f>
        <v/>
      </c>
      <c r="AS4" s="52">
        <f>AQ4&amp;".step"</f>
        <v/>
      </c>
      <c r="AT4" s="53" t="inlineStr">
        <is>
          <t>VERIFIED</t>
        </is>
      </c>
      <c r="AU4" s="53" t="inlineStr">
        <is>
          <t>MATCH</t>
        </is>
      </c>
      <c r="AV4" s="53" t="inlineStr">
        <is>
          <t>L: Air-Way vs Parker Cat4300. Hex: 2+ independent sources agree.</t>
        </is>
      </c>
      <c r="AW4" s="53" t="inlineStr">
        <is>
          <t>Material/finish/pressure NOT published by Air-Way or OMi - awaiting client input</t>
        </is>
      </c>
      <c r="AX4" s="37" t="inlineStr">
        <is>
          <t>7/16</t>
        </is>
      </c>
      <c r="AY4" s="37" t="inlineStr">
        <is>
          <t>7/16</t>
        </is>
      </c>
      <c r="AZ4" s="37" t="inlineStr">
        <is>
          <t>7/16</t>
        </is>
      </c>
      <c r="BA4" s="45" t="inlineStr">
        <is>
          <t>AGREE</t>
        </is>
      </c>
      <c r="BB4" s="37" t="n">
        <v>1.14</v>
      </c>
      <c r="BC4" s="45" t="inlineStr">
        <is>
          <t>MATCH</t>
        </is>
      </c>
      <c r="BD4" s="45" t="inlineStr">
        <is>
          <t>Y</t>
        </is>
      </c>
      <c r="BE4" s="45" t="inlineStr">
        <is>
          <t>BUILD</t>
        </is>
      </c>
    </row>
    <row r="5" ht="15" customHeight="1" s="35">
      <c r="A5" s="52">
        <f>D5&amp;"-"&amp;TEXT(U5,"00")&amp;"-"&amp;TEXT(N5,"00")</f>
        <v/>
      </c>
      <c r="B5" s="53" t="inlineStr">
        <is>
          <t>2404-4-2</t>
        </is>
      </c>
      <c r="C5" s="52">
        <f>A5</f>
        <v/>
      </c>
      <c r="D5" s="53" t="inlineStr">
        <is>
          <t>2404</t>
        </is>
      </c>
      <c r="E5" s="53" t="n">
        <v>64</v>
      </c>
      <c r="F5" s="53" t="inlineStr">
        <is>
          <t>https://parts.air-way.com/hydraulic-fittings/jic-and-beaded-hose-fittings/straight/2404-male-connector-series-64</t>
        </is>
      </c>
      <c r="G5" s="52">
        <f>"Male Connector, "&amp;T5&amp;" x "&amp;M5&amp;", "&amp;V5&amp;" x "&amp;O5</f>
        <v/>
      </c>
      <c r="H5" s="53" t="inlineStr">
        <is>
          <t>JIC 37 &amp; Beaded Hose</t>
        </is>
      </c>
      <c r="I5" s="53" t="inlineStr">
        <is>
          <t>Carbon Steel</t>
        </is>
      </c>
      <c r="J5" s="53" t="inlineStr">
        <is>
          <t>Straight</t>
        </is>
      </c>
      <c r="K5" s="53" t="n">
        <v>2</v>
      </c>
      <c r="L5" s="53" t="inlineStr">
        <is>
          <t>A</t>
        </is>
      </c>
      <c r="M5" s="53" t="inlineStr">
        <is>
          <t>Male Pipe NPTF</t>
        </is>
      </c>
      <c r="N5" s="53" t="n">
        <v>2</v>
      </c>
      <c r="O5" s="53" t="inlineStr">
        <is>
          <t>1/8-27</t>
        </is>
      </c>
      <c r="P5" s="53" t="inlineStr">
        <is>
          <t>NPTF Dryseal</t>
        </is>
      </c>
      <c r="Q5" s="53" t="inlineStr">
        <is>
          <t>ASME B1.20.3</t>
        </is>
      </c>
      <c r="R5" s="53" t="inlineStr">
        <is>
          <t>N/A (tapered thread seal)</t>
        </is>
      </c>
      <c r="S5" s="53" t="inlineStr">
        <is>
          <t>B</t>
        </is>
      </c>
      <c r="T5" s="53" t="inlineStr">
        <is>
          <t>Male 37 deg Flare (JIC)</t>
        </is>
      </c>
      <c r="U5" s="53" t="n">
        <v>4</v>
      </c>
      <c r="V5" s="53" t="inlineStr">
        <is>
          <t>7/16-20</t>
        </is>
      </c>
      <c r="W5" s="53" t="inlineStr">
        <is>
          <t>UN/UNF-2A</t>
        </is>
      </c>
      <c r="X5" s="53" t="inlineStr">
        <is>
          <t>SAE J514 / J514-1</t>
        </is>
      </c>
      <c r="Y5" s="53" t="n">
        <v>37</v>
      </c>
      <c r="Z5" s="53" t="n">
        <v>1.22</v>
      </c>
      <c r="AA5" s="53" t="n">
        <v>0.5</v>
      </c>
      <c r="AB5" s="53" t="n">
        <v>0.17</v>
      </c>
      <c r="AC5" s="53" t="n">
        <v>0.19</v>
      </c>
      <c r="AD5" s="54" t="n"/>
      <c r="AE5" s="54" t="n">
        <v>0.5</v>
      </c>
      <c r="AF5" s="53" t="n">
        <v>0</v>
      </c>
      <c r="AG5" s="53" t="n">
        <v>0.25</v>
      </c>
      <c r="AH5" s="53" t="inlineStr">
        <is>
          <t>1/4</t>
        </is>
      </c>
      <c r="AI5" s="54" t="n"/>
      <c r="AJ5" s="54" t="n"/>
      <c r="AK5" s="54" t="n"/>
      <c r="AL5" s="54" t="n"/>
      <c r="AM5" s="54" t="n"/>
      <c r="AN5" s="53" t="inlineStr">
        <is>
          <t>psi</t>
        </is>
      </c>
      <c r="AO5" s="54" t="n"/>
      <c r="AP5" s="54" t="n"/>
      <c r="AQ5" s="52">
        <f>SUBSTITUTE(A5,"/","_")</f>
        <v/>
      </c>
      <c r="AR5" s="52">
        <f>AQ5&amp;".pdf"</f>
        <v/>
      </c>
      <c r="AS5" s="52">
        <f>AQ5&amp;".step"</f>
        <v/>
      </c>
      <c r="AT5" s="53" t="inlineStr">
        <is>
          <t>ASSUMED</t>
        </is>
      </c>
      <c r="AU5" s="53" t="inlineStr">
        <is>
          <t>MATCH (L only)</t>
        </is>
      </c>
      <c r="AV5" s="53" t="inlineStr">
        <is>
          <t>Hex from Parker Cat4300 only - single source, not cross-checked.</t>
        </is>
      </c>
      <c r="AW5" s="53" t="inlineStr">
        <is>
          <t>Material/finish/pressure NOT published by Air-Way or OMi - awaiting client input</t>
        </is>
      </c>
      <c r="AX5" s="37" t="inlineStr">
        <is>
          <t>1/2</t>
        </is>
      </c>
      <c r="AY5" s="37" t="n"/>
      <c r="AZ5" s="37" t="n"/>
      <c r="BA5" s="44" t="inlineStr">
        <is>
          <t>SINGLE SOURCE</t>
        </is>
      </c>
      <c r="BB5" s="37" t="n">
        <v>1.22</v>
      </c>
      <c r="BC5" s="45" t="inlineStr">
        <is>
          <t>MATCH</t>
        </is>
      </c>
      <c r="BD5" s="45" t="inlineStr">
        <is>
          <t>Y</t>
        </is>
      </c>
      <c r="BE5" s="45" t="inlineStr">
        <is>
          <t>BUILD</t>
        </is>
      </c>
    </row>
    <row r="6" ht="15" customHeight="1" s="35">
      <c r="A6" s="52">
        <f>D6&amp;"-"&amp;TEXT(U6,"00")&amp;"-"&amp;TEXT(N6,"00")</f>
        <v/>
      </c>
      <c r="B6" s="53" t="inlineStr">
        <is>
          <t>2404-4-4</t>
        </is>
      </c>
      <c r="C6" s="52">
        <f>A6</f>
        <v/>
      </c>
      <c r="D6" s="53" t="inlineStr">
        <is>
          <t>2404</t>
        </is>
      </c>
      <c r="E6" s="53" t="n">
        <v>64</v>
      </c>
      <c r="F6" s="53" t="inlineStr">
        <is>
          <t>https://parts.air-way.com/hydraulic-fittings/jic-and-beaded-hose-fittings/straight/2404-male-connector-series-64</t>
        </is>
      </c>
      <c r="G6" s="52">
        <f>"Male Connector, "&amp;T6&amp;" x "&amp;M6&amp;", "&amp;V6&amp;" x "&amp;O6</f>
        <v/>
      </c>
      <c r="H6" s="53" t="inlineStr">
        <is>
          <t>JIC 37 &amp; Beaded Hose</t>
        </is>
      </c>
      <c r="I6" s="53" t="inlineStr">
        <is>
          <t>Carbon Steel</t>
        </is>
      </c>
      <c r="J6" s="53" t="inlineStr">
        <is>
          <t>Straight</t>
        </is>
      </c>
      <c r="K6" s="53" t="n">
        <v>2</v>
      </c>
      <c r="L6" s="53" t="inlineStr">
        <is>
          <t>A</t>
        </is>
      </c>
      <c r="M6" s="53" t="inlineStr">
        <is>
          <t>Male Pipe NPTF</t>
        </is>
      </c>
      <c r="N6" s="53" t="n">
        <v>4</v>
      </c>
      <c r="O6" s="53" t="inlineStr">
        <is>
          <t>1/4-18</t>
        </is>
      </c>
      <c r="P6" s="53" t="inlineStr">
        <is>
          <t>NPTF Dryseal</t>
        </is>
      </c>
      <c r="Q6" s="53" t="inlineStr">
        <is>
          <t>ASME B1.20.3</t>
        </is>
      </c>
      <c r="R6" s="53" t="inlineStr">
        <is>
          <t>N/A (tapered thread seal)</t>
        </is>
      </c>
      <c r="S6" s="53" t="inlineStr">
        <is>
          <t>B</t>
        </is>
      </c>
      <c r="T6" s="53" t="inlineStr">
        <is>
          <t>Male 37 deg Flare (JIC)</t>
        </is>
      </c>
      <c r="U6" s="53" t="n">
        <v>4</v>
      </c>
      <c r="V6" s="53" t="inlineStr">
        <is>
          <t>7/16-20</t>
        </is>
      </c>
      <c r="W6" s="53" t="inlineStr">
        <is>
          <t>UN/UNF-2A</t>
        </is>
      </c>
      <c r="X6" s="53" t="inlineStr">
        <is>
          <t>SAE J514 / J514-1</t>
        </is>
      </c>
      <c r="Y6" s="53" t="n">
        <v>37</v>
      </c>
      <c r="Z6" s="53" t="n">
        <v>1.42</v>
      </c>
      <c r="AA6" s="53" t="n">
        <v>0.5600000000000001</v>
      </c>
      <c r="AB6" s="53" t="n">
        <v>0.17</v>
      </c>
      <c r="AC6" s="53" t="n">
        <v>0.28</v>
      </c>
      <c r="AD6" s="54" t="n"/>
      <c r="AE6" s="55" t="n">
        <v>0.5625</v>
      </c>
      <c r="AF6" s="53" t="n">
        <v>0</v>
      </c>
      <c r="AG6" s="53" t="n">
        <v>0.25</v>
      </c>
      <c r="AH6" s="53" t="inlineStr">
        <is>
          <t>1/4</t>
        </is>
      </c>
      <c r="AI6" s="54" t="n"/>
      <c r="AJ6" s="54" t="n"/>
      <c r="AK6" s="54" t="n"/>
      <c r="AL6" s="54" t="n"/>
      <c r="AM6" s="54" t="n"/>
      <c r="AN6" s="53" t="inlineStr">
        <is>
          <t>psi</t>
        </is>
      </c>
      <c r="AO6" s="54" t="n"/>
      <c r="AP6" s="54" t="n"/>
      <c r="AQ6" s="52">
        <f>SUBSTITUTE(A6,"/","_")</f>
        <v/>
      </c>
      <c r="AR6" s="52">
        <f>AQ6&amp;".pdf"</f>
        <v/>
      </c>
      <c r="AS6" s="52">
        <f>AQ6&amp;".step"</f>
        <v/>
      </c>
      <c r="AT6" s="53" t="inlineStr">
        <is>
          <t>VERIFIED</t>
        </is>
      </c>
      <c r="AU6" s="53" t="inlineStr">
        <is>
          <t>MATCH</t>
        </is>
      </c>
      <c r="AV6" s="53" t="inlineStr">
        <is>
          <t>L: Air-Way vs Parker Cat4300. Hex: 2+ independent sources agree.</t>
        </is>
      </c>
      <c r="AW6" s="53" t="inlineStr">
        <is>
          <t>Material/finish/pressure NOT published by Air-Way or OMi - awaiting client input</t>
        </is>
      </c>
      <c r="AX6" s="37" t="inlineStr">
        <is>
          <t>9/16</t>
        </is>
      </c>
      <c r="AY6" s="37" t="inlineStr">
        <is>
          <t>9/16</t>
        </is>
      </c>
      <c r="AZ6" s="37" t="inlineStr">
        <is>
          <t>9/16</t>
        </is>
      </c>
      <c r="BA6" s="45" t="inlineStr">
        <is>
          <t>AGREE</t>
        </is>
      </c>
      <c r="BB6" s="37" t="n">
        <v>1.42</v>
      </c>
      <c r="BC6" s="45" t="inlineStr">
        <is>
          <t>MATCH</t>
        </is>
      </c>
      <c r="BD6" s="45" t="inlineStr">
        <is>
          <t>Y</t>
        </is>
      </c>
      <c r="BE6" s="45" t="inlineStr">
        <is>
          <t>BUILD</t>
        </is>
      </c>
    </row>
    <row r="7" ht="15" customHeight="1" s="35">
      <c r="A7" s="52">
        <f>D7&amp;"-"&amp;TEXT(U7,"00")&amp;"-"&amp;TEXT(N7,"00")</f>
        <v/>
      </c>
      <c r="B7" s="53" t="inlineStr">
        <is>
          <t>2404-4-6</t>
        </is>
      </c>
      <c r="C7" s="52">
        <f>A7</f>
        <v/>
      </c>
      <c r="D7" s="53" t="inlineStr">
        <is>
          <t>2404</t>
        </is>
      </c>
      <c r="E7" s="53" t="n">
        <v>64</v>
      </c>
      <c r="F7" s="53" t="inlineStr">
        <is>
          <t>https://parts.air-way.com/hydraulic-fittings/jic-and-beaded-hose-fittings/straight/2404-male-connector-series-64</t>
        </is>
      </c>
      <c r="G7" s="52">
        <f>"Male Connector, "&amp;T7&amp;" x "&amp;M7&amp;", "&amp;V7&amp;" x "&amp;O7</f>
        <v/>
      </c>
      <c r="H7" s="53" t="inlineStr">
        <is>
          <t>JIC 37 &amp; Beaded Hose</t>
        </is>
      </c>
      <c r="I7" s="53" t="inlineStr">
        <is>
          <t>Carbon Steel</t>
        </is>
      </c>
      <c r="J7" s="53" t="inlineStr">
        <is>
          <t>Straight</t>
        </is>
      </c>
      <c r="K7" s="53" t="n">
        <v>2</v>
      </c>
      <c r="L7" s="53" t="inlineStr">
        <is>
          <t>A</t>
        </is>
      </c>
      <c r="M7" s="53" t="inlineStr">
        <is>
          <t>Male Pipe NPTF</t>
        </is>
      </c>
      <c r="N7" s="53" t="n">
        <v>6</v>
      </c>
      <c r="O7" s="53" t="inlineStr">
        <is>
          <t>3/8-18</t>
        </is>
      </c>
      <c r="P7" s="53" t="inlineStr">
        <is>
          <t>NPTF Dryseal</t>
        </is>
      </c>
      <c r="Q7" s="53" t="inlineStr">
        <is>
          <t>ASME B1.20.3</t>
        </is>
      </c>
      <c r="R7" s="53" t="inlineStr">
        <is>
          <t>N/A (tapered thread seal)</t>
        </is>
      </c>
      <c r="S7" s="53" t="inlineStr">
        <is>
          <t>B</t>
        </is>
      </c>
      <c r="T7" s="53" t="inlineStr">
        <is>
          <t>Male 37 deg Flare (JIC)</t>
        </is>
      </c>
      <c r="U7" s="53" t="n">
        <v>4</v>
      </c>
      <c r="V7" s="53" t="inlineStr">
        <is>
          <t>7/16-20</t>
        </is>
      </c>
      <c r="W7" s="53" t="inlineStr">
        <is>
          <t>UN/UNF-2A</t>
        </is>
      </c>
      <c r="X7" s="53" t="inlineStr">
        <is>
          <t>SAE J514 / J514-1</t>
        </is>
      </c>
      <c r="Y7" s="53" t="n">
        <v>37</v>
      </c>
      <c r="Z7" s="53" t="n">
        <v>1.42</v>
      </c>
      <c r="AA7" s="53" t="n">
        <v>0.75</v>
      </c>
      <c r="AB7" s="53" t="n">
        <v>0.17</v>
      </c>
      <c r="AC7" s="53" t="n">
        <v>0.41</v>
      </c>
      <c r="AD7" s="54" t="n"/>
      <c r="AE7" s="54" t="n"/>
      <c r="AF7" s="53" t="n">
        <v>0</v>
      </c>
      <c r="AG7" s="53" t="n">
        <v>0.25</v>
      </c>
      <c r="AH7" s="53" t="inlineStr">
        <is>
          <t>1/4</t>
        </is>
      </c>
      <c r="AI7" s="54" t="n"/>
      <c r="AJ7" s="54" t="n"/>
      <c r="AK7" s="54" t="n"/>
      <c r="AL7" s="54" t="n"/>
      <c r="AM7" s="54" t="n"/>
      <c r="AN7" s="53" t="inlineStr">
        <is>
          <t>psi</t>
        </is>
      </c>
      <c r="AO7" s="54" t="n"/>
      <c r="AP7" s="54" t="n"/>
      <c r="AQ7" s="52">
        <f>SUBSTITUTE(A7,"/","_")</f>
        <v/>
      </c>
      <c r="AR7" s="52">
        <f>AQ7&amp;".pdf"</f>
        <v/>
      </c>
      <c r="AS7" s="52">
        <f>AQ7&amp;".step"</f>
        <v/>
      </c>
      <c r="AT7" s="53" t="inlineStr">
        <is>
          <t>MISSING</t>
        </is>
      </c>
      <c r="AU7" s="53" t="inlineStr">
        <is>
          <t>MATCH</t>
        </is>
      </c>
      <c r="AV7" s="53" t="inlineStr">
        <is>
          <t>SAE J514 JIC dash/thread chart (gageref.com), cross-checked vs source page</t>
        </is>
      </c>
      <c r="AW7" s="53" t="inlineStr">
        <is>
          <t>Material/finish/pressure NOT published by Air-Way or OMi - awaiting client input</t>
        </is>
      </c>
      <c r="AX7" s="37" t="n"/>
      <c r="AY7" s="37" t="n"/>
      <c r="AZ7" s="37" t="n"/>
      <c r="BA7" s="44" t="inlineStr">
        <is>
          <t>NO DATA</t>
        </is>
      </c>
      <c r="BB7" s="37" t="n"/>
      <c r="BC7" s="44" t="inlineStr">
        <is>
          <t>NO DATA</t>
        </is>
      </c>
      <c r="BD7" s="45" t="inlineStr">
        <is>
          <t>Y</t>
        </is>
      </c>
      <c r="BE7" s="45" t="inlineStr">
        <is>
          <t>BUILD</t>
        </is>
      </c>
    </row>
    <row r="8" ht="15" customHeight="1" s="35">
      <c r="A8" s="52">
        <f>D8&amp;"-"&amp;TEXT(U8,"00")&amp;"-"&amp;TEXT(N8,"00")</f>
        <v/>
      </c>
      <c r="B8" s="53" t="inlineStr">
        <is>
          <t>2404-4-8</t>
        </is>
      </c>
      <c r="C8" s="52">
        <f>A8</f>
        <v/>
      </c>
      <c r="D8" s="53" t="inlineStr">
        <is>
          <t>2404</t>
        </is>
      </c>
      <c r="E8" s="53" t="n">
        <v>64</v>
      </c>
      <c r="F8" s="53" t="inlineStr">
        <is>
          <t>https://parts.air-way.com/hydraulic-fittings/jic-and-beaded-hose-fittings/straight/2404-male-connector-series-64</t>
        </is>
      </c>
      <c r="G8" s="52">
        <f>"Male Connector, "&amp;T8&amp;" x "&amp;M8&amp;", "&amp;V8&amp;" x "&amp;O8</f>
        <v/>
      </c>
      <c r="H8" s="53" t="inlineStr">
        <is>
          <t>JIC 37 &amp; Beaded Hose</t>
        </is>
      </c>
      <c r="I8" s="53" t="inlineStr">
        <is>
          <t>Carbon Steel</t>
        </is>
      </c>
      <c r="J8" s="53" t="inlineStr">
        <is>
          <t>Straight</t>
        </is>
      </c>
      <c r="K8" s="53" t="n">
        <v>2</v>
      </c>
      <c r="L8" s="53" t="inlineStr">
        <is>
          <t>A</t>
        </is>
      </c>
      <c r="M8" s="53" t="inlineStr">
        <is>
          <t>Male Pipe NPTF</t>
        </is>
      </c>
      <c r="N8" s="53" t="n">
        <v>8</v>
      </c>
      <c r="O8" s="53" t="inlineStr">
        <is>
          <t>1/2-14</t>
        </is>
      </c>
      <c r="P8" s="53" t="inlineStr">
        <is>
          <t>NPTF Dryseal</t>
        </is>
      </c>
      <c r="Q8" s="53" t="inlineStr">
        <is>
          <t>ASME B1.20.3</t>
        </is>
      </c>
      <c r="R8" s="53" t="inlineStr">
        <is>
          <t>N/A (tapered thread seal)</t>
        </is>
      </c>
      <c r="S8" s="53" t="inlineStr">
        <is>
          <t>B</t>
        </is>
      </c>
      <c r="T8" s="53" t="inlineStr">
        <is>
          <t>Male 37 deg Flare (JIC)</t>
        </is>
      </c>
      <c r="U8" s="53" t="n">
        <v>4</v>
      </c>
      <c r="V8" s="53" t="inlineStr">
        <is>
          <t>7/16-20</t>
        </is>
      </c>
      <c r="W8" s="53" t="inlineStr">
        <is>
          <t>UN/UNF-2A</t>
        </is>
      </c>
      <c r="X8" s="53" t="inlineStr">
        <is>
          <t>SAE J514 / J514-1</t>
        </is>
      </c>
      <c r="Y8" s="53" t="n">
        <v>37</v>
      </c>
      <c r="Z8" s="53" t="n">
        <v>1.68</v>
      </c>
      <c r="AA8" s="53" t="n">
        <v>0.88</v>
      </c>
      <c r="AB8" s="53" t="n">
        <v>0.17</v>
      </c>
      <c r="AC8" s="53" t="n">
        <v>0.53</v>
      </c>
      <c r="AD8" s="54" t="n"/>
      <c r="AE8" s="54" t="n"/>
      <c r="AF8" s="53" t="n">
        <v>0</v>
      </c>
      <c r="AG8" s="53" t="n">
        <v>0.25</v>
      </c>
      <c r="AH8" s="53" t="inlineStr">
        <is>
          <t>1/4</t>
        </is>
      </c>
      <c r="AI8" s="54" t="n"/>
      <c r="AJ8" s="54" t="n"/>
      <c r="AK8" s="54" t="n"/>
      <c r="AL8" s="54" t="n"/>
      <c r="AM8" s="54" t="n"/>
      <c r="AN8" s="53" t="inlineStr">
        <is>
          <t>psi</t>
        </is>
      </c>
      <c r="AO8" s="54" t="n"/>
      <c r="AP8" s="54" t="n"/>
      <c r="AQ8" s="52">
        <f>SUBSTITUTE(A8,"/","_")</f>
        <v/>
      </c>
      <c r="AR8" s="52">
        <f>AQ8&amp;".pdf"</f>
        <v/>
      </c>
      <c r="AS8" s="52">
        <f>AQ8&amp;".step"</f>
        <v/>
      </c>
      <c r="AT8" s="53" t="inlineStr">
        <is>
          <t>MISSING</t>
        </is>
      </c>
      <c r="AU8" s="53" t="inlineStr">
        <is>
          <t>MATCH</t>
        </is>
      </c>
      <c r="AV8" s="53" t="inlineStr">
        <is>
          <t>SAE J514 JIC dash/thread chart (gageref.com), cross-checked vs source page</t>
        </is>
      </c>
      <c r="AW8" s="53" t="inlineStr">
        <is>
          <t>Material/finish/pressure NOT published by Air-Way or OMi - awaiting client input</t>
        </is>
      </c>
      <c r="AX8" s="37" t="n"/>
      <c r="AY8" s="37" t="n"/>
      <c r="AZ8" s="37" t="n"/>
      <c r="BA8" s="44" t="inlineStr">
        <is>
          <t>NO DATA</t>
        </is>
      </c>
      <c r="BB8" s="37" t="n"/>
      <c r="BC8" s="44" t="inlineStr">
        <is>
          <t>NO DATA</t>
        </is>
      </c>
      <c r="BD8" s="45" t="inlineStr">
        <is>
          <t>Y</t>
        </is>
      </c>
      <c r="BE8" s="45" t="inlineStr">
        <is>
          <t>BUILD</t>
        </is>
      </c>
    </row>
    <row r="9" ht="15" customHeight="1" s="35">
      <c r="A9" s="52">
        <f>D9&amp;"-"&amp;TEXT(U9,"00")&amp;"-"&amp;TEXT(N9,"00")</f>
        <v/>
      </c>
      <c r="B9" s="53" t="inlineStr">
        <is>
          <t>2404-4-12</t>
        </is>
      </c>
      <c r="C9" s="52">
        <f>A9</f>
        <v/>
      </c>
      <c r="D9" s="53" t="inlineStr">
        <is>
          <t>2404</t>
        </is>
      </c>
      <c r="E9" s="53" t="n">
        <v>64</v>
      </c>
      <c r="F9" s="53" t="inlineStr">
        <is>
          <t>https://parts.air-way.com/hydraulic-fittings/jic-and-beaded-hose-fittings/straight/2404-male-connector-series-64</t>
        </is>
      </c>
      <c r="G9" s="52">
        <f>"Male Connector, "&amp;T9&amp;" x "&amp;M9&amp;", "&amp;V9&amp;" x "&amp;O9</f>
        <v/>
      </c>
      <c r="H9" s="53" t="inlineStr">
        <is>
          <t>JIC 37 &amp; Beaded Hose</t>
        </is>
      </c>
      <c r="I9" s="53" t="inlineStr">
        <is>
          <t>Carbon Steel</t>
        </is>
      </c>
      <c r="J9" s="53" t="inlineStr">
        <is>
          <t>Straight</t>
        </is>
      </c>
      <c r="K9" s="53" t="n">
        <v>2</v>
      </c>
      <c r="L9" s="53" t="inlineStr">
        <is>
          <t>A</t>
        </is>
      </c>
      <c r="M9" s="53" t="inlineStr">
        <is>
          <t>Male Pipe NPTF</t>
        </is>
      </c>
      <c r="N9" s="53" t="n">
        <v>12</v>
      </c>
      <c r="O9" s="53" t="inlineStr">
        <is>
          <t>3/4-14</t>
        </is>
      </c>
      <c r="P9" s="53" t="inlineStr">
        <is>
          <t>NPTF Dryseal</t>
        </is>
      </c>
      <c r="Q9" s="53" t="inlineStr">
        <is>
          <t>ASME B1.20.3</t>
        </is>
      </c>
      <c r="R9" s="53" t="inlineStr">
        <is>
          <t>N/A (tapered thread seal)</t>
        </is>
      </c>
      <c r="S9" s="53" t="inlineStr">
        <is>
          <t>B</t>
        </is>
      </c>
      <c r="T9" s="53" t="inlineStr">
        <is>
          <t>Male 37 deg Flare (JIC)</t>
        </is>
      </c>
      <c r="U9" s="53" t="n">
        <v>4</v>
      </c>
      <c r="V9" s="53" t="inlineStr">
        <is>
          <t>7/16-20</t>
        </is>
      </c>
      <c r="W9" s="53" t="inlineStr">
        <is>
          <t>UN/UNF-2A</t>
        </is>
      </c>
      <c r="X9" s="53" t="inlineStr">
        <is>
          <t>SAE J514 / J514-1</t>
        </is>
      </c>
      <c r="Y9" s="53" t="n">
        <v>37</v>
      </c>
      <c r="Z9" s="53" t="n">
        <v>1.75</v>
      </c>
      <c r="AA9" s="53" t="n">
        <v>1.13</v>
      </c>
      <c r="AB9" s="53" t="n">
        <v>0.17</v>
      </c>
      <c r="AC9" s="53" t="n">
        <v>0.72</v>
      </c>
      <c r="AD9" s="54" t="n"/>
      <c r="AE9" s="54" t="n"/>
      <c r="AF9" s="53" t="n">
        <v>0</v>
      </c>
      <c r="AG9" s="53" t="n">
        <v>0.25</v>
      </c>
      <c r="AH9" s="53" t="inlineStr">
        <is>
          <t>1/4</t>
        </is>
      </c>
      <c r="AI9" s="54" t="n"/>
      <c r="AJ9" s="54" t="n"/>
      <c r="AK9" s="54" t="n"/>
      <c r="AL9" s="54" t="n"/>
      <c r="AM9" s="54" t="n"/>
      <c r="AN9" s="53" t="inlineStr">
        <is>
          <t>psi</t>
        </is>
      </c>
      <c r="AO9" s="54" t="n"/>
      <c r="AP9" s="54" t="n"/>
      <c r="AQ9" s="52">
        <f>SUBSTITUTE(A9,"/","_")</f>
        <v/>
      </c>
      <c r="AR9" s="52">
        <f>AQ9&amp;".pdf"</f>
        <v/>
      </c>
      <c r="AS9" s="52">
        <f>AQ9&amp;".step"</f>
        <v/>
      </c>
      <c r="AT9" s="53" t="inlineStr">
        <is>
          <t>MISSING</t>
        </is>
      </c>
      <c r="AU9" s="53" t="inlineStr">
        <is>
          <t>MATCH</t>
        </is>
      </c>
      <c r="AV9" s="53" t="inlineStr">
        <is>
          <t>SAE J514 JIC dash/thread chart (gageref.com), cross-checked vs source page</t>
        </is>
      </c>
      <c r="AW9" s="53" t="inlineStr">
        <is>
          <t>Material/finish/pressure NOT published by Air-Way or OMi - awaiting client input</t>
        </is>
      </c>
      <c r="AX9" s="37" t="n"/>
      <c r="AY9" s="37" t="n"/>
      <c r="AZ9" s="37" t="n"/>
      <c r="BA9" s="44" t="inlineStr">
        <is>
          <t>NO DATA</t>
        </is>
      </c>
      <c r="BB9" s="37" t="n"/>
      <c r="BC9" s="44" t="inlineStr">
        <is>
          <t>NO DATA</t>
        </is>
      </c>
      <c r="BD9" s="45" t="inlineStr">
        <is>
          <t>Y</t>
        </is>
      </c>
      <c r="BE9" s="45" t="inlineStr">
        <is>
          <t>BUILD</t>
        </is>
      </c>
    </row>
    <row r="10" ht="15" customHeight="1" s="35">
      <c r="A10" s="52">
        <f>D10&amp;"-"&amp;TEXT(U10,"00")&amp;"-"&amp;TEXT(N10,"00")</f>
        <v/>
      </c>
      <c r="B10" s="53" t="inlineStr">
        <is>
          <t>2404-5-2</t>
        </is>
      </c>
      <c r="C10" s="52">
        <f>A10</f>
        <v/>
      </c>
      <c r="D10" s="53" t="inlineStr">
        <is>
          <t>2404</t>
        </is>
      </c>
      <c r="E10" s="53" t="n">
        <v>64</v>
      </c>
      <c r="F10" s="53" t="inlineStr">
        <is>
          <t>https://parts.air-way.com/hydraulic-fittings/jic-and-beaded-hose-fittings/straight/2404-male-connector-series-64</t>
        </is>
      </c>
      <c r="G10" s="52">
        <f>"Male Connector, "&amp;T10&amp;" x "&amp;M10&amp;", "&amp;V10&amp;" x "&amp;O10</f>
        <v/>
      </c>
      <c r="H10" s="53" t="inlineStr">
        <is>
          <t>JIC 37 &amp; Beaded Hose</t>
        </is>
      </c>
      <c r="I10" s="53" t="inlineStr">
        <is>
          <t>Carbon Steel</t>
        </is>
      </c>
      <c r="J10" s="53" t="inlineStr">
        <is>
          <t>Straight</t>
        </is>
      </c>
      <c r="K10" s="53" t="n">
        <v>2</v>
      </c>
      <c r="L10" s="53" t="inlineStr">
        <is>
          <t>A</t>
        </is>
      </c>
      <c r="M10" s="53" t="inlineStr">
        <is>
          <t>Male Pipe NPTF</t>
        </is>
      </c>
      <c r="N10" s="53" t="n">
        <v>2</v>
      </c>
      <c r="O10" s="53" t="inlineStr">
        <is>
          <t>1/8-27</t>
        </is>
      </c>
      <c r="P10" s="53" t="inlineStr">
        <is>
          <t>NPTF Dryseal</t>
        </is>
      </c>
      <c r="Q10" s="53" t="inlineStr">
        <is>
          <t>ASME B1.20.3</t>
        </is>
      </c>
      <c r="R10" s="53" t="inlineStr">
        <is>
          <t>N/A (tapered thread seal)</t>
        </is>
      </c>
      <c r="S10" s="53" t="inlineStr">
        <is>
          <t>B</t>
        </is>
      </c>
      <c r="T10" s="53" t="inlineStr">
        <is>
          <t>Male 37 deg Flare (JIC)</t>
        </is>
      </c>
      <c r="U10" s="53" t="n">
        <v>5</v>
      </c>
      <c r="V10" s="53" t="inlineStr">
        <is>
          <t>1/2-20</t>
        </is>
      </c>
      <c r="W10" s="53" t="inlineStr">
        <is>
          <t>UN/UNF-2A</t>
        </is>
      </c>
      <c r="X10" s="53" t="inlineStr">
        <is>
          <t>SAE J514 / J514-1</t>
        </is>
      </c>
      <c r="Y10" s="53" t="n">
        <v>37</v>
      </c>
      <c r="Z10" s="53" t="n">
        <v>1.22</v>
      </c>
      <c r="AA10" s="53" t="n">
        <v>0.5600000000000001</v>
      </c>
      <c r="AB10" s="53" t="n">
        <v>0.23</v>
      </c>
      <c r="AC10" s="53" t="n">
        <v>0.19</v>
      </c>
      <c r="AD10" s="54" t="n"/>
      <c r="AE10" s="54" t="n">
        <v>0.5625</v>
      </c>
      <c r="AF10" s="53" t="n">
        <v>0</v>
      </c>
      <c r="AG10" s="53" t="n">
        <v>0.3125</v>
      </c>
      <c r="AH10" s="53" t="inlineStr">
        <is>
          <t>5/16</t>
        </is>
      </c>
      <c r="AI10" s="54" t="n"/>
      <c r="AJ10" s="54" t="n"/>
      <c r="AK10" s="54" t="n"/>
      <c r="AL10" s="54" t="n"/>
      <c r="AM10" s="54" t="n"/>
      <c r="AN10" s="53" t="inlineStr">
        <is>
          <t>psi</t>
        </is>
      </c>
      <c r="AO10" s="54" t="n"/>
      <c r="AP10" s="54" t="n"/>
      <c r="AQ10" s="52">
        <f>SUBSTITUTE(A10,"/","_")</f>
        <v/>
      </c>
      <c r="AR10" s="52">
        <f>AQ10&amp;".pdf"</f>
        <v/>
      </c>
      <c r="AS10" s="52">
        <f>AQ10&amp;".step"</f>
        <v/>
      </c>
      <c r="AT10" s="53" t="inlineStr">
        <is>
          <t>ASSUMED</t>
        </is>
      </c>
      <c r="AU10" s="53" t="inlineStr">
        <is>
          <t>MATCH (L only)</t>
        </is>
      </c>
      <c r="AV10" s="53" t="inlineStr">
        <is>
          <t>Hex from Parker Cat4300 only - single source, not cross-checked.</t>
        </is>
      </c>
      <c r="AW10" s="53" t="inlineStr">
        <is>
          <t>Material/finish/pressure NOT published by Air-Way or OMi - awaiting client input</t>
        </is>
      </c>
      <c r="AX10" s="37" t="inlineStr">
        <is>
          <t>9/16</t>
        </is>
      </c>
      <c r="AY10" s="37" t="n"/>
      <c r="AZ10" s="37" t="n"/>
      <c r="BA10" s="44" t="inlineStr">
        <is>
          <t>SINGLE SOURCE</t>
        </is>
      </c>
      <c r="BB10" s="37" t="n">
        <v>1.22</v>
      </c>
      <c r="BC10" s="45" t="inlineStr">
        <is>
          <t>MATCH</t>
        </is>
      </c>
      <c r="BD10" s="45" t="inlineStr">
        <is>
          <t>Y</t>
        </is>
      </c>
      <c r="BE10" s="45" t="inlineStr">
        <is>
          <t>BUILD</t>
        </is>
      </c>
    </row>
    <row r="11" ht="15" customHeight="1" s="35">
      <c r="A11" s="52">
        <f>D11&amp;"-"&amp;TEXT(U11,"00")&amp;"-"&amp;TEXT(N11,"00")</f>
        <v/>
      </c>
      <c r="B11" s="53" t="inlineStr">
        <is>
          <t>2404-5-4</t>
        </is>
      </c>
      <c r="C11" s="52">
        <f>A11</f>
        <v/>
      </c>
      <c r="D11" s="53" t="inlineStr">
        <is>
          <t>2404</t>
        </is>
      </c>
      <c r="E11" s="53" t="n">
        <v>64</v>
      </c>
      <c r="F11" s="53" t="inlineStr">
        <is>
          <t>https://parts.air-way.com/hydraulic-fittings/jic-and-beaded-hose-fittings/straight/2404-male-connector-series-64</t>
        </is>
      </c>
      <c r="G11" s="52">
        <f>"Male Connector, "&amp;T11&amp;" x "&amp;M11&amp;", "&amp;V11&amp;" x "&amp;O11</f>
        <v/>
      </c>
      <c r="H11" s="53" t="inlineStr">
        <is>
          <t>JIC 37 &amp; Beaded Hose</t>
        </is>
      </c>
      <c r="I11" s="53" t="inlineStr">
        <is>
          <t>Carbon Steel</t>
        </is>
      </c>
      <c r="J11" s="53" t="inlineStr">
        <is>
          <t>Straight</t>
        </is>
      </c>
      <c r="K11" s="53" t="n">
        <v>2</v>
      </c>
      <c r="L11" s="53" t="inlineStr">
        <is>
          <t>A</t>
        </is>
      </c>
      <c r="M11" s="53" t="inlineStr">
        <is>
          <t>Male Pipe NPTF</t>
        </is>
      </c>
      <c r="N11" s="53" t="n">
        <v>4</v>
      </c>
      <c r="O11" s="53" t="inlineStr">
        <is>
          <t>1/4-18</t>
        </is>
      </c>
      <c r="P11" s="53" t="inlineStr">
        <is>
          <t>NPTF Dryseal</t>
        </is>
      </c>
      <c r="Q11" s="53" t="inlineStr">
        <is>
          <t>ASME B1.20.3</t>
        </is>
      </c>
      <c r="R11" s="53" t="inlineStr">
        <is>
          <t>N/A (tapered thread seal)</t>
        </is>
      </c>
      <c r="S11" s="53" t="inlineStr">
        <is>
          <t>B</t>
        </is>
      </c>
      <c r="T11" s="53" t="inlineStr">
        <is>
          <t>Male 37 deg Flare (JIC)</t>
        </is>
      </c>
      <c r="U11" s="53" t="n">
        <v>5</v>
      </c>
      <c r="V11" s="53" t="inlineStr">
        <is>
          <t>1/2-20</t>
        </is>
      </c>
      <c r="W11" s="53" t="inlineStr">
        <is>
          <t>UN/UNF-2A</t>
        </is>
      </c>
      <c r="X11" s="53" t="inlineStr">
        <is>
          <t>SAE J514 / J514-1</t>
        </is>
      </c>
      <c r="Y11" s="53" t="n">
        <v>37</v>
      </c>
      <c r="Z11" s="53" t="n">
        <v>1.42</v>
      </c>
      <c r="AA11" s="53" t="n">
        <v>0.5600000000000001</v>
      </c>
      <c r="AB11" s="53" t="n">
        <v>0.23</v>
      </c>
      <c r="AC11" s="53" t="n">
        <v>0.28</v>
      </c>
      <c r="AD11" s="54" t="n"/>
      <c r="AE11" s="55" t="n">
        <v>0.5625</v>
      </c>
      <c r="AF11" s="53" t="n">
        <v>0</v>
      </c>
      <c r="AG11" s="53" t="n">
        <v>0.3125</v>
      </c>
      <c r="AH11" s="53" t="inlineStr">
        <is>
          <t>5/16</t>
        </is>
      </c>
      <c r="AI11" s="54" t="n"/>
      <c r="AJ11" s="54" t="n"/>
      <c r="AK11" s="54" t="n"/>
      <c r="AL11" s="54" t="n"/>
      <c r="AM11" s="54" t="n"/>
      <c r="AN11" s="53" t="inlineStr">
        <is>
          <t>psi</t>
        </is>
      </c>
      <c r="AO11" s="54" t="n"/>
      <c r="AP11" s="54" t="n"/>
      <c r="AQ11" s="52">
        <f>SUBSTITUTE(A11,"/","_")</f>
        <v/>
      </c>
      <c r="AR11" s="52">
        <f>AQ11&amp;".pdf"</f>
        <v/>
      </c>
      <c r="AS11" s="52">
        <f>AQ11&amp;".step"</f>
        <v/>
      </c>
      <c r="AT11" s="53" t="inlineStr">
        <is>
          <t>VERIFIED</t>
        </is>
      </c>
      <c r="AU11" s="53" t="inlineStr">
        <is>
          <t>MATCH</t>
        </is>
      </c>
      <c r="AV11" s="53" t="inlineStr">
        <is>
          <t>L: Air-Way vs Parker Cat4300. Hex: 2+ independent sources agree.</t>
        </is>
      </c>
      <c r="AW11" s="53" t="inlineStr">
        <is>
          <t>Material/finish/pressure NOT published by Air-Way or OMi - awaiting client input</t>
        </is>
      </c>
      <c r="AX11" s="37" t="inlineStr">
        <is>
          <t>9/16</t>
        </is>
      </c>
      <c r="AY11" s="37" t="inlineStr">
        <is>
          <t>9/16</t>
        </is>
      </c>
      <c r="AZ11" s="37" t="inlineStr">
        <is>
          <t>9/16</t>
        </is>
      </c>
      <c r="BA11" s="45" t="inlineStr">
        <is>
          <t>AGREE</t>
        </is>
      </c>
      <c r="BB11" s="37" t="n">
        <v>1.42</v>
      </c>
      <c r="BC11" s="45" t="inlineStr">
        <is>
          <t>MATCH</t>
        </is>
      </c>
      <c r="BD11" s="45" t="inlineStr">
        <is>
          <t>Y</t>
        </is>
      </c>
      <c r="BE11" s="45" t="inlineStr">
        <is>
          <t>BUILD</t>
        </is>
      </c>
    </row>
    <row r="12" ht="15" customHeight="1" s="35">
      <c r="A12" s="52">
        <f>D12&amp;"-"&amp;TEXT(U12,"00")&amp;"-"&amp;TEXT(N12,"00")</f>
        <v/>
      </c>
      <c r="B12" s="53" t="inlineStr">
        <is>
          <t>2404-5-6</t>
        </is>
      </c>
      <c r="C12" s="52">
        <f>A12</f>
        <v/>
      </c>
      <c r="D12" s="53" t="inlineStr">
        <is>
          <t>2404</t>
        </is>
      </c>
      <c r="E12" s="53" t="n">
        <v>64</v>
      </c>
      <c r="F12" s="53" t="inlineStr">
        <is>
          <t>https://parts.air-way.com/hydraulic-fittings/jic-and-beaded-hose-fittings/straight/2404-male-connector-series-64</t>
        </is>
      </c>
      <c r="G12" s="52">
        <f>"Male Connector, "&amp;T12&amp;" x "&amp;M12&amp;", "&amp;V12&amp;" x "&amp;O12</f>
        <v/>
      </c>
      <c r="H12" s="53" t="inlineStr">
        <is>
          <t>JIC 37 &amp; Beaded Hose</t>
        </is>
      </c>
      <c r="I12" s="53" t="inlineStr">
        <is>
          <t>Carbon Steel</t>
        </is>
      </c>
      <c r="J12" s="53" t="inlineStr">
        <is>
          <t>Straight</t>
        </is>
      </c>
      <c r="K12" s="53" t="n">
        <v>2</v>
      </c>
      <c r="L12" s="53" t="inlineStr">
        <is>
          <t>A</t>
        </is>
      </c>
      <c r="M12" s="53" t="inlineStr">
        <is>
          <t>Male Pipe NPTF</t>
        </is>
      </c>
      <c r="N12" s="53" t="n">
        <v>6</v>
      </c>
      <c r="O12" s="53" t="inlineStr">
        <is>
          <t>3/8-18</t>
        </is>
      </c>
      <c r="P12" s="53" t="inlineStr">
        <is>
          <t>NPTF Dryseal</t>
        </is>
      </c>
      <c r="Q12" s="53" t="inlineStr">
        <is>
          <t>ASME B1.20.3</t>
        </is>
      </c>
      <c r="R12" s="53" t="inlineStr">
        <is>
          <t>N/A (tapered thread seal)</t>
        </is>
      </c>
      <c r="S12" s="53" t="inlineStr">
        <is>
          <t>B</t>
        </is>
      </c>
      <c r="T12" s="53" t="inlineStr">
        <is>
          <t>Male 37 deg Flare (JIC)</t>
        </is>
      </c>
      <c r="U12" s="53" t="n">
        <v>5</v>
      </c>
      <c r="V12" s="53" t="inlineStr">
        <is>
          <t>1/2-20</t>
        </is>
      </c>
      <c r="W12" s="53" t="inlineStr">
        <is>
          <t>UN/UNF-2A</t>
        </is>
      </c>
      <c r="X12" s="53" t="inlineStr">
        <is>
          <t>SAE J514 / J514-1</t>
        </is>
      </c>
      <c r="Y12" s="53" t="n">
        <v>37</v>
      </c>
      <c r="Z12" s="53" t="n">
        <v>1.42</v>
      </c>
      <c r="AA12" s="53" t="n">
        <v>0.75</v>
      </c>
      <c r="AB12" s="53" t="n">
        <v>0.23</v>
      </c>
      <c r="AC12" s="53" t="n">
        <v>0.41</v>
      </c>
      <c r="AD12" s="54" t="n"/>
      <c r="AE12" s="54" t="n"/>
      <c r="AF12" s="53" t="n">
        <v>0</v>
      </c>
      <c r="AG12" s="53" t="n">
        <v>0.3125</v>
      </c>
      <c r="AH12" s="53" t="inlineStr">
        <is>
          <t>5/16</t>
        </is>
      </c>
      <c r="AI12" s="54" t="n"/>
      <c r="AJ12" s="54" t="n"/>
      <c r="AK12" s="54" t="n"/>
      <c r="AL12" s="54" t="n"/>
      <c r="AM12" s="54" t="n"/>
      <c r="AN12" s="53" t="inlineStr">
        <is>
          <t>psi</t>
        </is>
      </c>
      <c r="AO12" s="54" t="n"/>
      <c r="AP12" s="54" t="n"/>
      <c r="AQ12" s="52">
        <f>SUBSTITUTE(A12,"/","_")</f>
        <v/>
      </c>
      <c r="AR12" s="52">
        <f>AQ12&amp;".pdf"</f>
        <v/>
      </c>
      <c r="AS12" s="52">
        <f>AQ12&amp;".step"</f>
        <v/>
      </c>
      <c r="AT12" s="53" t="inlineStr">
        <is>
          <t>MISSING</t>
        </is>
      </c>
      <c r="AU12" s="53" t="inlineStr">
        <is>
          <t>MATCH</t>
        </is>
      </c>
      <c r="AV12" s="53" t="inlineStr">
        <is>
          <t>SAE J514 JIC dash/thread chart (gageref.com), cross-checked vs source page</t>
        </is>
      </c>
      <c r="AW12" s="53" t="inlineStr">
        <is>
          <t>Material/finish/pressure NOT published by Air-Way or OMi - awaiting client input</t>
        </is>
      </c>
      <c r="AX12" s="37" t="n"/>
      <c r="AY12" s="37" t="n"/>
      <c r="AZ12" s="37" t="n"/>
      <c r="BA12" s="44" t="inlineStr">
        <is>
          <t>NO DATA</t>
        </is>
      </c>
      <c r="BB12" s="37" t="n"/>
      <c r="BC12" s="44" t="inlineStr">
        <is>
          <t>NO DATA</t>
        </is>
      </c>
      <c r="BD12" s="45" t="inlineStr">
        <is>
          <t>Y</t>
        </is>
      </c>
      <c r="BE12" s="45" t="inlineStr">
        <is>
          <t>BUILD</t>
        </is>
      </c>
    </row>
    <row r="13" ht="15" customHeight="1" s="35">
      <c r="A13" s="52">
        <f>D13&amp;"-"&amp;TEXT(U13,"00")&amp;"-"&amp;TEXT(N13,"00")</f>
        <v/>
      </c>
      <c r="B13" s="53" t="inlineStr">
        <is>
          <t>2404-6-2</t>
        </is>
      </c>
      <c r="C13" s="52">
        <f>A13</f>
        <v/>
      </c>
      <c r="D13" s="53" t="inlineStr">
        <is>
          <t>2404</t>
        </is>
      </c>
      <c r="E13" s="53" t="n">
        <v>64</v>
      </c>
      <c r="F13" s="53" t="inlineStr">
        <is>
          <t>https://parts.air-way.com/hydraulic-fittings/jic-and-beaded-hose-fittings/straight/2404-male-connector-series-64</t>
        </is>
      </c>
      <c r="G13" s="52">
        <f>"Male Connector, "&amp;T13&amp;" x "&amp;M13&amp;", "&amp;V13&amp;" x "&amp;O13</f>
        <v/>
      </c>
      <c r="H13" s="53" t="inlineStr">
        <is>
          <t>JIC 37 &amp; Beaded Hose</t>
        </is>
      </c>
      <c r="I13" s="53" t="inlineStr">
        <is>
          <t>Carbon Steel</t>
        </is>
      </c>
      <c r="J13" s="53" t="inlineStr">
        <is>
          <t>Straight</t>
        </is>
      </c>
      <c r="K13" s="53" t="n">
        <v>2</v>
      </c>
      <c r="L13" s="53" t="inlineStr">
        <is>
          <t>A</t>
        </is>
      </c>
      <c r="M13" s="53" t="inlineStr">
        <is>
          <t>Male Pipe NPTF</t>
        </is>
      </c>
      <c r="N13" s="53" t="n">
        <v>2</v>
      </c>
      <c r="O13" s="53" t="inlineStr">
        <is>
          <t>1/8-27</t>
        </is>
      </c>
      <c r="P13" s="53" t="inlineStr">
        <is>
          <t>NPTF Dryseal</t>
        </is>
      </c>
      <c r="Q13" s="53" t="inlineStr">
        <is>
          <t>ASME B1.20.3</t>
        </is>
      </c>
      <c r="R13" s="53" t="inlineStr">
        <is>
          <t>N/A (tapered thread seal)</t>
        </is>
      </c>
      <c r="S13" s="53" t="inlineStr">
        <is>
          <t>B</t>
        </is>
      </c>
      <c r="T13" s="53" t="inlineStr">
        <is>
          <t>Male 37 deg Flare (JIC)</t>
        </is>
      </c>
      <c r="U13" s="53" t="n">
        <v>6</v>
      </c>
      <c r="V13" s="53" t="inlineStr">
        <is>
          <t>9/16-18</t>
        </is>
      </c>
      <c r="W13" s="53" t="inlineStr">
        <is>
          <t>UN/UNF-2A</t>
        </is>
      </c>
      <c r="X13" s="53" t="inlineStr">
        <is>
          <t>SAE J514 / J514-1</t>
        </is>
      </c>
      <c r="Y13" s="53" t="n">
        <v>37</v>
      </c>
      <c r="Z13" s="53" t="n">
        <v>1.24</v>
      </c>
      <c r="AA13" s="53" t="n">
        <v>0.63</v>
      </c>
      <c r="AB13" s="53" t="n">
        <v>0.3</v>
      </c>
      <c r="AC13" s="53" t="n">
        <v>0.19</v>
      </c>
      <c r="AD13" s="54" t="n"/>
      <c r="AE13" s="54" t="n"/>
      <c r="AF13" s="53" t="n">
        <v>0</v>
      </c>
      <c r="AG13" s="53" t="n">
        <v>0.375</v>
      </c>
      <c r="AH13" s="53" t="inlineStr">
        <is>
          <t>3/8</t>
        </is>
      </c>
      <c r="AI13" s="54" t="n"/>
      <c r="AJ13" s="54" t="n"/>
      <c r="AK13" s="54" t="n"/>
      <c r="AL13" s="54" t="n"/>
      <c r="AM13" s="54" t="n"/>
      <c r="AN13" s="53" t="inlineStr">
        <is>
          <t>psi</t>
        </is>
      </c>
      <c r="AO13" s="54" t="n"/>
      <c r="AP13" s="54" t="n"/>
      <c r="AQ13" s="52">
        <f>SUBSTITUTE(A13,"/","_")</f>
        <v/>
      </c>
      <c r="AR13" s="52">
        <f>AQ13&amp;".pdf"</f>
        <v/>
      </c>
      <c r="AS13" s="52">
        <f>AQ13&amp;".step"</f>
        <v/>
      </c>
      <c r="AT13" s="53" t="inlineStr">
        <is>
          <t>MISSING</t>
        </is>
      </c>
      <c r="AU13" s="53" t="inlineStr">
        <is>
          <t>MATCH</t>
        </is>
      </c>
      <c r="AV13" s="53" t="inlineStr">
        <is>
          <t>SAE J514 JIC dash/thread chart (gageref.com), cross-checked vs source page</t>
        </is>
      </c>
      <c r="AW13" s="53" t="inlineStr">
        <is>
          <t>Material/finish/pressure NOT published by Air-Way or OMi - awaiting client input</t>
        </is>
      </c>
      <c r="AX13" s="37" t="n"/>
      <c r="AY13" s="37" t="n"/>
      <c r="AZ13" s="37" t="n"/>
      <c r="BA13" s="44" t="inlineStr">
        <is>
          <t>NO DATA</t>
        </is>
      </c>
      <c r="BB13" s="37" t="n"/>
      <c r="BC13" s="44" t="inlineStr">
        <is>
          <t>NO DATA</t>
        </is>
      </c>
      <c r="BD13" s="45" t="inlineStr">
        <is>
          <t>Y</t>
        </is>
      </c>
      <c r="BE13" s="45" t="inlineStr">
        <is>
          <t>BUILD</t>
        </is>
      </c>
    </row>
    <row r="14" ht="15" customHeight="1" s="35">
      <c r="A14" s="52">
        <f>D14&amp;"-"&amp;TEXT(U14,"00")&amp;"-"&amp;TEXT(N14,"00")</f>
        <v/>
      </c>
      <c r="B14" s="53" t="inlineStr">
        <is>
          <t>2404-6-4</t>
        </is>
      </c>
      <c r="C14" s="52">
        <f>A14</f>
        <v/>
      </c>
      <c r="D14" s="53" t="inlineStr">
        <is>
          <t>2404</t>
        </is>
      </c>
      <c r="E14" s="53" t="n">
        <v>64</v>
      </c>
      <c r="F14" s="53" t="inlineStr">
        <is>
          <t>https://parts.air-way.com/hydraulic-fittings/jic-and-beaded-hose-fittings/straight/2404-male-connector-series-64</t>
        </is>
      </c>
      <c r="G14" s="52">
        <f>"Male Connector, "&amp;T14&amp;" x "&amp;M14&amp;", "&amp;V14&amp;" x "&amp;O14</f>
        <v/>
      </c>
      <c r="H14" s="53" t="inlineStr">
        <is>
          <t>JIC 37 &amp; Beaded Hose</t>
        </is>
      </c>
      <c r="I14" s="53" t="inlineStr">
        <is>
          <t>Carbon Steel</t>
        </is>
      </c>
      <c r="J14" s="53" t="inlineStr">
        <is>
          <t>Straight</t>
        </is>
      </c>
      <c r="K14" s="53" t="n">
        <v>2</v>
      </c>
      <c r="L14" s="53" t="inlineStr">
        <is>
          <t>A</t>
        </is>
      </c>
      <c r="M14" s="53" t="inlineStr">
        <is>
          <t>Male Pipe NPTF</t>
        </is>
      </c>
      <c r="N14" s="53" t="n">
        <v>4</v>
      </c>
      <c r="O14" s="53" t="inlineStr">
        <is>
          <t>1/4-18</t>
        </is>
      </c>
      <c r="P14" s="53" t="inlineStr">
        <is>
          <t>NPTF Dryseal</t>
        </is>
      </c>
      <c r="Q14" s="53" t="inlineStr">
        <is>
          <t>ASME B1.20.3</t>
        </is>
      </c>
      <c r="R14" s="53" t="inlineStr">
        <is>
          <t>N/A (tapered thread seal)</t>
        </is>
      </c>
      <c r="S14" s="53" t="inlineStr">
        <is>
          <t>B</t>
        </is>
      </c>
      <c r="T14" s="53" t="inlineStr">
        <is>
          <t>Male 37 deg Flare (JIC)</t>
        </is>
      </c>
      <c r="U14" s="53" t="n">
        <v>6</v>
      </c>
      <c r="V14" s="53" t="inlineStr">
        <is>
          <t>9/16-18</t>
        </is>
      </c>
      <c r="W14" s="53" t="inlineStr">
        <is>
          <t>UN/UNF-2A</t>
        </is>
      </c>
      <c r="X14" s="53" t="inlineStr">
        <is>
          <t>SAE J514 / J514-1</t>
        </is>
      </c>
      <c r="Y14" s="53" t="n">
        <v>37</v>
      </c>
      <c r="Z14" s="53" t="n">
        <v>1.43</v>
      </c>
      <c r="AA14" s="53" t="n">
        <v>0.63</v>
      </c>
      <c r="AB14" s="53" t="n">
        <v>0.3</v>
      </c>
      <c r="AC14" s="53" t="n">
        <v>0.28</v>
      </c>
      <c r="AD14" s="54" t="n"/>
      <c r="AE14" s="54" t="n">
        <v>0.625</v>
      </c>
      <c r="AF14" s="53" t="n">
        <v>0</v>
      </c>
      <c r="AG14" s="53" t="n">
        <v>0.375</v>
      </c>
      <c r="AH14" s="53" t="inlineStr">
        <is>
          <t>3/8</t>
        </is>
      </c>
      <c r="AI14" s="54" t="n"/>
      <c r="AJ14" s="54" t="n"/>
      <c r="AK14" s="54" t="n"/>
      <c r="AL14" s="54" t="n"/>
      <c r="AM14" s="54" t="n"/>
      <c r="AN14" s="53" t="inlineStr">
        <is>
          <t>psi</t>
        </is>
      </c>
      <c r="AO14" s="54" t="n"/>
      <c r="AP14" s="54" t="n"/>
      <c r="AQ14" s="52">
        <f>SUBSTITUTE(A14,"/","_")</f>
        <v/>
      </c>
      <c r="AR14" s="52">
        <f>AQ14&amp;".pdf"</f>
        <v/>
      </c>
      <c r="AS14" s="52">
        <f>AQ14&amp;".step"</f>
        <v/>
      </c>
      <c r="AT14" s="53" t="inlineStr">
        <is>
          <t>ASSUMED</t>
        </is>
      </c>
      <c r="AU14" s="53" t="inlineStr">
        <is>
          <t>MATCH (L only)</t>
        </is>
      </c>
      <c r="AV14" s="53" t="inlineStr">
        <is>
          <t>Hex from Parker Cat4300 only - single source, not cross-checked.</t>
        </is>
      </c>
      <c r="AW14" s="53" t="inlineStr">
        <is>
          <t>Material/finish/pressure NOT published by Air-Way or OMi - awaiting client input</t>
        </is>
      </c>
      <c r="AX14" s="37" t="inlineStr">
        <is>
          <t>5/8</t>
        </is>
      </c>
      <c r="AY14" s="37" t="n"/>
      <c r="AZ14" s="37" t="n"/>
      <c r="BA14" s="44" t="inlineStr">
        <is>
          <t>SINGLE SOURCE</t>
        </is>
      </c>
      <c r="BB14" s="37" t="n">
        <v>1.43</v>
      </c>
      <c r="BC14" s="45" t="inlineStr">
        <is>
          <t>MATCH</t>
        </is>
      </c>
      <c r="BD14" s="45" t="inlineStr">
        <is>
          <t>Y</t>
        </is>
      </c>
      <c r="BE14" s="45" t="inlineStr">
        <is>
          <t>BUILD</t>
        </is>
      </c>
    </row>
    <row r="15" ht="15" customHeight="1" s="35">
      <c r="A15" s="52">
        <f>D15&amp;"-"&amp;TEXT(U15,"00")&amp;"-"&amp;TEXT(N15,"00")</f>
        <v/>
      </c>
      <c r="B15" s="53" t="inlineStr">
        <is>
          <t>2404-6-6</t>
        </is>
      </c>
      <c r="C15" s="52">
        <f>A15</f>
        <v/>
      </c>
      <c r="D15" s="53" t="inlineStr">
        <is>
          <t>2404</t>
        </is>
      </c>
      <c r="E15" s="53" t="n">
        <v>64</v>
      </c>
      <c r="F15" s="53" t="inlineStr">
        <is>
          <t>https://parts.air-way.com/hydraulic-fittings/jic-and-beaded-hose-fittings/straight/2404-male-connector-series-64</t>
        </is>
      </c>
      <c r="G15" s="52">
        <f>"Male Connector, "&amp;T15&amp;" x "&amp;M15&amp;", "&amp;V15&amp;" x "&amp;O15</f>
        <v/>
      </c>
      <c r="H15" s="53" t="inlineStr">
        <is>
          <t>JIC 37 &amp; Beaded Hose</t>
        </is>
      </c>
      <c r="I15" s="53" t="inlineStr">
        <is>
          <t>Carbon Steel</t>
        </is>
      </c>
      <c r="J15" s="53" t="inlineStr">
        <is>
          <t>Straight</t>
        </is>
      </c>
      <c r="K15" s="53" t="n">
        <v>2</v>
      </c>
      <c r="L15" s="53" t="inlineStr">
        <is>
          <t>A</t>
        </is>
      </c>
      <c r="M15" s="53" t="inlineStr">
        <is>
          <t>Male Pipe NPTF</t>
        </is>
      </c>
      <c r="N15" s="53" t="n">
        <v>6</v>
      </c>
      <c r="O15" s="53" t="inlineStr">
        <is>
          <t>3/8-18</t>
        </is>
      </c>
      <c r="P15" s="53" t="inlineStr">
        <is>
          <t>NPTF Dryseal</t>
        </is>
      </c>
      <c r="Q15" s="53" t="inlineStr">
        <is>
          <t>ASME B1.20.3</t>
        </is>
      </c>
      <c r="R15" s="53" t="inlineStr">
        <is>
          <t>N/A (tapered thread seal)</t>
        </is>
      </c>
      <c r="S15" s="53" t="inlineStr">
        <is>
          <t>B</t>
        </is>
      </c>
      <c r="T15" s="53" t="inlineStr">
        <is>
          <t>Male 37 deg Flare (JIC)</t>
        </is>
      </c>
      <c r="U15" s="53" t="n">
        <v>6</v>
      </c>
      <c r="V15" s="53" t="inlineStr">
        <is>
          <t>9/16-18</t>
        </is>
      </c>
      <c r="W15" s="53" t="inlineStr">
        <is>
          <t>UN/UNF-2A</t>
        </is>
      </c>
      <c r="X15" s="53" t="inlineStr">
        <is>
          <t>SAE J514 / J514-1</t>
        </is>
      </c>
      <c r="Y15" s="53" t="n">
        <v>37</v>
      </c>
      <c r="Z15" s="53" t="n">
        <v>1.43</v>
      </c>
      <c r="AA15" s="53" t="n">
        <v>0.75</v>
      </c>
      <c r="AB15" s="53" t="n">
        <v>0.3</v>
      </c>
      <c r="AC15" s="53" t="n">
        <v>0.41</v>
      </c>
      <c r="AD15" s="54" t="n"/>
      <c r="AE15" s="55" t="n">
        <v>0.75</v>
      </c>
      <c r="AF15" s="53" t="n">
        <v>0</v>
      </c>
      <c r="AG15" s="53" t="n">
        <v>0.375</v>
      </c>
      <c r="AH15" s="53" t="inlineStr">
        <is>
          <t>3/8</t>
        </is>
      </c>
      <c r="AI15" s="54" t="n"/>
      <c r="AJ15" s="54" t="n"/>
      <c r="AK15" s="54" t="n"/>
      <c r="AL15" s="54" t="n"/>
      <c r="AM15" s="54" t="n"/>
      <c r="AN15" s="53" t="inlineStr">
        <is>
          <t>psi</t>
        </is>
      </c>
      <c r="AO15" s="54" t="n"/>
      <c r="AP15" s="54" t="n"/>
      <c r="AQ15" s="52">
        <f>SUBSTITUTE(A15,"/","_")</f>
        <v/>
      </c>
      <c r="AR15" s="52">
        <f>AQ15&amp;".pdf"</f>
        <v/>
      </c>
      <c r="AS15" s="52">
        <f>AQ15&amp;".step"</f>
        <v/>
      </c>
      <c r="AT15" s="53" t="inlineStr">
        <is>
          <t>VERIFIED</t>
        </is>
      </c>
      <c r="AU15" s="53" t="inlineStr">
        <is>
          <t>MATCH</t>
        </is>
      </c>
      <c r="AV15" s="53" t="inlineStr">
        <is>
          <t>L: Air-Way vs Parker Cat4300. Hex: 2+ independent sources agree.</t>
        </is>
      </c>
      <c r="AW15" s="53" t="inlineStr">
        <is>
          <t>Material/finish/pressure NOT published by Air-Way or OMi - awaiting client input</t>
        </is>
      </c>
      <c r="AX15" s="37" t="inlineStr">
        <is>
          <t>3/4</t>
        </is>
      </c>
      <c r="AY15" s="37" t="inlineStr">
        <is>
          <t>3/4</t>
        </is>
      </c>
      <c r="AZ15" s="37" t="inlineStr">
        <is>
          <t>3/4</t>
        </is>
      </c>
      <c r="BA15" s="45" t="inlineStr">
        <is>
          <t>AGREE</t>
        </is>
      </c>
      <c r="BB15" s="37" t="n">
        <v>1.43</v>
      </c>
      <c r="BC15" s="45" t="inlineStr">
        <is>
          <t>MATCH</t>
        </is>
      </c>
      <c r="BD15" s="45" t="inlineStr">
        <is>
          <t>Y</t>
        </is>
      </c>
      <c r="BE15" s="45" t="inlineStr">
        <is>
          <t>BUILD</t>
        </is>
      </c>
    </row>
    <row r="16" ht="15" customHeight="1" s="35">
      <c r="A16" s="52">
        <f>D16&amp;"-"&amp;TEXT(U16,"00")&amp;"-"&amp;TEXT(N16,"00")</f>
        <v/>
      </c>
      <c r="B16" s="53" t="inlineStr">
        <is>
          <t>2404-6-8</t>
        </is>
      </c>
      <c r="C16" s="52">
        <f>A16</f>
        <v/>
      </c>
      <c r="D16" s="53" t="inlineStr">
        <is>
          <t>2404</t>
        </is>
      </c>
      <c r="E16" s="53" t="n">
        <v>64</v>
      </c>
      <c r="F16" s="53" t="inlineStr">
        <is>
          <t>https://parts.air-way.com/hydraulic-fittings/jic-and-beaded-hose-fittings/straight/2404-male-connector-series-64</t>
        </is>
      </c>
      <c r="G16" s="52">
        <f>"Male Connector, "&amp;T16&amp;" x "&amp;M16&amp;", "&amp;V16&amp;" x "&amp;O16</f>
        <v/>
      </c>
      <c r="H16" s="53" t="inlineStr">
        <is>
          <t>JIC 37 &amp; Beaded Hose</t>
        </is>
      </c>
      <c r="I16" s="53" t="inlineStr">
        <is>
          <t>Carbon Steel</t>
        </is>
      </c>
      <c r="J16" s="53" t="inlineStr">
        <is>
          <t>Straight</t>
        </is>
      </c>
      <c r="K16" s="53" t="n">
        <v>2</v>
      </c>
      <c r="L16" s="53" t="inlineStr">
        <is>
          <t>A</t>
        </is>
      </c>
      <c r="M16" s="53" t="inlineStr">
        <is>
          <t>Male Pipe NPTF</t>
        </is>
      </c>
      <c r="N16" s="53" t="n">
        <v>8</v>
      </c>
      <c r="O16" s="53" t="inlineStr">
        <is>
          <t>1/2-14</t>
        </is>
      </c>
      <c r="P16" s="53" t="inlineStr">
        <is>
          <t>NPTF Dryseal</t>
        </is>
      </c>
      <c r="Q16" s="53" t="inlineStr">
        <is>
          <t>ASME B1.20.3</t>
        </is>
      </c>
      <c r="R16" s="53" t="inlineStr">
        <is>
          <t>N/A (tapered thread seal)</t>
        </is>
      </c>
      <c r="S16" s="53" t="inlineStr">
        <is>
          <t>B</t>
        </is>
      </c>
      <c r="T16" s="53" t="inlineStr">
        <is>
          <t>Male 37 deg Flare (JIC)</t>
        </is>
      </c>
      <c r="U16" s="53" t="n">
        <v>6</v>
      </c>
      <c r="V16" s="53" t="inlineStr">
        <is>
          <t>9/16-18</t>
        </is>
      </c>
      <c r="W16" s="53" t="inlineStr">
        <is>
          <t>UN/UNF-2A</t>
        </is>
      </c>
      <c r="X16" s="53" t="inlineStr">
        <is>
          <t>SAE J514 / J514-1</t>
        </is>
      </c>
      <c r="Y16" s="53" t="n">
        <v>37</v>
      </c>
      <c r="Z16" s="53" t="n">
        <v>1.69</v>
      </c>
      <c r="AA16" s="53" t="n">
        <v>0.88</v>
      </c>
      <c r="AB16" s="53" t="n">
        <v>0.3</v>
      </c>
      <c r="AC16" s="53" t="n">
        <v>0.53</v>
      </c>
      <c r="AD16" s="54" t="n"/>
      <c r="AE16" s="54" t="n"/>
      <c r="AF16" s="53" t="n">
        <v>0</v>
      </c>
      <c r="AG16" s="53" t="n">
        <v>0.375</v>
      </c>
      <c r="AH16" s="53" t="inlineStr">
        <is>
          <t>3/8</t>
        </is>
      </c>
      <c r="AI16" s="54" t="n"/>
      <c r="AJ16" s="54" t="n"/>
      <c r="AK16" s="54" t="n"/>
      <c r="AL16" s="54" t="n"/>
      <c r="AM16" s="54" t="n"/>
      <c r="AN16" s="53" t="inlineStr">
        <is>
          <t>psi</t>
        </is>
      </c>
      <c r="AO16" s="54" t="n"/>
      <c r="AP16" s="54" t="n"/>
      <c r="AQ16" s="52">
        <f>SUBSTITUTE(A16,"/","_")</f>
        <v/>
      </c>
      <c r="AR16" s="52">
        <f>AQ16&amp;".pdf"</f>
        <v/>
      </c>
      <c r="AS16" s="52">
        <f>AQ16&amp;".step"</f>
        <v/>
      </c>
      <c r="AT16" s="53" t="inlineStr">
        <is>
          <t>MISSING</t>
        </is>
      </c>
      <c r="AU16" s="53" t="inlineStr">
        <is>
          <t>MATCH</t>
        </is>
      </c>
      <c r="AV16" s="53" t="inlineStr">
        <is>
          <t>SAE J514 JIC dash/thread chart (gageref.com), cross-checked vs source page</t>
        </is>
      </c>
      <c r="AW16" s="53" t="inlineStr">
        <is>
          <t>Material/finish/pressure NOT published by Air-Way or OMi - awaiting client input</t>
        </is>
      </c>
      <c r="AX16" s="37" t="n"/>
      <c r="AY16" s="37" t="n"/>
      <c r="AZ16" s="37" t="n"/>
      <c r="BA16" s="44" t="inlineStr">
        <is>
          <t>NO DATA</t>
        </is>
      </c>
      <c r="BB16" s="37" t="n"/>
      <c r="BC16" s="44" t="inlineStr">
        <is>
          <t>NO DATA</t>
        </is>
      </c>
      <c r="BD16" s="45" t="inlineStr">
        <is>
          <t>Y</t>
        </is>
      </c>
      <c r="BE16" s="45" t="inlineStr">
        <is>
          <t>BUILD</t>
        </is>
      </c>
    </row>
    <row r="17" ht="15" customHeight="1" s="35">
      <c r="A17" s="52">
        <f>D17&amp;"-"&amp;TEXT(U17,"00")&amp;"-"&amp;TEXT(N17,"00")</f>
        <v/>
      </c>
      <c r="B17" s="53" t="inlineStr">
        <is>
          <t>2404-6-12</t>
        </is>
      </c>
      <c r="C17" s="52">
        <f>A17</f>
        <v/>
      </c>
      <c r="D17" s="53" t="inlineStr">
        <is>
          <t>2404</t>
        </is>
      </c>
      <c r="E17" s="53" t="n">
        <v>64</v>
      </c>
      <c r="F17" s="53" t="inlineStr">
        <is>
          <t>https://parts.air-way.com/hydraulic-fittings/jic-and-beaded-hose-fittings/straight/2404-male-connector-series-64</t>
        </is>
      </c>
      <c r="G17" s="52">
        <f>"Male Connector, "&amp;T17&amp;" x "&amp;M17&amp;", "&amp;V17&amp;" x "&amp;O17</f>
        <v/>
      </c>
      <c r="H17" s="53" t="inlineStr">
        <is>
          <t>JIC 37 &amp; Beaded Hose</t>
        </is>
      </c>
      <c r="I17" s="53" t="inlineStr">
        <is>
          <t>Carbon Steel</t>
        </is>
      </c>
      <c r="J17" s="53" t="inlineStr">
        <is>
          <t>Straight</t>
        </is>
      </c>
      <c r="K17" s="53" t="n">
        <v>2</v>
      </c>
      <c r="L17" s="53" t="inlineStr">
        <is>
          <t>A</t>
        </is>
      </c>
      <c r="M17" s="53" t="inlineStr">
        <is>
          <t>Male Pipe NPTF</t>
        </is>
      </c>
      <c r="N17" s="53" t="n">
        <v>12</v>
      </c>
      <c r="O17" s="53" t="inlineStr">
        <is>
          <t>3/4-14</t>
        </is>
      </c>
      <c r="P17" s="53" t="inlineStr">
        <is>
          <t>NPTF Dryseal</t>
        </is>
      </c>
      <c r="Q17" s="53" t="inlineStr">
        <is>
          <t>ASME B1.20.3</t>
        </is>
      </c>
      <c r="R17" s="53" t="inlineStr">
        <is>
          <t>N/A (tapered thread seal)</t>
        </is>
      </c>
      <c r="S17" s="53" t="inlineStr">
        <is>
          <t>B</t>
        </is>
      </c>
      <c r="T17" s="53" t="inlineStr">
        <is>
          <t>Male 37 deg Flare (JIC)</t>
        </is>
      </c>
      <c r="U17" s="53" t="n">
        <v>6</v>
      </c>
      <c r="V17" s="53" t="inlineStr">
        <is>
          <t>9/16-18</t>
        </is>
      </c>
      <c r="W17" s="53" t="inlineStr">
        <is>
          <t>UN/UNF-2A</t>
        </is>
      </c>
      <c r="X17" s="53" t="inlineStr">
        <is>
          <t>SAE J514 / J514-1</t>
        </is>
      </c>
      <c r="Y17" s="53" t="n">
        <v>37</v>
      </c>
      <c r="Z17" s="53" t="n">
        <v>1.75</v>
      </c>
      <c r="AA17" s="53" t="n">
        <v>1.13</v>
      </c>
      <c r="AB17" s="53" t="n">
        <v>0.3</v>
      </c>
      <c r="AC17" s="53" t="n">
        <v>0.72</v>
      </c>
      <c r="AD17" s="54" t="n"/>
      <c r="AE17" s="54" t="n"/>
      <c r="AF17" s="53" t="n">
        <v>0</v>
      </c>
      <c r="AG17" s="53" t="n">
        <v>0.375</v>
      </c>
      <c r="AH17" s="53" t="inlineStr">
        <is>
          <t>3/8</t>
        </is>
      </c>
      <c r="AI17" s="54" t="n"/>
      <c r="AJ17" s="54" t="n"/>
      <c r="AK17" s="54" t="n"/>
      <c r="AL17" s="54" t="n"/>
      <c r="AM17" s="54" t="n"/>
      <c r="AN17" s="53" t="inlineStr">
        <is>
          <t>psi</t>
        </is>
      </c>
      <c r="AO17" s="54" t="n"/>
      <c r="AP17" s="54" t="n"/>
      <c r="AQ17" s="52">
        <f>SUBSTITUTE(A17,"/","_")</f>
        <v/>
      </c>
      <c r="AR17" s="52">
        <f>AQ17&amp;".pdf"</f>
        <v/>
      </c>
      <c r="AS17" s="52">
        <f>AQ17&amp;".step"</f>
        <v/>
      </c>
      <c r="AT17" s="53" t="inlineStr">
        <is>
          <t>MISSING</t>
        </is>
      </c>
      <c r="AU17" s="53" t="inlineStr">
        <is>
          <t>MATCH</t>
        </is>
      </c>
      <c r="AV17" s="53" t="inlineStr">
        <is>
          <t>SAE J514 JIC dash/thread chart (gageref.com), cross-checked vs source page</t>
        </is>
      </c>
      <c r="AW17" s="53" t="inlineStr">
        <is>
          <t>Material/finish/pressure NOT published by Air-Way or OMi - awaiting client input</t>
        </is>
      </c>
      <c r="AX17" s="37" t="n"/>
      <c r="AY17" s="37" t="n"/>
      <c r="AZ17" s="37" t="n"/>
      <c r="BA17" s="44" t="inlineStr">
        <is>
          <t>NO DATA</t>
        </is>
      </c>
      <c r="BB17" s="37" t="n"/>
      <c r="BC17" s="44" t="inlineStr">
        <is>
          <t>NO DATA</t>
        </is>
      </c>
      <c r="BD17" s="45" t="inlineStr">
        <is>
          <t>Y</t>
        </is>
      </c>
      <c r="BE17" s="45" t="inlineStr">
        <is>
          <t>BUILD</t>
        </is>
      </c>
    </row>
    <row r="18" ht="15" customHeight="1" s="35">
      <c r="A18" s="52">
        <f>D18&amp;"-"&amp;TEXT(U18,"00")&amp;"-"&amp;TEXT(N18,"00")</f>
        <v/>
      </c>
      <c r="B18" s="53" t="inlineStr">
        <is>
          <t>2404-6-16</t>
        </is>
      </c>
      <c r="C18" s="52">
        <f>A18</f>
        <v/>
      </c>
      <c r="D18" s="53" t="inlineStr">
        <is>
          <t>2404</t>
        </is>
      </c>
      <c r="E18" s="53" t="n">
        <v>64</v>
      </c>
      <c r="F18" s="53" t="inlineStr">
        <is>
          <t>https://parts.air-way.com/hydraulic-fittings/jic-and-beaded-hose-fittings/straight/2404-male-connector-series-64</t>
        </is>
      </c>
      <c r="G18" s="52">
        <f>"Male Connector, "&amp;T18&amp;" x "&amp;M18&amp;", "&amp;V18&amp;" x "&amp;O18</f>
        <v/>
      </c>
      <c r="H18" s="53" t="inlineStr">
        <is>
          <t>JIC 37 &amp; Beaded Hose</t>
        </is>
      </c>
      <c r="I18" s="53" t="inlineStr">
        <is>
          <t>Carbon Steel</t>
        </is>
      </c>
      <c r="J18" s="53" t="inlineStr">
        <is>
          <t>Straight</t>
        </is>
      </c>
      <c r="K18" s="53" t="n">
        <v>2</v>
      </c>
      <c r="L18" s="53" t="inlineStr">
        <is>
          <t>A</t>
        </is>
      </c>
      <c r="M18" s="53" t="inlineStr">
        <is>
          <t>Male Pipe NPTF</t>
        </is>
      </c>
      <c r="N18" s="53" t="n">
        <v>16</v>
      </c>
      <c r="O18" s="53" t="inlineStr">
        <is>
          <t>1-11 1/2</t>
        </is>
      </c>
      <c r="P18" s="53" t="inlineStr">
        <is>
          <t>NPTF Dryseal</t>
        </is>
      </c>
      <c r="Q18" s="53" t="inlineStr">
        <is>
          <t>ASME B1.20.3</t>
        </is>
      </c>
      <c r="R18" s="53" t="inlineStr">
        <is>
          <t>N/A (tapered thread seal)</t>
        </is>
      </c>
      <c r="S18" s="53" t="inlineStr">
        <is>
          <t>B</t>
        </is>
      </c>
      <c r="T18" s="53" t="inlineStr">
        <is>
          <t>Male 37 deg Flare (JIC)</t>
        </is>
      </c>
      <c r="U18" s="53" t="n">
        <v>6</v>
      </c>
      <c r="V18" s="53" t="inlineStr">
        <is>
          <t>9/16-18</t>
        </is>
      </c>
      <c r="W18" s="53" t="inlineStr">
        <is>
          <t>UN/UNF-2A</t>
        </is>
      </c>
      <c r="X18" s="53" t="inlineStr">
        <is>
          <t>SAE J514 / J514-1</t>
        </is>
      </c>
      <c r="Y18" s="53" t="n">
        <v>37</v>
      </c>
      <c r="Z18" s="53" t="n">
        <v>1.94</v>
      </c>
      <c r="AA18" s="53" t="n">
        <v>1.38</v>
      </c>
      <c r="AB18" s="53" t="n">
        <v>0.3</v>
      </c>
      <c r="AC18" s="53" t="n">
        <v>0.9399999999999999</v>
      </c>
      <c r="AD18" s="54" t="n"/>
      <c r="AE18" s="54" t="n"/>
      <c r="AF18" s="53" t="n">
        <v>0</v>
      </c>
      <c r="AG18" s="53" t="n">
        <v>0.375</v>
      </c>
      <c r="AH18" s="53" t="inlineStr">
        <is>
          <t>3/8</t>
        </is>
      </c>
      <c r="AI18" s="54" t="n"/>
      <c r="AJ18" s="54" t="n"/>
      <c r="AK18" s="54" t="n"/>
      <c r="AL18" s="54" t="n"/>
      <c r="AM18" s="54" t="n"/>
      <c r="AN18" s="53" t="inlineStr">
        <is>
          <t>psi</t>
        </is>
      </c>
      <c r="AO18" s="54" t="n"/>
      <c r="AP18" s="54" t="n"/>
      <c r="AQ18" s="52">
        <f>SUBSTITUTE(A18,"/","_")</f>
        <v/>
      </c>
      <c r="AR18" s="52">
        <f>AQ18&amp;".pdf"</f>
        <v/>
      </c>
      <c r="AS18" s="52">
        <f>AQ18&amp;".step"</f>
        <v/>
      </c>
      <c r="AT18" s="53" t="inlineStr">
        <is>
          <t>MISSING</t>
        </is>
      </c>
      <c r="AU18" s="53" t="inlineStr">
        <is>
          <t>MATCH</t>
        </is>
      </c>
      <c r="AV18" s="53" t="inlineStr">
        <is>
          <t>SAE J514 JIC dash/thread chart (gageref.com), cross-checked vs source page</t>
        </is>
      </c>
      <c r="AW18" s="53" t="inlineStr">
        <is>
          <t>Material/finish/pressure NOT published by Air-Way or OMi - awaiting client input</t>
        </is>
      </c>
      <c r="AX18" s="37" t="n"/>
      <c r="AY18" s="37" t="n"/>
      <c r="AZ18" s="37" t="n"/>
      <c r="BA18" s="44" t="inlineStr">
        <is>
          <t>NO DATA</t>
        </is>
      </c>
      <c r="BB18" s="37" t="n"/>
      <c r="BC18" s="44" t="inlineStr">
        <is>
          <t>NO DATA</t>
        </is>
      </c>
      <c r="BD18" s="45" t="inlineStr">
        <is>
          <t>Y</t>
        </is>
      </c>
      <c r="BE18" s="45" t="inlineStr">
        <is>
          <t>BUILD</t>
        </is>
      </c>
    </row>
    <row r="19" ht="15" customHeight="1" s="35">
      <c r="A19" s="52">
        <f>D19&amp;"-"&amp;TEXT(U19,"00")&amp;"-"&amp;TEXT(N19,"00")</f>
        <v/>
      </c>
      <c r="B19" s="53" t="inlineStr">
        <is>
          <t>2404-8-4</t>
        </is>
      </c>
      <c r="C19" s="52">
        <f>A19</f>
        <v/>
      </c>
      <c r="D19" s="53" t="inlineStr">
        <is>
          <t>2404</t>
        </is>
      </c>
      <c r="E19" s="53" t="n">
        <v>64</v>
      </c>
      <c r="F19" s="53" t="inlineStr">
        <is>
          <t>https://parts.air-way.com/hydraulic-fittings/jic-and-beaded-hose-fittings/straight/2404-male-connector-series-64</t>
        </is>
      </c>
      <c r="G19" s="52">
        <f>"Male Connector, "&amp;T19&amp;" x "&amp;M19&amp;", "&amp;V19&amp;" x "&amp;O19</f>
        <v/>
      </c>
      <c r="H19" s="53" t="inlineStr">
        <is>
          <t>JIC 37 &amp; Beaded Hose</t>
        </is>
      </c>
      <c r="I19" s="53" t="inlineStr">
        <is>
          <t>Carbon Steel</t>
        </is>
      </c>
      <c r="J19" s="53" t="inlineStr">
        <is>
          <t>Straight</t>
        </is>
      </c>
      <c r="K19" s="53" t="n">
        <v>2</v>
      </c>
      <c r="L19" s="53" t="inlineStr">
        <is>
          <t>A</t>
        </is>
      </c>
      <c r="M19" s="53" t="inlineStr">
        <is>
          <t>Male Pipe NPTF</t>
        </is>
      </c>
      <c r="N19" s="53" t="n">
        <v>4</v>
      </c>
      <c r="O19" s="53" t="inlineStr">
        <is>
          <t>1/4-18</t>
        </is>
      </c>
      <c r="P19" s="53" t="inlineStr">
        <is>
          <t>NPTF Dryseal</t>
        </is>
      </c>
      <c r="Q19" s="53" t="inlineStr">
        <is>
          <t>ASME B1.20.3</t>
        </is>
      </c>
      <c r="R19" s="53" t="inlineStr">
        <is>
          <t>N/A (tapered thread seal)</t>
        </is>
      </c>
      <c r="S19" s="53" t="inlineStr">
        <is>
          <t>B</t>
        </is>
      </c>
      <c r="T19" s="53" t="inlineStr">
        <is>
          <t>Male 37 deg Flare (JIC)</t>
        </is>
      </c>
      <c r="U19" s="53" t="n">
        <v>8</v>
      </c>
      <c r="V19" s="53" t="inlineStr">
        <is>
          <t>3/4-16</t>
        </is>
      </c>
      <c r="W19" s="53" t="inlineStr">
        <is>
          <t>UN/UNF-2A</t>
        </is>
      </c>
      <c r="X19" s="53" t="inlineStr">
        <is>
          <t>SAE J514 / J514-1</t>
        </is>
      </c>
      <c r="Y19" s="53" t="n">
        <v>37</v>
      </c>
      <c r="Z19" s="53" t="n">
        <v>1.53</v>
      </c>
      <c r="AA19" s="53" t="n">
        <v>0.8100000000000001</v>
      </c>
      <c r="AB19" s="53" t="n">
        <v>0.39</v>
      </c>
      <c r="AC19" s="53" t="n">
        <v>0.28</v>
      </c>
      <c r="AD19" s="54" t="n"/>
      <c r="AE19" s="54" t="n"/>
      <c r="AF19" s="53" t="n">
        <v>0</v>
      </c>
      <c r="AG19" s="53" t="n">
        <v>0.5</v>
      </c>
      <c r="AH19" s="53" t="inlineStr">
        <is>
          <t>1/2</t>
        </is>
      </c>
      <c r="AI19" s="54" t="n"/>
      <c r="AJ19" s="54" t="n"/>
      <c r="AK19" s="54" t="n"/>
      <c r="AL19" s="54" t="n"/>
      <c r="AM19" s="54" t="n"/>
      <c r="AN19" s="53" t="inlineStr">
        <is>
          <t>psi</t>
        </is>
      </c>
      <c r="AO19" s="54" t="n"/>
      <c r="AP19" s="54" t="n"/>
      <c r="AQ19" s="52">
        <f>SUBSTITUTE(A19,"/","_")</f>
        <v/>
      </c>
      <c r="AR19" s="52">
        <f>AQ19&amp;".pdf"</f>
        <v/>
      </c>
      <c r="AS19" s="52">
        <f>AQ19&amp;".step"</f>
        <v/>
      </c>
      <c r="AT19" s="53" t="inlineStr">
        <is>
          <t>MISSING</t>
        </is>
      </c>
      <c r="AU19" s="53" t="inlineStr">
        <is>
          <t>MATCH</t>
        </is>
      </c>
      <c r="AV19" s="53" t="inlineStr">
        <is>
          <t>SAE J514 JIC dash/thread chart (gageref.com), cross-checked vs source page</t>
        </is>
      </c>
      <c r="AW19" s="53" t="inlineStr">
        <is>
          <t>Material/finish/pressure NOT published by Air-Way or OMi - awaiting client input</t>
        </is>
      </c>
      <c r="AX19" s="37" t="n"/>
      <c r="AY19" s="37" t="n"/>
      <c r="AZ19" s="37" t="n"/>
      <c r="BA19" s="44" t="inlineStr">
        <is>
          <t>NO DATA</t>
        </is>
      </c>
      <c r="BB19" s="37" t="n"/>
      <c r="BC19" s="44" t="inlineStr">
        <is>
          <t>NO DATA</t>
        </is>
      </c>
      <c r="BD19" s="45" t="inlineStr">
        <is>
          <t>Y</t>
        </is>
      </c>
      <c r="BE19" s="45" t="inlineStr">
        <is>
          <t>BUILD</t>
        </is>
      </c>
    </row>
    <row r="20" ht="15" customHeight="1" s="35">
      <c r="A20" s="52">
        <f>D20&amp;"-"&amp;TEXT(U20,"00")&amp;"-"&amp;TEXT(N20,"00")</f>
        <v/>
      </c>
      <c r="B20" s="53" t="inlineStr">
        <is>
          <t>2404-8-6</t>
        </is>
      </c>
      <c r="C20" s="52">
        <f>A20</f>
        <v/>
      </c>
      <c r="D20" s="53" t="inlineStr">
        <is>
          <t>2404</t>
        </is>
      </c>
      <c r="E20" s="53" t="n">
        <v>64</v>
      </c>
      <c r="F20" s="53" t="inlineStr">
        <is>
          <t>https://parts.air-way.com/hydraulic-fittings/jic-and-beaded-hose-fittings/straight/2404-male-connector-series-64</t>
        </is>
      </c>
      <c r="G20" s="52">
        <f>"Male Connector, "&amp;T20&amp;" x "&amp;M20&amp;", "&amp;V20&amp;" x "&amp;O20</f>
        <v/>
      </c>
      <c r="H20" s="53" t="inlineStr">
        <is>
          <t>JIC 37 &amp; Beaded Hose</t>
        </is>
      </c>
      <c r="I20" s="53" t="inlineStr">
        <is>
          <t>Carbon Steel</t>
        </is>
      </c>
      <c r="J20" s="53" t="inlineStr">
        <is>
          <t>Straight</t>
        </is>
      </c>
      <c r="K20" s="53" t="n">
        <v>2</v>
      </c>
      <c r="L20" s="53" t="inlineStr">
        <is>
          <t>A</t>
        </is>
      </c>
      <c r="M20" s="53" t="inlineStr">
        <is>
          <t>Male Pipe NPTF</t>
        </is>
      </c>
      <c r="N20" s="53" t="n">
        <v>6</v>
      </c>
      <c r="O20" s="53" t="inlineStr">
        <is>
          <t>3/8-18</t>
        </is>
      </c>
      <c r="P20" s="53" t="inlineStr">
        <is>
          <t>NPTF Dryseal</t>
        </is>
      </c>
      <c r="Q20" s="53" t="inlineStr">
        <is>
          <t>ASME B1.20.3</t>
        </is>
      </c>
      <c r="R20" s="53" t="inlineStr">
        <is>
          <t>N/A (tapered thread seal)</t>
        </is>
      </c>
      <c r="S20" s="53" t="inlineStr">
        <is>
          <t>B</t>
        </is>
      </c>
      <c r="T20" s="53" t="inlineStr">
        <is>
          <t>Male 37 deg Flare (JIC)</t>
        </is>
      </c>
      <c r="U20" s="53" t="n">
        <v>8</v>
      </c>
      <c r="V20" s="53" t="inlineStr">
        <is>
          <t>3/4-16</t>
        </is>
      </c>
      <c r="W20" s="53" t="inlineStr">
        <is>
          <t>UN/UNF-2A</t>
        </is>
      </c>
      <c r="X20" s="53" t="inlineStr">
        <is>
          <t>SAE J514 / J514-1</t>
        </is>
      </c>
      <c r="Y20" s="53" t="n">
        <v>37</v>
      </c>
      <c r="Z20" s="53" t="n">
        <v>1.53</v>
      </c>
      <c r="AA20" s="53" t="n">
        <v>0.8100000000000001</v>
      </c>
      <c r="AB20" s="53" t="n">
        <v>0.39</v>
      </c>
      <c r="AC20" s="53" t="n">
        <v>0.41</v>
      </c>
      <c r="AD20" s="54" t="n"/>
      <c r="AE20" s="54" t="n">
        <v>0.8125</v>
      </c>
      <c r="AF20" s="53" t="n">
        <v>0</v>
      </c>
      <c r="AG20" s="53" t="n">
        <v>0.5</v>
      </c>
      <c r="AH20" s="53" t="inlineStr">
        <is>
          <t>1/2</t>
        </is>
      </c>
      <c r="AI20" s="54" t="n"/>
      <c r="AJ20" s="54" t="n"/>
      <c r="AK20" s="54" t="n"/>
      <c r="AL20" s="54" t="n"/>
      <c r="AM20" s="54" t="n"/>
      <c r="AN20" s="53" t="inlineStr">
        <is>
          <t>psi</t>
        </is>
      </c>
      <c r="AO20" s="54" t="n"/>
      <c r="AP20" s="54" t="n"/>
      <c r="AQ20" s="52">
        <f>SUBSTITUTE(A20,"/","_")</f>
        <v/>
      </c>
      <c r="AR20" s="52">
        <f>AQ20&amp;".pdf"</f>
        <v/>
      </c>
      <c r="AS20" s="52">
        <f>AQ20&amp;".step"</f>
        <v/>
      </c>
      <c r="AT20" s="53" t="inlineStr">
        <is>
          <t>ASSUMED</t>
        </is>
      </c>
      <c r="AU20" s="53" t="inlineStr">
        <is>
          <t>MATCH (L only)</t>
        </is>
      </c>
      <c r="AV20" s="53" t="inlineStr">
        <is>
          <t>Hex from Parker Cat4300 only - single source, not cross-checked.</t>
        </is>
      </c>
      <c r="AW20" s="53" t="inlineStr">
        <is>
          <t>Material/finish/pressure NOT published by Air-Way or OMi - awaiting client input</t>
        </is>
      </c>
      <c r="AX20" s="37" t="inlineStr">
        <is>
          <t>13/16</t>
        </is>
      </c>
      <c r="AY20" s="37" t="n"/>
      <c r="AZ20" s="37" t="n"/>
      <c r="BA20" s="44" t="inlineStr">
        <is>
          <t>SINGLE SOURCE</t>
        </is>
      </c>
      <c r="BB20" s="37" t="n">
        <v>1.53</v>
      </c>
      <c r="BC20" s="45" t="inlineStr">
        <is>
          <t>MATCH</t>
        </is>
      </c>
      <c r="BD20" s="45" t="inlineStr">
        <is>
          <t>Y</t>
        </is>
      </c>
      <c r="BE20" s="45" t="inlineStr">
        <is>
          <t>BUILD</t>
        </is>
      </c>
    </row>
    <row r="21" ht="15" customHeight="1" s="35">
      <c r="A21" s="52">
        <f>D21&amp;"-"&amp;TEXT(U21,"00")&amp;"-"&amp;TEXT(N21,"00")</f>
        <v/>
      </c>
      <c r="B21" s="53" t="inlineStr">
        <is>
          <t>2404-8-8</t>
        </is>
      </c>
      <c r="C21" s="52">
        <f>A21</f>
        <v/>
      </c>
      <c r="D21" s="53" t="inlineStr">
        <is>
          <t>2404</t>
        </is>
      </c>
      <c r="E21" s="53" t="n">
        <v>64</v>
      </c>
      <c r="F21" s="53" t="inlineStr">
        <is>
          <t>https://parts.air-way.com/hydraulic-fittings/jic-and-beaded-hose-fittings/straight/2404-male-connector-series-64</t>
        </is>
      </c>
      <c r="G21" s="52">
        <f>"Male Connector, "&amp;T21&amp;" x "&amp;M21&amp;", "&amp;V21&amp;" x "&amp;O21</f>
        <v/>
      </c>
      <c r="H21" s="53" t="inlineStr">
        <is>
          <t>JIC 37 &amp; Beaded Hose</t>
        </is>
      </c>
      <c r="I21" s="53" t="inlineStr">
        <is>
          <t>Carbon Steel</t>
        </is>
      </c>
      <c r="J21" s="53" t="inlineStr">
        <is>
          <t>Straight</t>
        </is>
      </c>
      <c r="K21" s="53" t="n">
        <v>2</v>
      </c>
      <c r="L21" s="53" t="inlineStr">
        <is>
          <t>A</t>
        </is>
      </c>
      <c r="M21" s="53" t="inlineStr">
        <is>
          <t>Male Pipe NPTF</t>
        </is>
      </c>
      <c r="N21" s="53" t="n">
        <v>8</v>
      </c>
      <c r="O21" s="53" t="inlineStr">
        <is>
          <t>1/2-14</t>
        </is>
      </c>
      <c r="P21" s="53" t="inlineStr">
        <is>
          <t>NPTF Dryseal</t>
        </is>
      </c>
      <c r="Q21" s="53" t="inlineStr">
        <is>
          <t>ASME B1.20.3</t>
        </is>
      </c>
      <c r="R21" s="53" t="inlineStr">
        <is>
          <t>N/A (tapered thread seal)</t>
        </is>
      </c>
      <c r="S21" s="53" t="inlineStr">
        <is>
          <t>B</t>
        </is>
      </c>
      <c r="T21" s="53" t="inlineStr">
        <is>
          <t>Male 37 deg Flare (JIC)</t>
        </is>
      </c>
      <c r="U21" s="53" t="n">
        <v>8</v>
      </c>
      <c r="V21" s="53" t="inlineStr">
        <is>
          <t>3/4-16</t>
        </is>
      </c>
      <c r="W21" s="53" t="inlineStr">
        <is>
          <t>UN/UNF-2A</t>
        </is>
      </c>
      <c r="X21" s="53" t="inlineStr">
        <is>
          <t>SAE J514 / J514-1</t>
        </is>
      </c>
      <c r="Y21" s="53" t="n">
        <v>37</v>
      </c>
      <c r="Z21" s="53" t="n">
        <v>1.79</v>
      </c>
      <c r="AA21" s="53" t="n">
        <v>0.88</v>
      </c>
      <c r="AB21" s="53" t="n">
        <v>0.39</v>
      </c>
      <c r="AC21" s="53" t="n">
        <v>0.53</v>
      </c>
      <c r="AD21" s="54" t="n"/>
      <c r="AE21" s="54" t="n"/>
      <c r="AF21" s="53" t="n">
        <v>0</v>
      </c>
      <c r="AG21" s="53" t="n">
        <v>0.5</v>
      </c>
      <c r="AH21" s="53" t="inlineStr">
        <is>
          <t>1/2</t>
        </is>
      </c>
      <c r="AI21" s="54" t="n"/>
      <c r="AJ21" s="54" t="n"/>
      <c r="AK21" s="54" t="n"/>
      <c r="AL21" s="54" t="n"/>
      <c r="AM21" s="54" t="n"/>
      <c r="AN21" s="53" t="inlineStr">
        <is>
          <t>psi</t>
        </is>
      </c>
      <c r="AO21" s="54" t="n"/>
      <c r="AP21" s="54" t="n"/>
      <c r="AQ21" s="52">
        <f>SUBSTITUTE(A21,"/","_")</f>
        <v/>
      </c>
      <c r="AR21" s="52">
        <f>AQ21&amp;".pdf"</f>
        <v/>
      </c>
      <c r="AS21" s="52">
        <f>AQ21&amp;".step"</f>
        <v/>
      </c>
      <c r="AT21" s="53" t="inlineStr">
        <is>
          <t>MISSING</t>
        </is>
      </c>
      <c r="AU21" s="53" t="inlineStr">
        <is>
          <t>MATCH (L only)</t>
        </is>
      </c>
      <c r="AV21" s="53" t="inlineStr">
        <is>
          <t>L cross-checked vs Parker Cat4300; hex not multi-sourced.</t>
        </is>
      </c>
      <c r="AW21" s="53" t="inlineStr">
        <is>
          <t>Material/finish/pressure NOT published by Air-Way or OMi - awaiting client input</t>
        </is>
      </c>
      <c r="AX21" s="37" t="inlineStr">
        <is>
          <t>7/8</t>
        </is>
      </c>
      <c r="AY21" s="37" t="inlineStr">
        <is>
          <t>15/16</t>
        </is>
      </c>
      <c r="AZ21" s="37" t="inlineStr">
        <is>
          <t>7/8</t>
        </is>
      </c>
      <c r="BA21" s="47" t="inlineStr">
        <is>
          <t>CONFLICT</t>
        </is>
      </c>
      <c r="BB21" s="37" t="n">
        <v>1.79</v>
      </c>
      <c r="BC21" s="45" t="inlineStr">
        <is>
          <t>MATCH</t>
        </is>
      </c>
      <c r="BD21" s="45" t="inlineStr">
        <is>
          <t>Y</t>
        </is>
      </c>
      <c r="BE21" s="45" t="inlineStr">
        <is>
          <t>BUILD</t>
        </is>
      </c>
    </row>
    <row r="22" ht="15" customHeight="1" s="35">
      <c r="A22" s="52">
        <f>D22&amp;"-"&amp;TEXT(U22,"00")&amp;"-"&amp;TEXT(N22,"00")</f>
        <v/>
      </c>
      <c r="B22" s="53" t="inlineStr">
        <is>
          <t>2404-8-12</t>
        </is>
      </c>
      <c r="C22" s="52">
        <f>A22</f>
        <v/>
      </c>
      <c r="D22" s="53" t="inlineStr">
        <is>
          <t>2404</t>
        </is>
      </c>
      <c r="E22" s="53" t="n">
        <v>64</v>
      </c>
      <c r="F22" s="53" t="inlineStr">
        <is>
          <t>https://parts.air-way.com/hydraulic-fittings/jic-and-beaded-hose-fittings/straight/2404-male-connector-series-64</t>
        </is>
      </c>
      <c r="G22" s="52">
        <f>"Male Connector, "&amp;T22&amp;" x "&amp;M22&amp;", "&amp;V22&amp;" x "&amp;O22</f>
        <v/>
      </c>
      <c r="H22" s="53" t="inlineStr">
        <is>
          <t>JIC 37 &amp; Beaded Hose</t>
        </is>
      </c>
      <c r="I22" s="53" t="inlineStr">
        <is>
          <t>Carbon Steel</t>
        </is>
      </c>
      <c r="J22" s="53" t="inlineStr">
        <is>
          <t>Straight</t>
        </is>
      </c>
      <c r="K22" s="53" t="n">
        <v>2</v>
      </c>
      <c r="L22" s="53" t="inlineStr">
        <is>
          <t>A</t>
        </is>
      </c>
      <c r="M22" s="53" t="inlineStr">
        <is>
          <t>Male Pipe NPTF</t>
        </is>
      </c>
      <c r="N22" s="53" t="n">
        <v>12</v>
      </c>
      <c r="O22" s="53" t="inlineStr">
        <is>
          <t>3/4-14</t>
        </is>
      </c>
      <c r="P22" s="53" t="inlineStr">
        <is>
          <t>NPTF Dryseal</t>
        </is>
      </c>
      <c r="Q22" s="53" t="inlineStr">
        <is>
          <t>ASME B1.20.3</t>
        </is>
      </c>
      <c r="R22" s="53" t="inlineStr">
        <is>
          <t>N/A (tapered thread seal)</t>
        </is>
      </c>
      <c r="S22" s="53" t="inlineStr">
        <is>
          <t>B</t>
        </is>
      </c>
      <c r="T22" s="53" t="inlineStr">
        <is>
          <t>Male 37 deg Flare (JIC)</t>
        </is>
      </c>
      <c r="U22" s="53" t="n">
        <v>8</v>
      </c>
      <c r="V22" s="53" t="inlineStr">
        <is>
          <t>3/4-16</t>
        </is>
      </c>
      <c r="W22" s="53" t="inlineStr">
        <is>
          <t>UN/UNF-2A</t>
        </is>
      </c>
      <c r="X22" s="53" t="inlineStr">
        <is>
          <t>SAE J514 / J514-1</t>
        </is>
      </c>
      <c r="Y22" s="53" t="n">
        <v>37</v>
      </c>
      <c r="Z22" s="53" t="n">
        <v>1.85</v>
      </c>
      <c r="AA22" s="53" t="n">
        <v>1.13</v>
      </c>
      <c r="AB22" s="53" t="n">
        <v>0.39</v>
      </c>
      <c r="AC22" s="53" t="n">
        <v>0.72</v>
      </c>
      <c r="AD22" s="54" t="n"/>
      <c r="AE22" s="54" t="n"/>
      <c r="AF22" s="53" t="n">
        <v>0</v>
      </c>
      <c r="AG22" s="53" t="n">
        <v>0.5</v>
      </c>
      <c r="AH22" s="53" t="inlineStr">
        <is>
          <t>1/2</t>
        </is>
      </c>
      <c r="AI22" s="54" t="n"/>
      <c r="AJ22" s="54" t="n"/>
      <c r="AK22" s="54" t="n"/>
      <c r="AL22" s="54" t="n"/>
      <c r="AM22" s="54" t="n"/>
      <c r="AN22" s="53" t="inlineStr">
        <is>
          <t>psi</t>
        </is>
      </c>
      <c r="AO22" s="54" t="n"/>
      <c r="AP22" s="54" t="n"/>
      <c r="AQ22" s="52">
        <f>SUBSTITUTE(A22,"/","_")</f>
        <v/>
      </c>
      <c r="AR22" s="52">
        <f>AQ22&amp;".pdf"</f>
        <v/>
      </c>
      <c r="AS22" s="52">
        <f>AQ22&amp;".step"</f>
        <v/>
      </c>
      <c r="AT22" s="53" t="inlineStr">
        <is>
          <t>MISSING</t>
        </is>
      </c>
      <c r="AU22" s="53" t="inlineStr">
        <is>
          <t>MATCH</t>
        </is>
      </c>
      <c r="AV22" s="53" t="inlineStr">
        <is>
          <t>SAE J514 JIC dash/thread chart (gageref.com), cross-checked vs source page</t>
        </is>
      </c>
      <c r="AW22" s="53" t="inlineStr">
        <is>
          <t>Material/finish/pressure NOT published by Air-Way or OMi - awaiting client input</t>
        </is>
      </c>
      <c r="AX22" s="37" t="n"/>
      <c r="AY22" s="37" t="n"/>
      <c r="AZ22" s="37" t="n"/>
      <c r="BA22" s="44" t="inlineStr">
        <is>
          <t>NO DATA</t>
        </is>
      </c>
      <c r="BB22" s="37" t="n"/>
      <c r="BC22" s="44" t="inlineStr">
        <is>
          <t>NO DATA</t>
        </is>
      </c>
      <c r="BD22" s="45" t="inlineStr">
        <is>
          <t>Y</t>
        </is>
      </c>
      <c r="BE22" s="45" t="inlineStr">
        <is>
          <t>BUILD</t>
        </is>
      </c>
    </row>
    <row r="23" ht="15" customHeight="1" s="35">
      <c r="A23" s="52">
        <f>D23&amp;"-"&amp;TEXT(U23,"00")&amp;"-"&amp;TEXT(N23,"00")</f>
        <v/>
      </c>
      <c r="B23" s="53" t="inlineStr">
        <is>
          <t>2404-8-16</t>
        </is>
      </c>
      <c r="C23" s="52">
        <f>A23</f>
        <v/>
      </c>
      <c r="D23" s="53" t="inlineStr">
        <is>
          <t>2404</t>
        </is>
      </c>
      <c r="E23" s="53" t="n">
        <v>64</v>
      </c>
      <c r="F23" s="53" t="inlineStr">
        <is>
          <t>https://parts.air-way.com/hydraulic-fittings/jic-and-beaded-hose-fittings/straight/2404-male-connector-series-64</t>
        </is>
      </c>
      <c r="G23" s="52">
        <f>"Male Connector, "&amp;T23&amp;" x "&amp;M23&amp;", "&amp;V23&amp;" x "&amp;O23</f>
        <v/>
      </c>
      <c r="H23" s="53" t="inlineStr">
        <is>
          <t>JIC 37 &amp; Beaded Hose</t>
        </is>
      </c>
      <c r="I23" s="53" t="inlineStr">
        <is>
          <t>Carbon Steel</t>
        </is>
      </c>
      <c r="J23" s="53" t="inlineStr">
        <is>
          <t>Straight</t>
        </is>
      </c>
      <c r="K23" s="53" t="n">
        <v>2</v>
      </c>
      <c r="L23" s="53" t="inlineStr">
        <is>
          <t>A</t>
        </is>
      </c>
      <c r="M23" s="53" t="inlineStr">
        <is>
          <t>Male Pipe NPTF</t>
        </is>
      </c>
      <c r="N23" s="53" t="n">
        <v>16</v>
      </c>
      <c r="O23" s="53" t="inlineStr">
        <is>
          <t>1-11 1/2</t>
        </is>
      </c>
      <c r="P23" s="53" t="inlineStr">
        <is>
          <t>NPTF Dryseal</t>
        </is>
      </c>
      <c r="Q23" s="53" t="inlineStr">
        <is>
          <t>ASME B1.20.3</t>
        </is>
      </c>
      <c r="R23" s="53" t="inlineStr">
        <is>
          <t>N/A (tapered thread seal)</t>
        </is>
      </c>
      <c r="S23" s="53" t="inlineStr">
        <is>
          <t>B</t>
        </is>
      </c>
      <c r="T23" s="53" t="inlineStr">
        <is>
          <t>Male 37 deg Flare (JIC)</t>
        </is>
      </c>
      <c r="U23" s="53" t="n">
        <v>8</v>
      </c>
      <c r="V23" s="53" t="inlineStr">
        <is>
          <t>3/4-16</t>
        </is>
      </c>
      <c r="W23" s="53" t="inlineStr">
        <is>
          <t>UN/UNF-2A</t>
        </is>
      </c>
      <c r="X23" s="53" t="inlineStr">
        <is>
          <t>SAE J514 / J514-1</t>
        </is>
      </c>
      <c r="Y23" s="53" t="n">
        <v>37</v>
      </c>
      <c r="Z23" s="53" t="n">
        <v>2.05</v>
      </c>
      <c r="AA23" s="53" t="n">
        <v>1.38</v>
      </c>
      <c r="AB23" s="53" t="n">
        <v>0.39</v>
      </c>
      <c r="AC23" s="53" t="n">
        <v>0.9399999999999999</v>
      </c>
      <c r="AD23" s="54" t="n"/>
      <c r="AE23" s="54" t="n"/>
      <c r="AF23" s="53" t="n">
        <v>0</v>
      </c>
      <c r="AG23" s="53" t="n">
        <v>0.5</v>
      </c>
      <c r="AH23" s="53" t="inlineStr">
        <is>
          <t>1/2</t>
        </is>
      </c>
      <c r="AI23" s="54" t="n"/>
      <c r="AJ23" s="54" t="n"/>
      <c r="AK23" s="54" t="n"/>
      <c r="AL23" s="54" t="n"/>
      <c r="AM23" s="54" t="n"/>
      <c r="AN23" s="53" t="inlineStr">
        <is>
          <t>psi</t>
        </is>
      </c>
      <c r="AO23" s="54" t="n"/>
      <c r="AP23" s="54" t="n"/>
      <c r="AQ23" s="52">
        <f>SUBSTITUTE(A23,"/","_")</f>
        <v/>
      </c>
      <c r="AR23" s="52">
        <f>AQ23&amp;".pdf"</f>
        <v/>
      </c>
      <c r="AS23" s="52">
        <f>AQ23&amp;".step"</f>
        <v/>
      </c>
      <c r="AT23" s="53" t="inlineStr">
        <is>
          <t>MISSING</t>
        </is>
      </c>
      <c r="AU23" s="53" t="inlineStr">
        <is>
          <t>MATCH</t>
        </is>
      </c>
      <c r="AV23" s="53" t="inlineStr">
        <is>
          <t>SAE J514 JIC dash/thread chart (gageref.com), cross-checked vs source page</t>
        </is>
      </c>
      <c r="AW23" s="53" t="inlineStr">
        <is>
          <t>Material/finish/pressure NOT published by Air-Way or OMi - awaiting client input</t>
        </is>
      </c>
      <c r="AX23" s="37" t="n"/>
      <c r="AY23" s="37" t="n"/>
      <c r="AZ23" s="37" t="n"/>
      <c r="BA23" s="44" t="inlineStr">
        <is>
          <t>NO DATA</t>
        </is>
      </c>
      <c r="BB23" s="37" t="n"/>
      <c r="BC23" s="44" t="inlineStr">
        <is>
          <t>NO DATA</t>
        </is>
      </c>
      <c r="BD23" s="45" t="inlineStr">
        <is>
          <t>Y</t>
        </is>
      </c>
      <c r="BE23" s="45" t="inlineStr">
        <is>
          <t>BUILD</t>
        </is>
      </c>
    </row>
    <row r="24" ht="15" customHeight="1" s="35">
      <c r="A24" s="52">
        <f>D24&amp;"-"&amp;TEXT(U24,"00")&amp;"-"&amp;TEXT(N24,"00")</f>
        <v/>
      </c>
      <c r="B24" s="53" t="inlineStr">
        <is>
          <t>2404-10-4</t>
        </is>
      </c>
      <c r="C24" s="52">
        <f>A24</f>
        <v/>
      </c>
      <c r="D24" s="53" t="inlineStr">
        <is>
          <t>2404</t>
        </is>
      </c>
      <c r="E24" s="53" t="n">
        <v>64</v>
      </c>
      <c r="F24" s="53" t="inlineStr">
        <is>
          <t>https://parts.air-way.com/hydraulic-fittings/jic-and-beaded-hose-fittings/straight/2404-male-connector-series-64</t>
        </is>
      </c>
      <c r="G24" s="52">
        <f>"Male Connector, "&amp;T24&amp;" x "&amp;M24&amp;", "&amp;V24&amp;" x "&amp;O24</f>
        <v/>
      </c>
      <c r="H24" s="53" t="inlineStr">
        <is>
          <t>JIC 37 &amp; Beaded Hose</t>
        </is>
      </c>
      <c r="I24" s="53" t="inlineStr">
        <is>
          <t>Carbon Steel</t>
        </is>
      </c>
      <c r="J24" s="53" t="inlineStr">
        <is>
          <t>Straight</t>
        </is>
      </c>
      <c r="K24" s="53" t="n">
        <v>2</v>
      </c>
      <c r="L24" s="53" t="inlineStr">
        <is>
          <t>A</t>
        </is>
      </c>
      <c r="M24" s="53" t="inlineStr">
        <is>
          <t>Male Pipe NPTF</t>
        </is>
      </c>
      <c r="N24" s="53" t="n">
        <v>4</v>
      </c>
      <c r="O24" s="53" t="inlineStr">
        <is>
          <t>1/4-18</t>
        </is>
      </c>
      <c r="P24" s="53" t="inlineStr">
        <is>
          <t>NPTF Dryseal</t>
        </is>
      </c>
      <c r="Q24" s="53" t="inlineStr">
        <is>
          <t>ASME B1.20.3</t>
        </is>
      </c>
      <c r="R24" s="53" t="inlineStr">
        <is>
          <t>N/A (tapered thread seal)</t>
        </is>
      </c>
      <c r="S24" s="53" t="inlineStr">
        <is>
          <t>B</t>
        </is>
      </c>
      <c r="T24" s="53" t="inlineStr">
        <is>
          <t>Male 37 deg Flare (JIC)</t>
        </is>
      </c>
      <c r="U24" s="53" t="n">
        <v>10</v>
      </c>
      <c r="V24" s="53" t="inlineStr">
        <is>
          <t>7/8-14</t>
        </is>
      </c>
      <c r="W24" s="53" t="inlineStr">
        <is>
          <t>UN/UNF-2A</t>
        </is>
      </c>
      <c r="X24" s="53" t="inlineStr">
        <is>
          <t>SAE J514 / J514-1</t>
        </is>
      </c>
      <c r="Y24" s="53" t="n">
        <v>37</v>
      </c>
      <c r="Z24" s="53" t="n">
        <v>1.7</v>
      </c>
      <c r="AA24" s="53" t="n">
        <v>0.9399999999999999</v>
      </c>
      <c r="AB24" s="53" t="n">
        <v>0.48</v>
      </c>
      <c r="AC24" s="53" t="n">
        <v>0.28</v>
      </c>
      <c r="AD24" s="54" t="n"/>
      <c r="AE24" s="54" t="n"/>
      <c r="AF24" s="53" t="n">
        <v>0</v>
      </c>
      <c r="AG24" s="53" t="n">
        <v>0.625</v>
      </c>
      <c r="AH24" s="53" t="inlineStr">
        <is>
          <t>5/8</t>
        </is>
      </c>
      <c r="AI24" s="54" t="n"/>
      <c r="AJ24" s="54" t="n"/>
      <c r="AK24" s="54" t="n"/>
      <c r="AL24" s="54" t="n"/>
      <c r="AM24" s="54" t="n"/>
      <c r="AN24" s="53" t="inlineStr">
        <is>
          <t>psi</t>
        </is>
      </c>
      <c r="AO24" s="54" t="n"/>
      <c r="AP24" s="54" t="n"/>
      <c r="AQ24" s="52">
        <f>SUBSTITUTE(A24,"/","_")</f>
        <v/>
      </c>
      <c r="AR24" s="52">
        <f>AQ24&amp;".pdf"</f>
        <v/>
      </c>
      <c r="AS24" s="52">
        <f>AQ24&amp;".step"</f>
        <v/>
      </c>
      <c r="AT24" s="53" t="inlineStr">
        <is>
          <t>MISSING</t>
        </is>
      </c>
      <c r="AU24" s="53" t="inlineStr">
        <is>
          <t>MATCH</t>
        </is>
      </c>
      <c r="AV24" s="53" t="inlineStr">
        <is>
          <t>SAE J514 JIC dash/thread chart (gageref.com), cross-checked vs source page</t>
        </is>
      </c>
      <c r="AW24" s="53" t="inlineStr">
        <is>
          <t>Material/finish/pressure NOT published by Air-Way or OMi - awaiting client input</t>
        </is>
      </c>
      <c r="AX24" s="37" t="n"/>
      <c r="AY24" s="37" t="n"/>
      <c r="AZ24" s="37" t="n"/>
      <c r="BA24" s="44" t="inlineStr">
        <is>
          <t>NO DATA</t>
        </is>
      </c>
      <c r="BB24" s="37" t="n"/>
      <c r="BC24" s="44" t="inlineStr">
        <is>
          <t>NO DATA</t>
        </is>
      </c>
      <c r="BD24" s="45" t="inlineStr">
        <is>
          <t>Y</t>
        </is>
      </c>
      <c r="BE24" s="45" t="inlineStr">
        <is>
          <t>BUILD</t>
        </is>
      </c>
    </row>
    <row r="25" ht="15" customHeight="1" s="35">
      <c r="A25" s="52">
        <f>D25&amp;"-"&amp;TEXT(U25,"00")&amp;"-"&amp;TEXT(N25,"00")</f>
        <v/>
      </c>
      <c r="B25" s="53" t="inlineStr">
        <is>
          <t>2404-10-6</t>
        </is>
      </c>
      <c r="C25" s="52">
        <f>A25</f>
        <v/>
      </c>
      <c r="D25" s="53" t="inlineStr">
        <is>
          <t>2404</t>
        </is>
      </c>
      <c r="E25" s="53" t="n">
        <v>64</v>
      </c>
      <c r="F25" s="53" t="inlineStr">
        <is>
          <t>https://parts.air-way.com/hydraulic-fittings/jic-and-beaded-hose-fittings/straight/2404-male-connector-series-64</t>
        </is>
      </c>
      <c r="G25" s="52">
        <f>"Male Connector, "&amp;T25&amp;" x "&amp;M25&amp;", "&amp;V25&amp;" x "&amp;O25</f>
        <v/>
      </c>
      <c r="H25" s="53" t="inlineStr">
        <is>
          <t>JIC 37 &amp; Beaded Hose</t>
        </is>
      </c>
      <c r="I25" s="53" t="inlineStr">
        <is>
          <t>Carbon Steel</t>
        </is>
      </c>
      <c r="J25" s="53" t="inlineStr">
        <is>
          <t>Straight</t>
        </is>
      </c>
      <c r="K25" s="53" t="n">
        <v>2</v>
      </c>
      <c r="L25" s="53" t="inlineStr">
        <is>
          <t>A</t>
        </is>
      </c>
      <c r="M25" s="53" t="inlineStr">
        <is>
          <t>Male Pipe NPTF</t>
        </is>
      </c>
      <c r="N25" s="53" t="n">
        <v>6</v>
      </c>
      <c r="O25" s="53" t="inlineStr">
        <is>
          <t>3/8-18</t>
        </is>
      </c>
      <c r="P25" s="53" t="inlineStr">
        <is>
          <t>NPTF Dryseal</t>
        </is>
      </c>
      <c r="Q25" s="53" t="inlineStr">
        <is>
          <t>ASME B1.20.3</t>
        </is>
      </c>
      <c r="R25" s="53" t="inlineStr">
        <is>
          <t>N/A (tapered thread seal)</t>
        </is>
      </c>
      <c r="S25" s="53" t="inlineStr">
        <is>
          <t>B</t>
        </is>
      </c>
      <c r="T25" s="53" t="inlineStr">
        <is>
          <t>Male 37 deg Flare (JIC)</t>
        </is>
      </c>
      <c r="U25" s="53" t="n">
        <v>10</v>
      </c>
      <c r="V25" s="53" t="inlineStr">
        <is>
          <t>7/8-14</t>
        </is>
      </c>
      <c r="W25" s="53" t="inlineStr">
        <is>
          <t>UN/UNF-2A</t>
        </is>
      </c>
      <c r="X25" s="53" t="inlineStr">
        <is>
          <t>SAE J514 / J514-1</t>
        </is>
      </c>
      <c r="Y25" s="53" t="n">
        <v>37</v>
      </c>
      <c r="Z25" s="53" t="n">
        <v>1.7</v>
      </c>
      <c r="AA25" s="53" t="n">
        <v>0.9399999999999999</v>
      </c>
      <c r="AB25" s="53" t="n">
        <v>0.48</v>
      </c>
      <c r="AC25" s="53" t="n">
        <v>0.41</v>
      </c>
      <c r="AD25" s="54" t="n"/>
      <c r="AE25" s="54" t="n"/>
      <c r="AF25" s="53" t="n">
        <v>0</v>
      </c>
      <c r="AG25" s="53" t="n">
        <v>0.625</v>
      </c>
      <c r="AH25" s="53" t="inlineStr">
        <is>
          <t>5/8</t>
        </is>
      </c>
      <c r="AI25" s="54" t="n"/>
      <c r="AJ25" s="54" t="n"/>
      <c r="AK25" s="54" t="n"/>
      <c r="AL25" s="54" t="n"/>
      <c r="AM25" s="54" t="n"/>
      <c r="AN25" s="53" t="inlineStr">
        <is>
          <t>psi</t>
        </is>
      </c>
      <c r="AO25" s="54" t="n"/>
      <c r="AP25" s="54" t="n"/>
      <c r="AQ25" s="52">
        <f>SUBSTITUTE(A25,"/","_")</f>
        <v/>
      </c>
      <c r="AR25" s="52">
        <f>AQ25&amp;".pdf"</f>
        <v/>
      </c>
      <c r="AS25" s="52">
        <f>AQ25&amp;".step"</f>
        <v/>
      </c>
      <c r="AT25" s="53" t="inlineStr">
        <is>
          <t>MISSING</t>
        </is>
      </c>
      <c r="AU25" s="53" t="inlineStr">
        <is>
          <t>MATCH</t>
        </is>
      </c>
      <c r="AV25" s="53" t="inlineStr">
        <is>
          <t>SAE J514 JIC dash/thread chart (gageref.com), cross-checked vs source page</t>
        </is>
      </c>
      <c r="AW25" s="53" t="inlineStr">
        <is>
          <t>Material/finish/pressure NOT published by Air-Way or OMi - awaiting client input</t>
        </is>
      </c>
      <c r="AX25" s="37" t="n"/>
      <c r="AY25" s="37" t="n"/>
      <c r="AZ25" s="37" t="n"/>
      <c r="BA25" s="44" t="inlineStr">
        <is>
          <t>NO DATA</t>
        </is>
      </c>
      <c r="BB25" s="37" t="n"/>
      <c r="BC25" s="44" t="inlineStr">
        <is>
          <t>NO DATA</t>
        </is>
      </c>
      <c r="BD25" s="45" t="inlineStr">
        <is>
          <t>Y</t>
        </is>
      </c>
      <c r="BE25" s="45" t="inlineStr">
        <is>
          <t>BUILD</t>
        </is>
      </c>
    </row>
    <row r="26" ht="15" customHeight="1" s="35">
      <c r="A26" s="52">
        <f>D26&amp;"-"&amp;TEXT(U26,"00")&amp;"-"&amp;TEXT(N26,"00")</f>
        <v/>
      </c>
      <c r="B26" s="53" t="inlineStr">
        <is>
          <t>2404-10-8</t>
        </is>
      </c>
      <c r="C26" s="52">
        <f>A26</f>
        <v/>
      </c>
      <c r="D26" s="53" t="inlineStr">
        <is>
          <t>2404</t>
        </is>
      </c>
      <c r="E26" s="53" t="n">
        <v>64</v>
      </c>
      <c r="F26" s="53" t="inlineStr">
        <is>
          <t>https://parts.air-way.com/hydraulic-fittings/jic-and-beaded-hose-fittings/straight/2404-male-connector-series-64</t>
        </is>
      </c>
      <c r="G26" s="52">
        <f>"Male Connector, "&amp;T26&amp;" x "&amp;M26&amp;", "&amp;V26&amp;" x "&amp;O26</f>
        <v/>
      </c>
      <c r="H26" s="53" t="inlineStr">
        <is>
          <t>JIC 37 &amp; Beaded Hose</t>
        </is>
      </c>
      <c r="I26" s="53" t="inlineStr">
        <is>
          <t>Carbon Steel</t>
        </is>
      </c>
      <c r="J26" s="53" t="inlineStr">
        <is>
          <t>Straight</t>
        </is>
      </c>
      <c r="K26" s="53" t="n">
        <v>2</v>
      </c>
      <c r="L26" s="53" t="inlineStr">
        <is>
          <t>A</t>
        </is>
      </c>
      <c r="M26" s="53" t="inlineStr">
        <is>
          <t>Male Pipe NPTF</t>
        </is>
      </c>
      <c r="N26" s="53" t="n">
        <v>8</v>
      </c>
      <c r="O26" s="53" t="inlineStr">
        <is>
          <t>1/2-14</t>
        </is>
      </c>
      <c r="P26" s="53" t="inlineStr">
        <is>
          <t>NPTF Dryseal</t>
        </is>
      </c>
      <c r="Q26" s="53" t="inlineStr">
        <is>
          <t>ASME B1.20.3</t>
        </is>
      </c>
      <c r="R26" s="53" t="inlineStr">
        <is>
          <t>N/A (tapered thread seal)</t>
        </is>
      </c>
      <c r="S26" s="53" t="inlineStr">
        <is>
          <t>B</t>
        </is>
      </c>
      <c r="T26" s="53" t="inlineStr">
        <is>
          <t>Male 37 deg Flare (JIC)</t>
        </is>
      </c>
      <c r="U26" s="53" t="n">
        <v>10</v>
      </c>
      <c r="V26" s="53" t="inlineStr">
        <is>
          <t>7/8-14</t>
        </is>
      </c>
      <c r="W26" s="53" t="inlineStr">
        <is>
          <t>UN/UNF-2A</t>
        </is>
      </c>
      <c r="X26" s="53" t="inlineStr">
        <is>
          <t>SAE J514 / J514-1</t>
        </is>
      </c>
      <c r="Y26" s="53" t="n">
        <v>37</v>
      </c>
      <c r="Z26" s="53" t="n">
        <v>1.89</v>
      </c>
      <c r="AA26" s="53" t="n">
        <v>0.9399999999999999</v>
      </c>
      <c r="AB26" s="53" t="n">
        <v>0.48</v>
      </c>
      <c r="AC26" s="53" t="n">
        <v>0.53</v>
      </c>
      <c r="AD26" s="54" t="n"/>
      <c r="AE26" s="55" t="n">
        <v>0.9375</v>
      </c>
      <c r="AF26" s="53" t="n">
        <v>0</v>
      </c>
      <c r="AG26" s="53" t="n">
        <v>0.625</v>
      </c>
      <c r="AH26" s="53" t="inlineStr">
        <is>
          <t>5/8</t>
        </is>
      </c>
      <c r="AI26" s="54" t="n"/>
      <c r="AJ26" s="54" t="n"/>
      <c r="AK26" s="54" t="n"/>
      <c r="AL26" s="54" t="n"/>
      <c r="AM26" s="54" t="n"/>
      <c r="AN26" s="53" t="inlineStr">
        <is>
          <t>psi</t>
        </is>
      </c>
      <c r="AO26" s="54" t="n"/>
      <c r="AP26" s="54" t="n"/>
      <c r="AQ26" s="52">
        <f>SUBSTITUTE(A26,"/","_")</f>
        <v/>
      </c>
      <c r="AR26" s="52">
        <f>AQ26&amp;".pdf"</f>
        <v/>
      </c>
      <c r="AS26" s="52">
        <f>AQ26&amp;".step"</f>
        <v/>
      </c>
      <c r="AT26" s="53" t="inlineStr">
        <is>
          <t>VERIFIED</t>
        </is>
      </c>
      <c r="AU26" s="53" t="inlineStr">
        <is>
          <t>MATCH</t>
        </is>
      </c>
      <c r="AV26" s="53" t="inlineStr">
        <is>
          <t>L: Air-Way vs Parker Cat4300. Hex: 2+ independent sources agree.</t>
        </is>
      </c>
      <c r="AW26" s="53" t="inlineStr">
        <is>
          <t>Material/finish/pressure NOT published by Air-Way or OMi - awaiting client input</t>
        </is>
      </c>
      <c r="AX26" s="37" t="inlineStr">
        <is>
          <t>15/16</t>
        </is>
      </c>
      <c r="AY26" s="37" t="inlineStr">
        <is>
          <t>15/16</t>
        </is>
      </c>
      <c r="AZ26" s="37" t="inlineStr">
        <is>
          <t>15/16</t>
        </is>
      </c>
      <c r="BA26" s="45" t="inlineStr">
        <is>
          <t>AGREE</t>
        </is>
      </c>
      <c r="BB26" s="37" t="n">
        <v>1.89</v>
      </c>
      <c r="BC26" s="45" t="inlineStr">
        <is>
          <t>MATCH</t>
        </is>
      </c>
      <c r="BD26" s="45" t="inlineStr">
        <is>
          <t>Y</t>
        </is>
      </c>
      <c r="BE26" s="45" t="inlineStr">
        <is>
          <t>BUILD</t>
        </is>
      </c>
    </row>
    <row r="27" ht="15" customHeight="1" s="35">
      <c r="A27" s="52">
        <f>D27&amp;"-"&amp;TEXT(U27,"00")&amp;"-"&amp;TEXT(N27,"00")</f>
        <v/>
      </c>
      <c r="B27" s="53" t="inlineStr">
        <is>
          <t>2404-10-12</t>
        </is>
      </c>
      <c r="C27" s="52">
        <f>A27</f>
        <v/>
      </c>
      <c r="D27" s="53" t="inlineStr">
        <is>
          <t>2404</t>
        </is>
      </c>
      <c r="E27" s="53" t="n">
        <v>64</v>
      </c>
      <c r="F27" s="53" t="inlineStr">
        <is>
          <t>https://parts.air-way.com/hydraulic-fittings/jic-and-beaded-hose-fittings/straight/2404-male-connector-series-64</t>
        </is>
      </c>
      <c r="G27" s="52">
        <f>"Male Connector, "&amp;T27&amp;" x "&amp;M27&amp;", "&amp;V27&amp;" x "&amp;O27</f>
        <v/>
      </c>
      <c r="H27" s="53" t="inlineStr">
        <is>
          <t>JIC 37 &amp; Beaded Hose</t>
        </is>
      </c>
      <c r="I27" s="53" t="inlineStr">
        <is>
          <t>Carbon Steel</t>
        </is>
      </c>
      <c r="J27" s="53" t="inlineStr">
        <is>
          <t>Straight</t>
        </is>
      </c>
      <c r="K27" s="53" t="n">
        <v>2</v>
      </c>
      <c r="L27" s="53" t="inlineStr">
        <is>
          <t>A</t>
        </is>
      </c>
      <c r="M27" s="53" t="inlineStr">
        <is>
          <t>Male Pipe NPTF</t>
        </is>
      </c>
      <c r="N27" s="53" t="n">
        <v>12</v>
      </c>
      <c r="O27" s="53" t="inlineStr">
        <is>
          <t>3/4-14</t>
        </is>
      </c>
      <c r="P27" s="53" t="inlineStr">
        <is>
          <t>NPTF Dryseal</t>
        </is>
      </c>
      <c r="Q27" s="53" t="inlineStr">
        <is>
          <t>ASME B1.20.3</t>
        </is>
      </c>
      <c r="R27" s="53" t="inlineStr">
        <is>
          <t>N/A (tapered thread seal)</t>
        </is>
      </c>
      <c r="S27" s="53" t="inlineStr">
        <is>
          <t>B</t>
        </is>
      </c>
      <c r="T27" s="53" t="inlineStr">
        <is>
          <t>Male 37 deg Flare (JIC)</t>
        </is>
      </c>
      <c r="U27" s="53" t="n">
        <v>10</v>
      </c>
      <c r="V27" s="53" t="inlineStr">
        <is>
          <t>7/8-14</t>
        </is>
      </c>
      <c r="W27" s="53" t="inlineStr">
        <is>
          <t>UN/UNF-2A</t>
        </is>
      </c>
      <c r="X27" s="53" t="inlineStr">
        <is>
          <t>SAE J514 / J514-1</t>
        </is>
      </c>
      <c r="Y27" s="53" t="n">
        <v>37</v>
      </c>
      <c r="Z27" s="53" t="n">
        <v>1.95</v>
      </c>
      <c r="AA27" s="53" t="n">
        <v>1.13</v>
      </c>
      <c r="AB27" s="53" t="n">
        <v>0.48</v>
      </c>
      <c r="AC27" s="53" t="n">
        <v>0.72</v>
      </c>
      <c r="AD27" s="54" t="n"/>
      <c r="AE27" s="54" t="n">
        <v>1.125</v>
      </c>
      <c r="AF27" s="53" t="n">
        <v>0</v>
      </c>
      <c r="AG27" s="53" t="n">
        <v>0.625</v>
      </c>
      <c r="AH27" s="53" t="inlineStr">
        <is>
          <t>5/8</t>
        </is>
      </c>
      <c r="AI27" s="54" t="n"/>
      <c r="AJ27" s="54" t="n"/>
      <c r="AK27" s="54" t="n"/>
      <c r="AL27" s="54" t="n"/>
      <c r="AM27" s="54" t="n"/>
      <c r="AN27" s="53" t="inlineStr">
        <is>
          <t>psi</t>
        </is>
      </c>
      <c r="AO27" s="54" t="n"/>
      <c r="AP27" s="54" t="n"/>
      <c r="AQ27" s="52">
        <f>SUBSTITUTE(A27,"/","_")</f>
        <v/>
      </c>
      <c r="AR27" s="52">
        <f>AQ27&amp;".pdf"</f>
        <v/>
      </c>
      <c r="AS27" s="52">
        <f>AQ27&amp;".step"</f>
        <v/>
      </c>
      <c r="AT27" s="53" t="inlineStr">
        <is>
          <t>ASSUMED</t>
        </is>
      </c>
      <c r="AU27" s="53" t="inlineStr">
        <is>
          <t>MATCH (L only)</t>
        </is>
      </c>
      <c r="AV27" s="53" t="inlineStr">
        <is>
          <t>Hex from Parker Cat4300 only - single source, not cross-checked.</t>
        </is>
      </c>
      <c r="AW27" s="53" t="inlineStr">
        <is>
          <t>Material/finish/pressure NOT published by Air-Way or OMi - awaiting client input</t>
        </is>
      </c>
      <c r="AX27" s="37" t="inlineStr">
        <is>
          <t>1 1/8</t>
        </is>
      </c>
      <c r="AY27" s="37" t="n"/>
      <c r="AZ27" s="37" t="n"/>
      <c r="BA27" s="44" t="inlineStr">
        <is>
          <t>SINGLE SOURCE</t>
        </is>
      </c>
      <c r="BB27" s="37" t="n">
        <v>1.95</v>
      </c>
      <c r="BC27" s="45" t="inlineStr">
        <is>
          <t>MATCH</t>
        </is>
      </c>
      <c r="BD27" s="45" t="inlineStr">
        <is>
          <t>Y</t>
        </is>
      </c>
      <c r="BE27" s="45" t="inlineStr">
        <is>
          <t>BUILD</t>
        </is>
      </c>
    </row>
    <row r="28" ht="15" customHeight="1" s="35">
      <c r="A28" s="52">
        <f>D28&amp;"-"&amp;TEXT(U28,"00")&amp;"-"&amp;TEXT(N28,"00")</f>
        <v/>
      </c>
      <c r="B28" s="53" t="inlineStr">
        <is>
          <t>2404-10-16</t>
        </is>
      </c>
      <c r="C28" s="52">
        <f>A28</f>
        <v/>
      </c>
      <c r="D28" s="53" t="inlineStr">
        <is>
          <t>2404</t>
        </is>
      </c>
      <c r="E28" s="53" t="n">
        <v>64</v>
      </c>
      <c r="F28" s="53" t="inlineStr">
        <is>
          <t>https://parts.air-way.com/hydraulic-fittings/jic-and-beaded-hose-fittings/straight/2404-male-connector-series-64</t>
        </is>
      </c>
      <c r="G28" s="52">
        <f>"Male Connector, "&amp;T28&amp;" x "&amp;M28&amp;", "&amp;V28&amp;" x "&amp;O28</f>
        <v/>
      </c>
      <c r="H28" s="53" t="inlineStr">
        <is>
          <t>JIC 37 &amp; Beaded Hose</t>
        </is>
      </c>
      <c r="I28" s="53" t="inlineStr">
        <is>
          <t>Carbon Steel</t>
        </is>
      </c>
      <c r="J28" s="53" t="inlineStr">
        <is>
          <t>Straight</t>
        </is>
      </c>
      <c r="K28" s="53" t="n">
        <v>2</v>
      </c>
      <c r="L28" s="53" t="inlineStr">
        <is>
          <t>A</t>
        </is>
      </c>
      <c r="M28" s="53" t="inlineStr">
        <is>
          <t>Male Pipe NPTF</t>
        </is>
      </c>
      <c r="N28" s="53" t="n">
        <v>16</v>
      </c>
      <c r="O28" s="53" t="inlineStr">
        <is>
          <t>1-11 1/2</t>
        </is>
      </c>
      <c r="P28" s="53" t="inlineStr">
        <is>
          <t>NPTF Dryseal</t>
        </is>
      </c>
      <c r="Q28" s="53" t="inlineStr">
        <is>
          <t>ASME B1.20.3</t>
        </is>
      </c>
      <c r="R28" s="53" t="inlineStr">
        <is>
          <t>N/A (tapered thread seal)</t>
        </is>
      </c>
      <c r="S28" s="53" t="inlineStr">
        <is>
          <t>B</t>
        </is>
      </c>
      <c r="T28" s="53" t="inlineStr">
        <is>
          <t>Male 37 deg Flare (JIC)</t>
        </is>
      </c>
      <c r="U28" s="53" t="n">
        <v>10</v>
      </c>
      <c r="V28" s="53" t="inlineStr">
        <is>
          <t>7/8-14</t>
        </is>
      </c>
      <c r="W28" s="53" t="inlineStr">
        <is>
          <t>UN/UNF-2A</t>
        </is>
      </c>
      <c r="X28" s="53" t="inlineStr">
        <is>
          <t>SAE J514 / J514-1</t>
        </is>
      </c>
      <c r="Y28" s="53" t="n">
        <v>37</v>
      </c>
      <c r="Z28" s="53" t="n">
        <v>2.15</v>
      </c>
      <c r="AA28" s="53" t="n">
        <v>1.38</v>
      </c>
      <c r="AB28" s="53" t="n">
        <v>0.48</v>
      </c>
      <c r="AC28" s="53" t="n">
        <v>0.9399999999999999</v>
      </c>
      <c r="AD28" s="54" t="n"/>
      <c r="AE28" s="54" t="n"/>
      <c r="AF28" s="53" t="n">
        <v>0</v>
      </c>
      <c r="AG28" s="53" t="n">
        <v>0.625</v>
      </c>
      <c r="AH28" s="53" t="inlineStr">
        <is>
          <t>5/8</t>
        </is>
      </c>
      <c r="AI28" s="54" t="n"/>
      <c r="AJ28" s="54" t="n"/>
      <c r="AK28" s="54" t="n"/>
      <c r="AL28" s="54" t="n"/>
      <c r="AM28" s="54" t="n"/>
      <c r="AN28" s="53" t="inlineStr">
        <is>
          <t>psi</t>
        </is>
      </c>
      <c r="AO28" s="54" t="n"/>
      <c r="AP28" s="54" t="n"/>
      <c r="AQ28" s="52">
        <f>SUBSTITUTE(A28,"/","_")</f>
        <v/>
      </c>
      <c r="AR28" s="52">
        <f>AQ28&amp;".pdf"</f>
        <v/>
      </c>
      <c r="AS28" s="52">
        <f>AQ28&amp;".step"</f>
        <v/>
      </c>
      <c r="AT28" s="53" t="inlineStr">
        <is>
          <t>MISSING</t>
        </is>
      </c>
      <c r="AU28" s="53" t="inlineStr">
        <is>
          <t>MATCH</t>
        </is>
      </c>
      <c r="AV28" s="53" t="inlineStr">
        <is>
          <t>SAE J514 JIC dash/thread chart (gageref.com), cross-checked vs source page</t>
        </is>
      </c>
      <c r="AW28" s="53" t="inlineStr">
        <is>
          <t>Material/finish/pressure NOT published by Air-Way or OMi - awaiting client input</t>
        </is>
      </c>
      <c r="AX28" s="37" t="n"/>
      <c r="AY28" s="37" t="n"/>
      <c r="AZ28" s="37" t="n"/>
      <c r="BA28" s="44" t="inlineStr">
        <is>
          <t>NO DATA</t>
        </is>
      </c>
      <c r="BB28" s="37" t="n"/>
      <c r="BC28" s="44" t="inlineStr">
        <is>
          <t>NO DATA</t>
        </is>
      </c>
      <c r="BD28" s="45" t="inlineStr">
        <is>
          <t>Y</t>
        </is>
      </c>
      <c r="BE28" s="45" t="inlineStr">
        <is>
          <t>BUILD</t>
        </is>
      </c>
    </row>
    <row r="29" ht="15" customHeight="1" s="35">
      <c r="A29" s="52">
        <f>D29&amp;"-"&amp;TEXT(U29,"00")&amp;"-"&amp;TEXT(N29,"00")</f>
        <v/>
      </c>
      <c r="B29" s="53" t="inlineStr">
        <is>
          <t>2404-12-6</t>
        </is>
      </c>
      <c r="C29" s="52">
        <f>A29</f>
        <v/>
      </c>
      <c r="D29" s="53" t="inlineStr">
        <is>
          <t>2404</t>
        </is>
      </c>
      <c r="E29" s="53" t="n">
        <v>64</v>
      </c>
      <c r="F29" s="53" t="inlineStr">
        <is>
          <t>https://parts.air-way.com/hydraulic-fittings/jic-and-beaded-hose-fittings/straight/2404-male-connector-series-64</t>
        </is>
      </c>
      <c r="G29" s="52">
        <f>"Male Connector, "&amp;T29&amp;" x "&amp;M29&amp;", "&amp;V29&amp;" x "&amp;O29</f>
        <v/>
      </c>
      <c r="H29" s="53" t="inlineStr">
        <is>
          <t>JIC 37 &amp; Beaded Hose</t>
        </is>
      </c>
      <c r="I29" s="53" t="inlineStr">
        <is>
          <t>Carbon Steel</t>
        </is>
      </c>
      <c r="J29" s="53" t="inlineStr">
        <is>
          <t>Straight</t>
        </is>
      </c>
      <c r="K29" s="53" t="n">
        <v>2</v>
      </c>
      <c r="L29" s="53" t="inlineStr">
        <is>
          <t>A</t>
        </is>
      </c>
      <c r="M29" s="53" t="inlineStr">
        <is>
          <t>Male Pipe NPTF</t>
        </is>
      </c>
      <c r="N29" s="53" t="n">
        <v>6</v>
      </c>
      <c r="O29" s="53" t="inlineStr">
        <is>
          <t>3/8-18</t>
        </is>
      </c>
      <c r="P29" s="53" t="inlineStr">
        <is>
          <t>NPTF Dryseal</t>
        </is>
      </c>
      <c r="Q29" s="53" t="inlineStr">
        <is>
          <t>ASME B1.20.3</t>
        </is>
      </c>
      <c r="R29" s="53" t="inlineStr">
        <is>
          <t>N/A (tapered thread seal)</t>
        </is>
      </c>
      <c r="S29" s="53" t="inlineStr">
        <is>
          <t>B</t>
        </is>
      </c>
      <c r="T29" s="53" t="inlineStr">
        <is>
          <t>Male 37 deg Flare (JIC)</t>
        </is>
      </c>
      <c r="U29" s="53" t="n">
        <v>12</v>
      </c>
      <c r="V29" s="53" t="inlineStr">
        <is>
          <t>1 1/16-12</t>
        </is>
      </c>
      <c r="W29" s="53" t="inlineStr">
        <is>
          <t>UN/UNF-2A</t>
        </is>
      </c>
      <c r="X29" s="53" t="inlineStr">
        <is>
          <t>SAE J514 / J514-1</t>
        </is>
      </c>
      <c r="Y29" s="53" t="n">
        <v>37</v>
      </c>
      <c r="Z29" s="53" t="n">
        <v>1.87</v>
      </c>
      <c r="AA29" s="53" t="n">
        <v>1.13</v>
      </c>
      <c r="AB29" s="53" t="n">
        <v>0.61</v>
      </c>
      <c r="AC29" s="53" t="n">
        <v>0.41</v>
      </c>
      <c r="AD29" s="54" t="n"/>
      <c r="AE29" s="54" t="n"/>
      <c r="AF29" s="53" t="n">
        <v>0</v>
      </c>
      <c r="AG29" s="53" t="n">
        <v>0.75</v>
      </c>
      <c r="AH29" s="53" t="inlineStr">
        <is>
          <t>3/4</t>
        </is>
      </c>
      <c r="AI29" s="54" t="n"/>
      <c r="AJ29" s="54" t="n"/>
      <c r="AK29" s="54" t="n"/>
      <c r="AL29" s="54" t="n"/>
      <c r="AM29" s="54" t="n"/>
      <c r="AN29" s="53" t="inlineStr">
        <is>
          <t>psi</t>
        </is>
      </c>
      <c r="AO29" s="54" t="n"/>
      <c r="AP29" s="54" t="n"/>
      <c r="AQ29" s="52">
        <f>SUBSTITUTE(A29,"/","_")</f>
        <v/>
      </c>
      <c r="AR29" s="52">
        <f>AQ29&amp;".pdf"</f>
        <v/>
      </c>
      <c r="AS29" s="52">
        <f>AQ29&amp;".step"</f>
        <v/>
      </c>
      <c r="AT29" s="53" t="inlineStr">
        <is>
          <t>MISSING</t>
        </is>
      </c>
      <c r="AU29" s="53" t="inlineStr">
        <is>
          <t>MATCH</t>
        </is>
      </c>
      <c r="AV29" s="53" t="inlineStr">
        <is>
          <t>SAE J514 JIC dash/thread chart (gageref.com), cross-checked vs source page</t>
        </is>
      </c>
      <c r="AW29" s="53" t="inlineStr">
        <is>
          <t>Material/finish/pressure NOT published by Air-Way or OMi - awaiting client input</t>
        </is>
      </c>
      <c r="AX29" s="37" t="n"/>
      <c r="AY29" s="37" t="n"/>
      <c r="AZ29" s="37" t="n"/>
      <c r="BA29" s="44" t="inlineStr">
        <is>
          <t>NO DATA</t>
        </is>
      </c>
      <c r="BB29" s="37" t="n"/>
      <c r="BC29" s="44" t="inlineStr">
        <is>
          <t>NO DATA</t>
        </is>
      </c>
      <c r="BD29" s="45" t="inlineStr">
        <is>
          <t>Y</t>
        </is>
      </c>
      <c r="BE29" s="45" t="inlineStr">
        <is>
          <t>BUILD</t>
        </is>
      </c>
    </row>
    <row r="30" ht="15" customHeight="1" s="35">
      <c r="A30" s="52">
        <f>D30&amp;"-"&amp;TEXT(U30,"00")&amp;"-"&amp;TEXT(N30,"00")</f>
        <v/>
      </c>
      <c r="B30" s="53" t="inlineStr">
        <is>
          <t>2404-12-8</t>
        </is>
      </c>
      <c r="C30" s="52">
        <f>A30</f>
        <v/>
      </c>
      <c r="D30" s="53" t="inlineStr">
        <is>
          <t>2404</t>
        </is>
      </c>
      <c r="E30" s="53" t="n">
        <v>64</v>
      </c>
      <c r="F30" s="53" t="inlineStr">
        <is>
          <t>https://parts.air-way.com/hydraulic-fittings/jic-and-beaded-hose-fittings/straight/2404-male-connector-series-64</t>
        </is>
      </c>
      <c r="G30" s="52">
        <f>"Male Connector, "&amp;T30&amp;" x "&amp;M30&amp;", "&amp;V30&amp;" x "&amp;O30</f>
        <v/>
      </c>
      <c r="H30" s="53" t="inlineStr">
        <is>
          <t>JIC 37 &amp; Beaded Hose</t>
        </is>
      </c>
      <c r="I30" s="53" t="inlineStr">
        <is>
          <t>Carbon Steel</t>
        </is>
      </c>
      <c r="J30" s="53" t="inlineStr">
        <is>
          <t>Straight</t>
        </is>
      </c>
      <c r="K30" s="53" t="n">
        <v>2</v>
      </c>
      <c r="L30" s="53" t="inlineStr">
        <is>
          <t>A</t>
        </is>
      </c>
      <c r="M30" s="53" t="inlineStr">
        <is>
          <t>Male Pipe NPTF</t>
        </is>
      </c>
      <c r="N30" s="53" t="n">
        <v>8</v>
      </c>
      <c r="O30" s="53" t="inlineStr">
        <is>
          <t>1/2-14</t>
        </is>
      </c>
      <c r="P30" s="53" t="inlineStr">
        <is>
          <t>NPTF Dryseal</t>
        </is>
      </c>
      <c r="Q30" s="53" t="inlineStr">
        <is>
          <t>ASME B1.20.3</t>
        </is>
      </c>
      <c r="R30" s="53" t="inlineStr">
        <is>
          <t>N/A (tapered thread seal)</t>
        </is>
      </c>
      <c r="S30" s="53" t="inlineStr">
        <is>
          <t>B</t>
        </is>
      </c>
      <c r="T30" s="53" t="inlineStr">
        <is>
          <t>Male 37 deg Flare (JIC)</t>
        </is>
      </c>
      <c r="U30" s="53" t="n">
        <v>12</v>
      </c>
      <c r="V30" s="53" t="inlineStr">
        <is>
          <t>1 1/16-12</t>
        </is>
      </c>
      <c r="W30" s="53" t="inlineStr">
        <is>
          <t>UN/UNF-2A</t>
        </is>
      </c>
      <c r="X30" s="53" t="inlineStr">
        <is>
          <t>SAE J514 / J514-1</t>
        </is>
      </c>
      <c r="Y30" s="53" t="n">
        <v>37</v>
      </c>
      <c r="Z30" s="53" t="n">
        <v>2.06</v>
      </c>
      <c r="AA30" s="53" t="n">
        <v>1.13</v>
      </c>
      <c r="AB30" s="53" t="n">
        <v>0.61</v>
      </c>
      <c r="AC30" s="53" t="n">
        <v>0.53</v>
      </c>
      <c r="AD30" s="54" t="n"/>
      <c r="AE30" s="54" t="n">
        <v>1.125</v>
      </c>
      <c r="AF30" s="53" t="n">
        <v>0</v>
      </c>
      <c r="AG30" s="53" t="n">
        <v>0.75</v>
      </c>
      <c r="AH30" s="53" t="inlineStr">
        <is>
          <t>3/4</t>
        </is>
      </c>
      <c r="AI30" s="54" t="n"/>
      <c r="AJ30" s="54" t="n"/>
      <c r="AK30" s="54" t="n"/>
      <c r="AL30" s="54" t="n"/>
      <c r="AM30" s="54" t="n"/>
      <c r="AN30" s="53" t="inlineStr">
        <is>
          <t>psi</t>
        </is>
      </c>
      <c r="AO30" s="54" t="n"/>
      <c r="AP30" s="54" t="n"/>
      <c r="AQ30" s="52">
        <f>SUBSTITUTE(A30,"/","_")</f>
        <v/>
      </c>
      <c r="AR30" s="52">
        <f>AQ30&amp;".pdf"</f>
        <v/>
      </c>
      <c r="AS30" s="52">
        <f>AQ30&amp;".step"</f>
        <v/>
      </c>
      <c r="AT30" s="53" t="inlineStr">
        <is>
          <t>ASSUMED</t>
        </is>
      </c>
      <c r="AU30" s="53" t="inlineStr">
        <is>
          <t>MATCH (L only)</t>
        </is>
      </c>
      <c r="AV30" s="53" t="inlineStr">
        <is>
          <t>Hex from Parker Cat4300 only - single source, not cross-checked.</t>
        </is>
      </c>
      <c r="AW30" s="53" t="inlineStr">
        <is>
          <t>Material/finish/pressure NOT published by Air-Way or OMi - awaiting client input</t>
        </is>
      </c>
      <c r="AX30" s="37" t="inlineStr">
        <is>
          <t>1 1/8</t>
        </is>
      </c>
      <c r="AY30" s="37" t="n"/>
      <c r="AZ30" s="37" t="n"/>
      <c r="BA30" s="44" t="inlineStr">
        <is>
          <t>SINGLE SOURCE</t>
        </is>
      </c>
      <c r="BB30" s="37" t="n">
        <v>2.06</v>
      </c>
      <c r="BC30" s="45" t="inlineStr">
        <is>
          <t>MATCH</t>
        </is>
      </c>
      <c r="BD30" s="45" t="inlineStr">
        <is>
          <t>Y</t>
        </is>
      </c>
      <c r="BE30" s="45" t="inlineStr">
        <is>
          <t>BUILD</t>
        </is>
      </c>
    </row>
    <row r="31" ht="15" customHeight="1" s="35">
      <c r="A31" s="52">
        <f>D31&amp;"-"&amp;TEXT(U31,"00")&amp;"-"&amp;TEXT(N31,"00")</f>
        <v/>
      </c>
      <c r="B31" s="53" t="inlineStr">
        <is>
          <t>2404-12-12</t>
        </is>
      </c>
      <c r="C31" s="52">
        <f>A31</f>
        <v/>
      </c>
      <c r="D31" s="53" t="inlineStr">
        <is>
          <t>2404</t>
        </is>
      </c>
      <c r="E31" s="53" t="n">
        <v>64</v>
      </c>
      <c r="F31" s="53" t="inlineStr">
        <is>
          <t>https://parts.air-way.com/hydraulic-fittings/jic-and-beaded-hose-fittings/straight/2404-male-connector-series-64</t>
        </is>
      </c>
      <c r="G31" s="52">
        <f>"Male Connector, "&amp;T31&amp;" x "&amp;M31&amp;", "&amp;V31&amp;" x "&amp;O31</f>
        <v/>
      </c>
      <c r="H31" s="53" t="inlineStr">
        <is>
          <t>JIC 37 &amp; Beaded Hose</t>
        </is>
      </c>
      <c r="I31" s="53" t="inlineStr">
        <is>
          <t>Carbon Steel</t>
        </is>
      </c>
      <c r="J31" s="53" t="inlineStr">
        <is>
          <t>Straight</t>
        </is>
      </c>
      <c r="K31" s="53" t="n">
        <v>2</v>
      </c>
      <c r="L31" s="53" t="inlineStr">
        <is>
          <t>A</t>
        </is>
      </c>
      <c r="M31" s="53" t="inlineStr">
        <is>
          <t>Male Pipe NPTF</t>
        </is>
      </c>
      <c r="N31" s="53" t="n">
        <v>12</v>
      </c>
      <c r="O31" s="53" t="inlineStr">
        <is>
          <t>3/4-14</t>
        </is>
      </c>
      <c r="P31" s="53" t="inlineStr">
        <is>
          <t>NPTF Dryseal</t>
        </is>
      </c>
      <c r="Q31" s="53" t="inlineStr">
        <is>
          <t>ASME B1.20.3</t>
        </is>
      </c>
      <c r="R31" s="53" t="inlineStr">
        <is>
          <t>N/A (tapered thread seal)</t>
        </is>
      </c>
      <c r="S31" s="53" t="inlineStr">
        <is>
          <t>B</t>
        </is>
      </c>
      <c r="T31" s="53" t="inlineStr">
        <is>
          <t>Male 37 deg Flare (JIC)</t>
        </is>
      </c>
      <c r="U31" s="53" t="n">
        <v>12</v>
      </c>
      <c r="V31" s="53" t="inlineStr">
        <is>
          <t>1 1/16-12</t>
        </is>
      </c>
      <c r="W31" s="53" t="inlineStr">
        <is>
          <t>UN/UNF-2A</t>
        </is>
      </c>
      <c r="X31" s="53" t="inlineStr">
        <is>
          <t>SAE J514 / J514-1</t>
        </is>
      </c>
      <c r="Y31" s="53" t="n">
        <v>37</v>
      </c>
      <c r="Z31" s="53" t="n">
        <v>2.06</v>
      </c>
      <c r="AA31" s="53" t="n">
        <v>1.13</v>
      </c>
      <c r="AB31" s="53" t="n">
        <v>0.61</v>
      </c>
      <c r="AC31" s="53" t="n">
        <v>0.72</v>
      </c>
      <c r="AD31" s="54" t="n"/>
      <c r="AE31" s="55" t="n">
        <v>1.125</v>
      </c>
      <c r="AF31" s="53" t="n">
        <v>0</v>
      </c>
      <c r="AG31" s="53" t="n">
        <v>0.75</v>
      </c>
      <c r="AH31" s="53" t="inlineStr">
        <is>
          <t>3/4</t>
        </is>
      </c>
      <c r="AI31" s="54" t="n"/>
      <c r="AJ31" s="54" t="n"/>
      <c r="AK31" s="54" t="n"/>
      <c r="AL31" s="54" t="n"/>
      <c r="AM31" s="54" t="n"/>
      <c r="AN31" s="53" t="inlineStr">
        <is>
          <t>psi</t>
        </is>
      </c>
      <c r="AO31" s="54" t="n"/>
      <c r="AP31" s="54" t="n"/>
      <c r="AQ31" s="52">
        <f>SUBSTITUTE(A31,"/","_")</f>
        <v/>
      </c>
      <c r="AR31" s="52">
        <f>AQ31&amp;".pdf"</f>
        <v/>
      </c>
      <c r="AS31" s="52">
        <f>AQ31&amp;".step"</f>
        <v/>
      </c>
      <c r="AT31" s="53" t="inlineStr">
        <is>
          <t>VERIFIED</t>
        </is>
      </c>
      <c r="AU31" s="53" t="inlineStr">
        <is>
          <t>MATCH</t>
        </is>
      </c>
      <c r="AV31" s="53" t="inlineStr">
        <is>
          <t>L: Air-Way vs Parker Cat4300. Hex: 2+ independent sources agree.</t>
        </is>
      </c>
      <c r="AW31" s="53" t="inlineStr">
        <is>
          <t>Material/finish/pressure NOT published by Air-Way or OMi - awaiting client input</t>
        </is>
      </c>
      <c r="AX31" s="37" t="inlineStr">
        <is>
          <t>1 1/8</t>
        </is>
      </c>
      <c r="AY31" s="37" t="inlineStr">
        <is>
          <t>1 1/8</t>
        </is>
      </c>
      <c r="AZ31" s="37" t="n"/>
      <c r="BA31" s="45" t="inlineStr">
        <is>
          <t>AGREE</t>
        </is>
      </c>
      <c r="BB31" s="37" t="n">
        <v>2.06</v>
      </c>
      <c r="BC31" s="45" t="inlineStr">
        <is>
          <t>MATCH</t>
        </is>
      </c>
      <c r="BD31" s="45" t="inlineStr">
        <is>
          <t>Y</t>
        </is>
      </c>
      <c r="BE31" s="45" t="inlineStr">
        <is>
          <t>BUILD</t>
        </is>
      </c>
    </row>
    <row r="32" ht="15" customHeight="1" s="35">
      <c r="A32" s="52">
        <f>D32&amp;"-"&amp;TEXT(U32,"00")&amp;"-"&amp;TEXT(N32,"00")</f>
        <v/>
      </c>
      <c r="B32" s="53" t="inlineStr">
        <is>
          <t>2404-12-16</t>
        </is>
      </c>
      <c r="C32" s="52">
        <f>A32</f>
        <v/>
      </c>
      <c r="D32" s="53" t="inlineStr">
        <is>
          <t>2404</t>
        </is>
      </c>
      <c r="E32" s="53" t="n">
        <v>64</v>
      </c>
      <c r="F32" s="53" t="inlineStr">
        <is>
          <t>https://parts.air-way.com/hydraulic-fittings/jic-and-beaded-hose-fittings/straight/2404-male-connector-series-64</t>
        </is>
      </c>
      <c r="G32" s="52">
        <f>"Male Connector, "&amp;T32&amp;" x "&amp;M32&amp;", "&amp;V32&amp;" x "&amp;O32</f>
        <v/>
      </c>
      <c r="H32" s="53" t="inlineStr">
        <is>
          <t>JIC 37 &amp; Beaded Hose</t>
        </is>
      </c>
      <c r="I32" s="53" t="inlineStr">
        <is>
          <t>Carbon Steel</t>
        </is>
      </c>
      <c r="J32" s="53" t="inlineStr">
        <is>
          <t>Straight</t>
        </is>
      </c>
      <c r="K32" s="53" t="n">
        <v>2</v>
      </c>
      <c r="L32" s="53" t="inlineStr">
        <is>
          <t>A</t>
        </is>
      </c>
      <c r="M32" s="53" t="inlineStr">
        <is>
          <t>Male Pipe NPTF</t>
        </is>
      </c>
      <c r="N32" s="53" t="n">
        <v>16</v>
      </c>
      <c r="O32" s="53" t="inlineStr">
        <is>
          <t>1-11 1/2</t>
        </is>
      </c>
      <c r="P32" s="53" t="inlineStr">
        <is>
          <t>NPTF Dryseal</t>
        </is>
      </c>
      <c r="Q32" s="53" t="inlineStr">
        <is>
          <t>ASME B1.20.3</t>
        </is>
      </c>
      <c r="R32" s="53" t="inlineStr">
        <is>
          <t>N/A (tapered thread seal)</t>
        </is>
      </c>
      <c r="S32" s="53" t="inlineStr">
        <is>
          <t>B</t>
        </is>
      </c>
      <c r="T32" s="53" t="inlineStr">
        <is>
          <t>Male 37 deg Flare (JIC)</t>
        </is>
      </c>
      <c r="U32" s="53" t="n">
        <v>12</v>
      </c>
      <c r="V32" s="53" t="inlineStr">
        <is>
          <t>1 1/16-12</t>
        </is>
      </c>
      <c r="W32" s="53" t="inlineStr">
        <is>
          <t>UN/UNF-2A</t>
        </is>
      </c>
      <c r="X32" s="53" t="inlineStr">
        <is>
          <t>SAE J514 / J514-1</t>
        </is>
      </c>
      <c r="Y32" s="53" t="n">
        <v>37</v>
      </c>
      <c r="Z32" s="53" t="n">
        <v>2.25</v>
      </c>
      <c r="AA32" s="53" t="n">
        <v>1.38</v>
      </c>
      <c r="AB32" s="53" t="n">
        <v>0.61</v>
      </c>
      <c r="AC32" s="53" t="n">
        <v>0.9399999999999999</v>
      </c>
      <c r="AD32" s="54" t="n"/>
      <c r="AE32" s="54" t="n">
        <v>1.375</v>
      </c>
      <c r="AF32" s="53" t="n">
        <v>0</v>
      </c>
      <c r="AG32" s="53" t="n">
        <v>0.75</v>
      </c>
      <c r="AH32" s="53" t="inlineStr">
        <is>
          <t>3/4</t>
        </is>
      </c>
      <c r="AI32" s="54" t="n"/>
      <c r="AJ32" s="54" t="n"/>
      <c r="AK32" s="54" t="n"/>
      <c r="AL32" s="54" t="n"/>
      <c r="AM32" s="54" t="n"/>
      <c r="AN32" s="53" t="inlineStr">
        <is>
          <t>psi</t>
        </is>
      </c>
      <c r="AO32" s="54" t="n"/>
      <c r="AP32" s="54" t="n"/>
      <c r="AQ32" s="52">
        <f>SUBSTITUTE(A32,"/","_")</f>
        <v/>
      </c>
      <c r="AR32" s="52">
        <f>AQ32&amp;".pdf"</f>
        <v/>
      </c>
      <c r="AS32" s="52">
        <f>AQ32&amp;".step"</f>
        <v/>
      </c>
      <c r="AT32" s="53" t="inlineStr">
        <is>
          <t>ASSUMED</t>
        </is>
      </c>
      <c r="AU32" s="53" t="inlineStr">
        <is>
          <t>MATCH (L only)</t>
        </is>
      </c>
      <c r="AV32" s="53" t="inlineStr">
        <is>
          <t>Hex from Parker Cat4300 only - single source, not cross-checked.</t>
        </is>
      </c>
      <c r="AW32" s="53" t="inlineStr">
        <is>
          <t>Material/finish/pressure NOT published by Air-Way or OMi - awaiting client input</t>
        </is>
      </c>
      <c r="AX32" s="37" t="inlineStr">
        <is>
          <t>1 3/8</t>
        </is>
      </c>
      <c r="AY32" s="37" t="n"/>
      <c r="AZ32" s="37" t="n"/>
      <c r="BA32" s="44" t="inlineStr">
        <is>
          <t>SINGLE SOURCE</t>
        </is>
      </c>
      <c r="BB32" s="37" t="n">
        <v>2.25</v>
      </c>
      <c r="BC32" s="45" t="inlineStr">
        <is>
          <t>MATCH</t>
        </is>
      </c>
      <c r="BD32" s="45" t="inlineStr">
        <is>
          <t>Y</t>
        </is>
      </c>
      <c r="BE32" s="45" t="inlineStr">
        <is>
          <t>BUILD</t>
        </is>
      </c>
    </row>
    <row r="33" ht="15" customHeight="1" s="35">
      <c r="A33" s="52">
        <f>D33&amp;"-"&amp;TEXT(U33,"00")&amp;"-"&amp;TEXT(N33,"00")</f>
        <v/>
      </c>
      <c r="B33" s="53" t="inlineStr">
        <is>
          <t>2404-12-20</t>
        </is>
      </c>
      <c r="C33" s="52">
        <f>A33</f>
        <v/>
      </c>
      <c r="D33" s="53" t="inlineStr">
        <is>
          <t>2404</t>
        </is>
      </c>
      <c r="E33" s="53" t="n">
        <v>64</v>
      </c>
      <c r="F33" s="53" t="inlineStr">
        <is>
          <t>https://parts.air-way.com/hydraulic-fittings/jic-and-beaded-hose-fittings/straight/2404-male-connector-series-64</t>
        </is>
      </c>
      <c r="G33" s="52">
        <f>"Male Connector, "&amp;T33&amp;" x "&amp;M33&amp;", "&amp;V33&amp;" x "&amp;O33</f>
        <v/>
      </c>
      <c r="H33" s="53" t="inlineStr">
        <is>
          <t>JIC 37 &amp; Beaded Hose</t>
        </is>
      </c>
      <c r="I33" s="53" t="inlineStr">
        <is>
          <t>Carbon Steel</t>
        </is>
      </c>
      <c r="J33" s="53" t="inlineStr">
        <is>
          <t>Straight</t>
        </is>
      </c>
      <c r="K33" s="53" t="n">
        <v>2</v>
      </c>
      <c r="L33" s="53" t="inlineStr">
        <is>
          <t>A</t>
        </is>
      </c>
      <c r="M33" s="53" t="inlineStr">
        <is>
          <t>Male Pipe NPTF</t>
        </is>
      </c>
      <c r="N33" s="53" t="n">
        <v>20</v>
      </c>
      <c r="O33" s="53" t="inlineStr">
        <is>
          <t>1 1/4-11 1/2</t>
        </is>
      </c>
      <c r="P33" s="53" t="inlineStr">
        <is>
          <t>NPTF Dryseal</t>
        </is>
      </c>
      <c r="Q33" s="53" t="inlineStr">
        <is>
          <t>ASME B1.20.3</t>
        </is>
      </c>
      <c r="R33" s="53" t="inlineStr">
        <is>
          <t>N/A (tapered thread seal)</t>
        </is>
      </c>
      <c r="S33" s="53" t="inlineStr">
        <is>
          <t>B</t>
        </is>
      </c>
      <c r="T33" s="53" t="inlineStr">
        <is>
          <t>Male 37 deg Flare (JIC)</t>
        </is>
      </c>
      <c r="U33" s="53" t="n">
        <v>12</v>
      </c>
      <c r="V33" s="53" t="inlineStr">
        <is>
          <t>1 1/16-12</t>
        </is>
      </c>
      <c r="W33" s="53" t="inlineStr">
        <is>
          <t>UN/UNF-2A</t>
        </is>
      </c>
      <c r="X33" s="53" t="inlineStr">
        <is>
          <t>SAE J514 / J514-1</t>
        </is>
      </c>
      <c r="Y33" s="53" t="n">
        <v>37</v>
      </c>
      <c r="Z33" s="53" t="n">
        <v>2.36</v>
      </c>
      <c r="AA33" s="53" t="n">
        <v>1.69</v>
      </c>
      <c r="AB33" s="53" t="n">
        <v>0.61</v>
      </c>
      <c r="AC33" s="53" t="n">
        <v>1.25</v>
      </c>
      <c r="AD33" s="54" t="n"/>
      <c r="AE33" s="54" t="n"/>
      <c r="AF33" s="53" t="n">
        <v>0</v>
      </c>
      <c r="AG33" s="53" t="n">
        <v>0.75</v>
      </c>
      <c r="AH33" s="53" t="inlineStr">
        <is>
          <t>3/4</t>
        </is>
      </c>
      <c r="AI33" s="54" t="n"/>
      <c r="AJ33" s="54" t="n"/>
      <c r="AK33" s="54" t="n"/>
      <c r="AL33" s="54" t="n"/>
      <c r="AM33" s="54" t="n"/>
      <c r="AN33" s="53" t="inlineStr">
        <is>
          <t>psi</t>
        </is>
      </c>
      <c r="AO33" s="54" t="n"/>
      <c r="AP33" s="54" t="n"/>
      <c r="AQ33" s="52">
        <f>SUBSTITUTE(A33,"/","_")</f>
        <v/>
      </c>
      <c r="AR33" s="52">
        <f>AQ33&amp;".pdf"</f>
        <v/>
      </c>
      <c r="AS33" s="52">
        <f>AQ33&amp;".step"</f>
        <v/>
      </c>
      <c r="AT33" s="53" t="inlineStr">
        <is>
          <t>MISSING</t>
        </is>
      </c>
      <c r="AU33" s="53" t="inlineStr">
        <is>
          <t>MATCH</t>
        </is>
      </c>
      <c r="AV33" s="53" t="inlineStr">
        <is>
          <t>SAE J514 JIC dash/thread chart (gageref.com), cross-checked vs source page</t>
        </is>
      </c>
      <c r="AW33" s="53" t="inlineStr">
        <is>
          <t>Material/finish/pressure NOT published by Air-Way or OMi - awaiting client input</t>
        </is>
      </c>
      <c r="AX33" s="37" t="n"/>
      <c r="AY33" s="37" t="n"/>
      <c r="AZ33" s="37" t="n"/>
      <c r="BA33" s="44" t="inlineStr">
        <is>
          <t>NO DATA</t>
        </is>
      </c>
      <c r="BB33" s="37" t="n"/>
      <c r="BC33" s="44" t="inlineStr">
        <is>
          <t>NO DATA</t>
        </is>
      </c>
      <c r="BD33" s="45" t="inlineStr">
        <is>
          <t>Y</t>
        </is>
      </c>
      <c r="BE33" s="45" t="inlineStr">
        <is>
          <t>BUILD</t>
        </is>
      </c>
    </row>
    <row r="34" ht="15" customHeight="1" s="35">
      <c r="A34" s="52">
        <f>D34&amp;"-"&amp;TEXT(U34,"00")&amp;"-"&amp;TEXT(N34,"00")</f>
        <v/>
      </c>
      <c r="B34" s="53" t="inlineStr">
        <is>
          <t>2404-12-24</t>
        </is>
      </c>
      <c r="C34" s="52">
        <f>A34</f>
        <v/>
      </c>
      <c r="D34" s="53" t="inlineStr">
        <is>
          <t>2404</t>
        </is>
      </c>
      <c r="E34" s="53" t="n">
        <v>64</v>
      </c>
      <c r="F34" s="53" t="inlineStr">
        <is>
          <t>https://parts.air-way.com/hydraulic-fittings/jic-and-beaded-hose-fittings/straight/2404-male-connector-series-64</t>
        </is>
      </c>
      <c r="G34" s="52">
        <f>"Male Connector, "&amp;T34&amp;" x "&amp;M34&amp;", "&amp;V34&amp;" x "&amp;O34</f>
        <v/>
      </c>
      <c r="H34" s="53" t="inlineStr">
        <is>
          <t>JIC 37 &amp; Beaded Hose</t>
        </is>
      </c>
      <c r="I34" s="53" t="inlineStr">
        <is>
          <t>Carbon Steel</t>
        </is>
      </c>
      <c r="J34" s="53" t="inlineStr">
        <is>
          <t>Straight</t>
        </is>
      </c>
      <c r="K34" s="53" t="n">
        <v>2</v>
      </c>
      <c r="L34" s="53" t="inlineStr">
        <is>
          <t>A</t>
        </is>
      </c>
      <c r="M34" s="53" t="inlineStr">
        <is>
          <t>Male Pipe NPTF</t>
        </is>
      </c>
      <c r="N34" s="53" t="n">
        <v>24</v>
      </c>
      <c r="O34" s="53" t="inlineStr">
        <is>
          <t>1 1/2-11 1/2</t>
        </is>
      </c>
      <c r="P34" s="53" t="inlineStr">
        <is>
          <t>NPTF Dryseal</t>
        </is>
      </c>
      <c r="Q34" s="53" t="inlineStr">
        <is>
          <t>ASME B1.20.3</t>
        </is>
      </c>
      <c r="R34" s="53" t="inlineStr">
        <is>
          <t>N/A (tapered thread seal)</t>
        </is>
      </c>
      <c r="S34" s="53" t="inlineStr">
        <is>
          <t>B</t>
        </is>
      </c>
      <c r="T34" s="53" t="inlineStr">
        <is>
          <t>Male 37 deg Flare (JIC)</t>
        </is>
      </c>
      <c r="U34" s="53" t="n">
        <v>12</v>
      </c>
      <c r="V34" s="53" t="inlineStr">
        <is>
          <t>1 1/16-12</t>
        </is>
      </c>
      <c r="W34" s="53" t="inlineStr">
        <is>
          <t>UN/UNF-2A</t>
        </is>
      </c>
      <c r="X34" s="53" t="inlineStr">
        <is>
          <t>SAE J514 / J514-1</t>
        </is>
      </c>
      <c r="Y34" s="53" t="n">
        <v>37</v>
      </c>
      <c r="Z34" s="53" t="n">
        <v>2.46</v>
      </c>
      <c r="AA34" s="53" t="n">
        <v>2</v>
      </c>
      <c r="AB34" s="53" t="n">
        <v>0.61</v>
      </c>
      <c r="AC34" s="53" t="n">
        <v>1.5</v>
      </c>
      <c r="AD34" s="54" t="n"/>
      <c r="AE34" s="54" t="n"/>
      <c r="AF34" s="53" t="n">
        <v>0</v>
      </c>
      <c r="AG34" s="53" t="n">
        <v>0.75</v>
      </c>
      <c r="AH34" s="53" t="inlineStr">
        <is>
          <t>3/4</t>
        </is>
      </c>
      <c r="AI34" s="54" t="n"/>
      <c r="AJ34" s="54" t="n"/>
      <c r="AK34" s="54" t="n"/>
      <c r="AL34" s="54" t="n"/>
      <c r="AM34" s="54" t="n"/>
      <c r="AN34" s="53" t="inlineStr">
        <is>
          <t>psi</t>
        </is>
      </c>
      <c r="AO34" s="54" t="n"/>
      <c r="AP34" s="54" t="n"/>
      <c r="AQ34" s="52">
        <f>SUBSTITUTE(A34,"/","_")</f>
        <v/>
      </c>
      <c r="AR34" s="52">
        <f>AQ34&amp;".pdf"</f>
        <v/>
      </c>
      <c r="AS34" s="52">
        <f>AQ34&amp;".step"</f>
        <v/>
      </c>
      <c r="AT34" s="53" t="inlineStr">
        <is>
          <t>MISSING</t>
        </is>
      </c>
      <c r="AU34" s="53" t="inlineStr">
        <is>
          <t>MATCH</t>
        </is>
      </c>
      <c r="AV34" s="53" t="inlineStr">
        <is>
          <t>SAE J514 JIC dash/thread chart (gageref.com), cross-checked vs source page</t>
        </is>
      </c>
      <c r="AW34" s="53" t="inlineStr">
        <is>
          <t>Material/finish/pressure NOT published by Air-Way or OMi - awaiting client input</t>
        </is>
      </c>
      <c r="AX34" s="37" t="n"/>
      <c r="AY34" s="37" t="n"/>
      <c r="AZ34" s="37" t="n"/>
      <c r="BA34" s="44" t="inlineStr">
        <is>
          <t>NO DATA</t>
        </is>
      </c>
      <c r="BB34" s="37" t="n"/>
      <c r="BC34" s="44" t="inlineStr">
        <is>
          <t>NO DATA</t>
        </is>
      </c>
      <c r="BD34" s="45" t="inlineStr">
        <is>
          <t>Y</t>
        </is>
      </c>
      <c r="BE34" s="45" t="inlineStr">
        <is>
          <t>BUILD</t>
        </is>
      </c>
    </row>
    <row r="35" ht="15" customHeight="1" s="35">
      <c r="A35" s="52">
        <f>D35&amp;"-"&amp;TEXT(U35,"00")&amp;"-"&amp;TEXT(N35,"00")</f>
        <v/>
      </c>
      <c r="B35" s="53" t="inlineStr">
        <is>
          <t>2404-14-8</t>
        </is>
      </c>
      <c r="C35" s="52">
        <f>A35</f>
        <v/>
      </c>
      <c r="D35" s="53" t="inlineStr">
        <is>
          <t>2404</t>
        </is>
      </c>
      <c r="E35" s="53" t="n">
        <v>64</v>
      </c>
      <c r="F35" s="53" t="inlineStr">
        <is>
          <t>https://parts.air-way.com/hydraulic-fittings/jic-and-beaded-hose-fittings/straight/2404-male-connector-series-64</t>
        </is>
      </c>
      <c r="G35" s="52">
        <f>"Male Connector, "&amp;T35&amp;" x "&amp;M35&amp;", "&amp;V35&amp;" x "&amp;O35</f>
        <v/>
      </c>
      <c r="H35" s="53" t="inlineStr">
        <is>
          <t>JIC 37 &amp; Beaded Hose</t>
        </is>
      </c>
      <c r="I35" s="53" t="inlineStr">
        <is>
          <t>Carbon Steel</t>
        </is>
      </c>
      <c r="J35" s="53" t="inlineStr">
        <is>
          <t>Straight</t>
        </is>
      </c>
      <c r="K35" s="53" t="n">
        <v>2</v>
      </c>
      <c r="L35" s="53" t="inlineStr">
        <is>
          <t>A</t>
        </is>
      </c>
      <c r="M35" s="53" t="inlineStr">
        <is>
          <t>Male Pipe NPTF</t>
        </is>
      </c>
      <c r="N35" s="53" t="n">
        <v>8</v>
      </c>
      <c r="O35" s="53" t="inlineStr">
        <is>
          <t>1/2-14</t>
        </is>
      </c>
      <c r="P35" s="53" t="inlineStr">
        <is>
          <t>NPTF Dryseal</t>
        </is>
      </c>
      <c r="Q35" s="53" t="inlineStr">
        <is>
          <t>ASME B1.20.3</t>
        </is>
      </c>
      <c r="R35" s="53" t="inlineStr">
        <is>
          <t>N/A (tapered thread seal)</t>
        </is>
      </c>
      <c r="S35" s="53" t="inlineStr">
        <is>
          <t>B</t>
        </is>
      </c>
      <c r="T35" s="53" t="inlineStr">
        <is>
          <t>Male 37 deg Flare (JIC)</t>
        </is>
      </c>
      <c r="U35" s="53" t="n">
        <v>14</v>
      </c>
      <c r="V35" s="53" t="inlineStr">
        <is>
          <t>1 3/16-12</t>
        </is>
      </c>
      <c r="W35" s="53" t="inlineStr">
        <is>
          <t>UN/UNF-2A</t>
        </is>
      </c>
      <c r="X35" s="53" t="inlineStr">
        <is>
          <t>SAE J514 / J514-1</t>
        </is>
      </c>
      <c r="Y35" s="53" t="n">
        <v>37</v>
      </c>
      <c r="Z35" s="53" t="n">
        <v>2.09</v>
      </c>
      <c r="AA35" s="53" t="n">
        <v>1.25</v>
      </c>
      <c r="AB35" s="53" t="n">
        <v>0.72</v>
      </c>
      <c r="AC35" s="53" t="n">
        <v>0.53</v>
      </c>
      <c r="AD35" s="54" t="n"/>
      <c r="AE35" s="54" t="n"/>
      <c r="AF35" s="53" t="n">
        <v>0</v>
      </c>
      <c r="AG35" s="53" t="n">
        <v>0.875</v>
      </c>
      <c r="AH35" s="53" t="inlineStr">
        <is>
          <t>7/8</t>
        </is>
      </c>
      <c r="AI35" s="54" t="n"/>
      <c r="AJ35" s="54" t="n"/>
      <c r="AK35" s="54" t="n"/>
      <c r="AL35" s="54" t="n"/>
      <c r="AM35" s="54" t="n"/>
      <c r="AN35" s="53" t="inlineStr">
        <is>
          <t>psi</t>
        </is>
      </c>
      <c r="AO35" s="54" t="n"/>
      <c r="AP35" s="54" t="n"/>
      <c r="AQ35" s="52">
        <f>SUBSTITUTE(A35,"/","_")</f>
        <v/>
      </c>
      <c r="AR35" s="52">
        <f>AQ35&amp;".pdf"</f>
        <v/>
      </c>
      <c r="AS35" s="52">
        <f>AQ35&amp;".step"</f>
        <v/>
      </c>
      <c r="AT35" s="53" t="inlineStr">
        <is>
          <t>MISSING</t>
        </is>
      </c>
      <c r="AU35" s="53" t="inlineStr">
        <is>
          <t>MATCH</t>
        </is>
      </c>
      <c r="AV35" s="53" t="inlineStr">
        <is>
          <t>SAE J514 JIC dash/thread chart (gageref.com), cross-checked vs source page</t>
        </is>
      </c>
      <c r="AW35" s="53" t="inlineStr">
        <is>
          <t>NOT in the OMi carbon steel catalog - out of scope, do not model.</t>
        </is>
      </c>
      <c r="AX35" s="37" t="n"/>
      <c r="AY35" s="37" t="n"/>
      <c r="AZ35" s="37" t="n"/>
      <c r="BA35" s="44" t="inlineStr">
        <is>
          <t>NO DATA</t>
        </is>
      </c>
      <c r="BB35" s="37" t="n"/>
      <c r="BC35" s="44" t="inlineStr">
        <is>
          <t>NO DATA</t>
        </is>
      </c>
      <c r="BD35" s="47" t="inlineStr">
        <is>
          <t>N</t>
        </is>
      </c>
      <c r="BE35" s="47" t="inlineStr">
        <is>
          <t>DROP</t>
        </is>
      </c>
    </row>
    <row r="36" ht="15" customHeight="1" s="35">
      <c r="A36" s="52">
        <f>D36&amp;"-"&amp;TEXT(U36,"00")&amp;"-"&amp;TEXT(N36,"00")</f>
        <v/>
      </c>
      <c r="B36" s="53" t="inlineStr">
        <is>
          <t>2404-14-12</t>
        </is>
      </c>
      <c r="C36" s="52">
        <f>A36</f>
        <v/>
      </c>
      <c r="D36" s="53" t="inlineStr">
        <is>
          <t>2404</t>
        </is>
      </c>
      <c r="E36" s="53" t="n">
        <v>64</v>
      </c>
      <c r="F36" s="53" t="inlineStr">
        <is>
          <t>https://parts.air-way.com/hydraulic-fittings/jic-and-beaded-hose-fittings/straight/2404-male-connector-series-64</t>
        </is>
      </c>
      <c r="G36" s="52">
        <f>"Male Connector, "&amp;T36&amp;" x "&amp;M36&amp;", "&amp;V36&amp;" x "&amp;O36</f>
        <v/>
      </c>
      <c r="H36" s="53" t="inlineStr">
        <is>
          <t>JIC 37 &amp; Beaded Hose</t>
        </is>
      </c>
      <c r="I36" s="53" t="inlineStr">
        <is>
          <t>Carbon Steel</t>
        </is>
      </c>
      <c r="J36" s="53" t="inlineStr">
        <is>
          <t>Straight</t>
        </is>
      </c>
      <c r="K36" s="53" t="n">
        <v>2</v>
      </c>
      <c r="L36" s="53" t="inlineStr">
        <is>
          <t>A</t>
        </is>
      </c>
      <c r="M36" s="53" t="inlineStr">
        <is>
          <t>Male Pipe NPTF</t>
        </is>
      </c>
      <c r="N36" s="53" t="n">
        <v>12</v>
      </c>
      <c r="O36" s="53" t="inlineStr">
        <is>
          <t>3/4-14</t>
        </is>
      </c>
      <c r="P36" s="53" t="inlineStr">
        <is>
          <t>NPTF Dryseal</t>
        </is>
      </c>
      <c r="Q36" s="53" t="inlineStr">
        <is>
          <t>ASME B1.20.3</t>
        </is>
      </c>
      <c r="R36" s="53" t="inlineStr">
        <is>
          <t>N/A (tapered thread seal)</t>
        </is>
      </c>
      <c r="S36" s="53" t="inlineStr">
        <is>
          <t>B</t>
        </is>
      </c>
      <c r="T36" s="53" t="inlineStr">
        <is>
          <t>Male 37 deg Flare (JIC)</t>
        </is>
      </c>
      <c r="U36" s="53" t="n">
        <v>14</v>
      </c>
      <c r="V36" s="53" t="inlineStr">
        <is>
          <t>1 3/16-12</t>
        </is>
      </c>
      <c r="W36" s="53" t="inlineStr">
        <is>
          <t>UN/UNF-2A</t>
        </is>
      </c>
      <c r="X36" s="53" t="inlineStr">
        <is>
          <t>SAE J514 / J514-1</t>
        </is>
      </c>
      <c r="Y36" s="53" t="n">
        <v>37</v>
      </c>
      <c r="Z36" s="53" t="n">
        <v>2.09</v>
      </c>
      <c r="AA36" s="53" t="n">
        <v>1.25</v>
      </c>
      <c r="AB36" s="53" t="n">
        <v>0.72</v>
      </c>
      <c r="AC36" s="53" t="n">
        <v>0.72</v>
      </c>
      <c r="AD36" s="54" t="n"/>
      <c r="AE36" s="54" t="n"/>
      <c r="AF36" s="53" t="n">
        <v>0</v>
      </c>
      <c r="AG36" s="53" t="n">
        <v>0.875</v>
      </c>
      <c r="AH36" s="53" t="inlineStr">
        <is>
          <t>7/8</t>
        </is>
      </c>
      <c r="AI36" s="54" t="n"/>
      <c r="AJ36" s="54" t="n"/>
      <c r="AK36" s="54" t="n"/>
      <c r="AL36" s="54" t="n"/>
      <c r="AM36" s="54" t="n"/>
      <c r="AN36" s="53" t="inlineStr">
        <is>
          <t>psi</t>
        </is>
      </c>
      <c r="AO36" s="54" t="n"/>
      <c r="AP36" s="54" t="n"/>
      <c r="AQ36" s="52">
        <f>SUBSTITUTE(A36,"/","_")</f>
        <v/>
      </c>
      <c r="AR36" s="52">
        <f>AQ36&amp;".pdf"</f>
        <v/>
      </c>
      <c r="AS36" s="52">
        <f>AQ36&amp;".step"</f>
        <v/>
      </c>
      <c r="AT36" s="53" t="inlineStr">
        <is>
          <t>MISSING</t>
        </is>
      </c>
      <c r="AU36" s="53" t="inlineStr">
        <is>
          <t>MATCH</t>
        </is>
      </c>
      <c r="AV36" s="53" t="inlineStr">
        <is>
          <t>SAE J514 JIC dash/thread chart (gageref.com), cross-checked vs source page</t>
        </is>
      </c>
      <c r="AW36" s="53" t="inlineStr">
        <is>
          <t>NOT in the OMi carbon steel catalog - out of scope, do not model.</t>
        </is>
      </c>
      <c r="AX36" s="37" t="n"/>
      <c r="AY36" s="37" t="n"/>
      <c r="AZ36" s="37" t="n"/>
      <c r="BA36" s="44" t="inlineStr">
        <is>
          <t>NO DATA</t>
        </is>
      </c>
      <c r="BB36" s="37" t="n"/>
      <c r="BC36" s="44" t="inlineStr">
        <is>
          <t>NO DATA</t>
        </is>
      </c>
      <c r="BD36" s="47" t="inlineStr">
        <is>
          <t>N</t>
        </is>
      </c>
      <c r="BE36" s="47" t="inlineStr">
        <is>
          <t>DROP</t>
        </is>
      </c>
    </row>
    <row r="37" ht="15" customHeight="1" s="35">
      <c r="A37" s="52">
        <f>D37&amp;"-"&amp;TEXT(U37,"00")&amp;"-"&amp;TEXT(N37,"00")</f>
        <v/>
      </c>
      <c r="B37" s="53" t="inlineStr">
        <is>
          <t>2404-16-8</t>
        </is>
      </c>
      <c r="C37" s="52">
        <f>A37</f>
        <v/>
      </c>
      <c r="D37" s="53" t="inlineStr">
        <is>
          <t>2404</t>
        </is>
      </c>
      <c r="E37" s="53" t="n">
        <v>64</v>
      </c>
      <c r="F37" s="53" t="inlineStr">
        <is>
          <t>https://parts.air-way.com/hydraulic-fittings/jic-and-beaded-hose-fittings/straight/2404-male-connector-series-64</t>
        </is>
      </c>
      <c r="G37" s="52">
        <f>"Male Connector, "&amp;T37&amp;" x "&amp;M37&amp;", "&amp;V37&amp;" x "&amp;O37</f>
        <v/>
      </c>
      <c r="H37" s="53" t="inlineStr">
        <is>
          <t>JIC 37 &amp; Beaded Hose</t>
        </is>
      </c>
      <c r="I37" s="53" t="inlineStr">
        <is>
          <t>Carbon Steel</t>
        </is>
      </c>
      <c r="J37" s="53" t="inlineStr">
        <is>
          <t>Straight</t>
        </is>
      </c>
      <c r="K37" s="53" t="n">
        <v>2</v>
      </c>
      <c r="L37" s="53" t="inlineStr">
        <is>
          <t>A</t>
        </is>
      </c>
      <c r="M37" s="53" t="inlineStr">
        <is>
          <t>Male Pipe NPTF</t>
        </is>
      </c>
      <c r="N37" s="53" t="n">
        <v>8</v>
      </c>
      <c r="O37" s="53" t="inlineStr">
        <is>
          <t>1/2-14</t>
        </is>
      </c>
      <c r="P37" s="53" t="inlineStr">
        <is>
          <t>NPTF Dryseal</t>
        </is>
      </c>
      <c r="Q37" s="53" t="inlineStr">
        <is>
          <t>ASME B1.20.3</t>
        </is>
      </c>
      <c r="R37" s="53" t="inlineStr">
        <is>
          <t>N/A (tapered thread seal)</t>
        </is>
      </c>
      <c r="S37" s="53" t="inlineStr">
        <is>
          <t>B</t>
        </is>
      </c>
      <c r="T37" s="53" t="inlineStr">
        <is>
          <t>Male 37 deg Flare (JIC)</t>
        </is>
      </c>
      <c r="U37" s="53" t="n">
        <v>16</v>
      </c>
      <c r="V37" s="53" t="inlineStr">
        <is>
          <t>1 5/16-12</t>
        </is>
      </c>
      <c r="W37" s="53" t="inlineStr">
        <is>
          <t>UN/UNF-2A</t>
        </is>
      </c>
      <c r="X37" s="53" t="inlineStr">
        <is>
          <t>SAE J514 / J514-1</t>
        </is>
      </c>
      <c r="Y37" s="53" t="n">
        <v>37</v>
      </c>
      <c r="Z37" s="53" t="n">
        <v>2.11</v>
      </c>
      <c r="AA37" s="53" t="n">
        <v>1.38</v>
      </c>
      <c r="AB37" s="53" t="n">
        <v>0.84</v>
      </c>
      <c r="AC37" s="53" t="n">
        <v>0.53</v>
      </c>
      <c r="AD37" s="54" t="n"/>
      <c r="AE37" s="54" t="n">
        <v>1.375</v>
      </c>
      <c r="AF37" s="53" t="n">
        <v>0</v>
      </c>
      <c r="AG37" s="53" t="n">
        <v>1</v>
      </c>
      <c r="AH37" s="53" t="inlineStr">
        <is>
          <t>1</t>
        </is>
      </c>
      <c r="AI37" s="54" t="n"/>
      <c r="AJ37" s="54" t="n"/>
      <c r="AK37" s="54" t="n"/>
      <c r="AL37" s="54" t="n"/>
      <c r="AM37" s="54" t="n"/>
      <c r="AN37" s="53" t="inlineStr">
        <is>
          <t>psi</t>
        </is>
      </c>
      <c r="AO37" s="54" t="n"/>
      <c r="AP37" s="54" t="n"/>
      <c r="AQ37" s="52">
        <f>SUBSTITUTE(A37,"/","_")</f>
        <v/>
      </c>
      <c r="AR37" s="52">
        <f>AQ37&amp;".pdf"</f>
        <v/>
      </c>
      <c r="AS37" s="52">
        <f>AQ37&amp;".step"</f>
        <v/>
      </c>
      <c r="AT37" s="53" t="inlineStr">
        <is>
          <t>ASSUMED</t>
        </is>
      </c>
      <c r="AU37" s="53" t="inlineStr">
        <is>
          <t>MATCH (L only)</t>
        </is>
      </c>
      <c r="AV37" s="53" t="inlineStr">
        <is>
          <t>Hex from Parker Cat4300 only - single source, not cross-checked.</t>
        </is>
      </c>
      <c r="AW37" s="53" t="inlineStr">
        <is>
          <t>NOT in the OMi carbon steel catalog - out of scope, do not model.</t>
        </is>
      </c>
      <c r="AX37" s="37" t="inlineStr">
        <is>
          <t>1 3/8</t>
        </is>
      </c>
      <c r="AY37" s="37" t="n"/>
      <c r="AZ37" s="37" t="n"/>
      <c r="BA37" s="44" t="inlineStr">
        <is>
          <t>SINGLE SOURCE</t>
        </is>
      </c>
      <c r="BB37" s="37" t="n">
        <v>2.11</v>
      </c>
      <c r="BC37" s="45" t="inlineStr">
        <is>
          <t>MATCH</t>
        </is>
      </c>
      <c r="BD37" s="47" t="inlineStr">
        <is>
          <t>N</t>
        </is>
      </c>
      <c r="BE37" s="47" t="inlineStr">
        <is>
          <t>DROP</t>
        </is>
      </c>
    </row>
    <row r="38" ht="15" customHeight="1" s="35">
      <c r="A38" s="52">
        <f>D38&amp;"-"&amp;TEXT(U38,"00")&amp;"-"&amp;TEXT(N38,"00")</f>
        <v/>
      </c>
      <c r="B38" s="53" t="inlineStr">
        <is>
          <t>2404-16-12</t>
        </is>
      </c>
      <c r="C38" s="52">
        <f>A38</f>
        <v/>
      </c>
      <c r="D38" s="53" t="inlineStr">
        <is>
          <t>2404</t>
        </is>
      </c>
      <c r="E38" s="53" t="n">
        <v>64</v>
      </c>
      <c r="F38" s="53" t="inlineStr">
        <is>
          <t>https://parts.air-way.com/hydraulic-fittings/jic-and-beaded-hose-fittings/straight/2404-male-connector-series-64</t>
        </is>
      </c>
      <c r="G38" s="52">
        <f>"Male Connector, "&amp;T38&amp;" x "&amp;M38&amp;", "&amp;V38&amp;" x "&amp;O38</f>
        <v/>
      </c>
      <c r="H38" s="53" t="inlineStr">
        <is>
          <t>JIC 37 &amp; Beaded Hose</t>
        </is>
      </c>
      <c r="I38" s="53" t="inlineStr">
        <is>
          <t>Carbon Steel</t>
        </is>
      </c>
      <c r="J38" s="53" t="inlineStr">
        <is>
          <t>Straight</t>
        </is>
      </c>
      <c r="K38" s="53" t="n">
        <v>2</v>
      </c>
      <c r="L38" s="53" t="inlineStr">
        <is>
          <t>A</t>
        </is>
      </c>
      <c r="M38" s="53" t="inlineStr">
        <is>
          <t>Male Pipe NPTF</t>
        </is>
      </c>
      <c r="N38" s="53" t="n">
        <v>12</v>
      </c>
      <c r="O38" s="53" t="inlineStr">
        <is>
          <t>3/4-14</t>
        </is>
      </c>
      <c r="P38" s="53" t="inlineStr">
        <is>
          <t>NPTF Dryseal</t>
        </is>
      </c>
      <c r="Q38" s="53" t="inlineStr">
        <is>
          <t>ASME B1.20.3</t>
        </is>
      </c>
      <c r="R38" s="53" t="inlineStr">
        <is>
          <t>N/A (tapered thread seal)</t>
        </is>
      </c>
      <c r="S38" s="53" t="inlineStr">
        <is>
          <t>B</t>
        </is>
      </c>
      <c r="T38" s="53" t="inlineStr">
        <is>
          <t>Male 37 deg Flare (JIC)</t>
        </is>
      </c>
      <c r="U38" s="53" t="n">
        <v>16</v>
      </c>
      <c r="V38" s="53" t="inlineStr">
        <is>
          <t>1 5/16-12</t>
        </is>
      </c>
      <c r="W38" s="53" t="inlineStr">
        <is>
          <t>UN/UNF-2A</t>
        </is>
      </c>
      <c r="X38" s="53" t="inlineStr">
        <is>
          <t>SAE J514 / J514-1</t>
        </is>
      </c>
      <c r="Y38" s="53" t="n">
        <v>37</v>
      </c>
      <c r="Z38" s="53" t="n">
        <v>2.11</v>
      </c>
      <c r="AA38" s="53" t="n">
        <v>1.38</v>
      </c>
      <c r="AB38" s="53" t="n">
        <v>0.84</v>
      </c>
      <c r="AC38" s="53" t="n">
        <v>0.72</v>
      </c>
      <c r="AD38" s="54" t="n"/>
      <c r="AE38" s="54" t="n">
        <v>1.375</v>
      </c>
      <c r="AF38" s="53" t="n">
        <v>0</v>
      </c>
      <c r="AG38" s="53" t="n">
        <v>1</v>
      </c>
      <c r="AH38" s="53" t="inlineStr">
        <is>
          <t>1</t>
        </is>
      </c>
      <c r="AI38" s="54" t="n"/>
      <c r="AJ38" s="54" t="n"/>
      <c r="AK38" s="54" t="n"/>
      <c r="AL38" s="54" t="n"/>
      <c r="AM38" s="54" t="n"/>
      <c r="AN38" s="53" t="inlineStr">
        <is>
          <t>psi</t>
        </is>
      </c>
      <c r="AO38" s="54" t="n"/>
      <c r="AP38" s="54" t="n"/>
      <c r="AQ38" s="52">
        <f>SUBSTITUTE(A38,"/","_")</f>
        <v/>
      </c>
      <c r="AR38" s="52">
        <f>AQ38&amp;".pdf"</f>
        <v/>
      </c>
      <c r="AS38" s="52">
        <f>AQ38&amp;".step"</f>
        <v/>
      </c>
      <c r="AT38" s="53" t="inlineStr">
        <is>
          <t>ASSUMED</t>
        </is>
      </c>
      <c r="AU38" s="53" t="inlineStr">
        <is>
          <t>MATCH (L only)</t>
        </is>
      </c>
      <c r="AV38" s="53" t="inlineStr">
        <is>
          <t>Hex from Parker Cat4300 only - single source, not cross-checked.</t>
        </is>
      </c>
      <c r="AW38" s="53" t="inlineStr">
        <is>
          <t>Material/finish/pressure NOT published by Air-Way or OMi - awaiting client input</t>
        </is>
      </c>
      <c r="AX38" s="37" t="inlineStr">
        <is>
          <t>1 3/8</t>
        </is>
      </c>
      <c r="AY38" s="37" t="n"/>
      <c r="AZ38" s="37" t="n"/>
      <c r="BA38" s="44" t="inlineStr">
        <is>
          <t>SINGLE SOURCE</t>
        </is>
      </c>
      <c r="BB38" s="37" t="n">
        <v>2.11</v>
      </c>
      <c r="BC38" s="45" t="inlineStr">
        <is>
          <t>MATCH</t>
        </is>
      </c>
      <c r="BD38" s="45" t="inlineStr">
        <is>
          <t>Y</t>
        </is>
      </c>
      <c r="BE38" s="45" t="inlineStr">
        <is>
          <t>BUILD</t>
        </is>
      </c>
    </row>
    <row r="39" ht="15" customHeight="1" s="35">
      <c r="A39" s="52">
        <f>D39&amp;"-"&amp;TEXT(U39,"00")&amp;"-"&amp;TEXT(N39,"00")</f>
        <v/>
      </c>
      <c r="B39" s="53" t="inlineStr">
        <is>
          <t>2404-16-16</t>
        </is>
      </c>
      <c r="C39" s="52">
        <f>A39</f>
        <v/>
      </c>
      <c r="D39" s="53" t="inlineStr">
        <is>
          <t>2404</t>
        </is>
      </c>
      <c r="E39" s="53" t="n">
        <v>64</v>
      </c>
      <c r="F39" s="53" t="inlineStr">
        <is>
          <t>https://parts.air-way.com/hydraulic-fittings/jic-and-beaded-hose-fittings/straight/2404-male-connector-series-64</t>
        </is>
      </c>
      <c r="G39" s="52">
        <f>"Male Connector, "&amp;T39&amp;" x "&amp;M39&amp;", "&amp;V39&amp;" x "&amp;O39</f>
        <v/>
      </c>
      <c r="H39" s="53" t="inlineStr">
        <is>
          <t>JIC 37 &amp; Beaded Hose</t>
        </is>
      </c>
      <c r="I39" s="53" t="inlineStr">
        <is>
          <t>Carbon Steel</t>
        </is>
      </c>
      <c r="J39" s="53" t="inlineStr">
        <is>
          <t>Straight</t>
        </is>
      </c>
      <c r="K39" s="53" t="n">
        <v>2</v>
      </c>
      <c r="L39" s="53" t="inlineStr">
        <is>
          <t>A</t>
        </is>
      </c>
      <c r="M39" s="53" t="inlineStr">
        <is>
          <t>Male Pipe NPTF</t>
        </is>
      </c>
      <c r="N39" s="53" t="n">
        <v>16</v>
      </c>
      <c r="O39" s="53" t="inlineStr">
        <is>
          <t>1-11 1/2</t>
        </is>
      </c>
      <c r="P39" s="53" t="inlineStr">
        <is>
          <t>NPTF Dryseal</t>
        </is>
      </c>
      <c r="Q39" s="53" t="inlineStr">
        <is>
          <t>ASME B1.20.3</t>
        </is>
      </c>
      <c r="R39" s="53" t="inlineStr">
        <is>
          <t>N/A (tapered thread seal)</t>
        </is>
      </c>
      <c r="S39" s="53" t="inlineStr">
        <is>
          <t>B</t>
        </is>
      </c>
      <c r="T39" s="53" t="inlineStr">
        <is>
          <t>Male 37 deg Flare (JIC)</t>
        </is>
      </c>
      <c r="U39" s="53" t="n">
        <v>16</v>
      </c>
      <c r="V39" s="53" t="inlineStr">
        <is>
          <t>1 5/16-12</t>
        </is>
      </c>
      <c r="W39" s="53" t="inlineStr">
        <is>
          <t>UN/UNF-2A</t>
        </is>
      </c>
      <c r="X39" s="53" t="inlineStr">
        <is>
          <t>SAE J514 / J514-1</t>
        </is>
      </c>
      <c r="Y39" s="53" t="n">
        <v>37</v>
      </c>
      <c r="Z39" s="53" t="n">
        <v>2.3</v>
      </c>
      <c r="AA39" s="53" t="n">
        <v>1.38</v>
      </c>
      <c r="AB39" s="53" t="n">
        <v>0.84</v>
      </c>
      <c r="AC39" s="53" t="n">
        <v>0.9399999999999999</v>
      </c>
      <c r="AD39" s="54" t="n"/>
      <c r="AE39" s="55" t="n">
        <v>1.375</v>
      </c>
      <c r="AF39" s="53" t="n">
        <v>0</v>
      </c>
      <c r="AG39" s="53" t="n">
        <v>1</v>
      </c>
      <c r="AH39" s="53" t="inlineStr">
        <is>
          <t>1</t>
        </is>
      </c>
      <c r="AI39" s="54" t="n"/>
      <c r="AJ39" s="54" t="n"/>
      <c r="AK39" s="54" t="n"/>
      <c r="AL39" s="54" t="n"/>
      <c r="AM39" s="54" t="n"/>
      <c r="AN39" s="53" t="inlineStr">
        <is>
          <t>psi</t>
        </is>
      </c>
      <c r="AO39" s="54" t="n"/>
      <c r="AP39" s="54" t="n"/>
      <c r="AQ39" s="52">
        <f>SUBSTITUTE(A39,"/","_")</f>
        <v/>
      </c>
      <c r="AR39" s="52">
        <f>AQ39&amp;".pdf"</f>
        <v/>
      </c>
      <c r="AS39" s="52">
        <f>AQ39&amp;".step"</f>
        <v/>
      </c>
      <c r="AT39" s="53" t="inlineStr">
        <is>
          <t>VERIFIED</t>
        </is>
      </c>
      <c r="AU39" s="53" t="inlineStr">
        <is>
          <t>MATCH</t>
        </is>
      </c>
      <c r="AV39" s="53" t="inlineStr">
        <is>
          <t>L: Air-Way vs Parker Cat4300. Hex: 2+ independent sources agree.</t>
        </is>
      </c>
      <c r="AW39" s="53" t="inlineStr">
        <is>
          <t>Material/finish/pressure NOT published by Air-Way or OMi - awaiting client input</t>
        </is>
      </c>
      <c r="AX39" s="37" t="inlineStr">
        <is>
          <t>1 3/8</t>
        </is>
      </c>
      <c r="AY39" s="37" t="inlineStr">
        <is>
          <t>1 3/8</t>
        </is>
      </c>
      <c r="AZ39" s="37" t="inlineStr">
        <is>
          <t>1 3/8</t>
        </is>
      </c>
      <c r="BA39" s="45" t="inlineStr">
        <is>
          <t>AGREE</t>
        </is>
      </c>
      <c r="BB39" s="37" t="n">
        <v>2.3</v>
      </c>
      <c r="BC39" s="45" t="inlineStr">
        <is>
          <t>MATCH</t>
        </is>
      </c>
      <c r="BD39" s="45" t="inlineStr">
        <is>
          <t>Y</t>
        </is>
      </c>
      <c r="BE39" s="45" t="inlineStr">
        <is>
          <t>BUILD</t>
        </is>
      </c>
    </row>
    <row r="40" ht="15" customHeight="1" s="35">
      <c r="A40" s="52">
        <f>D40&amp;"-"&amp;TEXT(U40,"00")&amp;"-"&amp;TEXT(N40,"00")</f>
        <v/>
      </c>
      <c r="B40" s="53" t="inlineStr">
        <is>
          <t>2404-16-20</t>
        </is>
      </c>
      <c r="C40" s="52">
        <f>A40</f>
        <v/>
      </c>
      <c r="D40" s="53" t="inlineStr">
        <is>
          <t>2404</t>
        </is>
      </c>
      <c r="E40" s="53" t="n">
        <v>64</v>
      </c>
      <c r="F40" s="53" t="inlineStr">
        <is>
          <t>https://parts.air-way.com/hydraulic-fittings/jic-and-beaded-hose-fittings/straight/2404-male-connector-series-64</t>
        </is>
      </c>
      <c r="G40" s="52">
        <f>"Male Connector, "&amp;T40&amp;" x "&amp;M40&amp;", "&amp;V40&amp;" x "&amp;O40</f>
        <v/>
      </c>
      <c r="H40" s="53" t="inlineStr">
        <is>
          <t>JIC 37 &amp; Beaded Hose</t>
        </is>
      </c>
      <c r="I40" s="53" t="inlineStr">
        <is>
          <t>Carbon Steel</t>
        </is>
      </c>
      <c r="J40" s="53" t="inlineStr">
        <is>
          <t>Straight</t>
        </is>
      </c>
      <c r="K40" s="53" t="n">
        <v>2</v>
      </c>
      <c r="L40" s="53" t="inlineStr">
        <is>
          <t>A</t>
        </is>
      </c>
      <c r="M40" s="53" t="inlineStr">
        <is>
          <t>Male Pipe NPTF</t>
        </is>
      </c>
      <c r="N40" s="53" t="n">
        <v>20</v>
      </c>
      <c r="O40" s="53" t="inlineStr">
        <is>
          <t>1 1/4-11 1/2</t>
        </is>
      </c>
      <c r="P40" s="53" t="inlineStr">
        <is>
          <t>NPTF Dryseal</t>
        </is>
      </c>
      <c r="Q40" s="53" t="inlineStr">
        <is>
          <t>ASME B1.20.3</t>
        </is>
      </c>
      <c r="R40" s="53" t="inlineStr">
        <is>
          <t>N/A (tapered thread seal)</t>
        </is>
      </c>
      <c r="S40" s="53" t="inlineStr">
        <is>
          <t>B</t>
        </is>
      </c>
      <c r="T40" s="53" t="inlineStr">
        <is>
          <t>Male 37 deg Flare (JIC)</t>
        </is>
      </c>
      <c r="U40" s="53" t="n">
        <v>16</v>
      </c>
      <c r="V40" s="53" t="inlineStr">
        <is>
          <t>1 5/16-12</t>
        </is>
      </c>
      <c r="W40" s="53" t="inlineStr">
        <is>
          <t>UN/UNF-2A</t>
        </is>
      </c>
      <c r="X40" s="53" t="inlineStr">
        <is>
          <t>SAE J514 / J514-1</t>
        </is>
      </c>
      <c r="Y40" s="53" t="n">
        <v>37</v>
      </c>
      <c r="Z40" s="53" t="n">
        <v>2.4</v>
      </c>
      <c r="AA40" s="53" t="n">
        <v>1.69</v>
      </c>
      <c r="AB40" s="53" t="n">
        <v>0.84</v>
      </c>
      <c r="AC40" s="53" t="n">
        <v>1.25</v>
      </c>
      <c r="AD40" s="54" t="n"/>
      <c r="AE40" s="54" t="n">
        <v>1.6875</v>
      </c>
      <c r="AF40" s="53" t="n">
        <v>0</v>
      </c>
      <c r="AG40" s="53" t="n">
        <v>1</v>
      </c>
      <c r="AH40" s="53" t="inlineStr">
        <is>
          <t>1</t>
        </is>
      </c>
      <c r="AI40" s="54" t="n"/>
      <c r="AJ40" s="54" t="n"/>
      <c r="AK40" s="54" t="n"/>
      <c r="AL40" s="54" t="n"/>
      <c r="AM40" s="54" t="n"/>
      <c r="AN40" s="53" t="inlineStr">
        <is>
          <t>psi</t>
        </is>
      </c>
      <c r="AO40" s="54" t="n"/>
      <c r="AP40" s="54" t="n"/>
      <c r="AQ40" s="52">
        <f>SUBSTITUTE(A40,"/","_")</f>
        <v/>
      </c>
      <c r="AR40" s="52">
        <f>AQ40&amp;".pdf"</f>
        <v/>
      </c>
      <c r="AS40" s="52">
        <f>AQ40&amp;".step"</f>
        <v/>
      </c>
      <c r="AT40" s="53" t="inlineStr">
        <is>
          <t>ASSUMED</t>
        </is>
      </c>
      <c r="AU40" s="53" t="inlineStr">
        <is>
          <t>MATCH (L only)</t>
        </is>
      </c>
      <c r="AV40" s="53" t="inlineStr">
        <is>
          <t>Hex from Parker Cat4300 only - single source, not cross-checked.</t>
        </is>
      </c>
      <c r="AW40" s="53" t="inlineStr">
        <is>
          <t>Material/finish/pressure NOT published by Air-Way or OMi - awaiting client input</t>
        </is>
      </c>
      <c r="AX40" s="37" t="inlineStr">
        <is>
          <t>1 11/16</t>
        </is>
      </c>
      <c r="AY40" s="37" t="n"/>
      <c r="AZ40" s="37" t="n"/>
      <c r="BA40" s="44" t="inlineStr">
        <is>
          <t>SINGLE SOURCE</t>
        </is>
      </c>
      <c r="BB40" s="37" t="n">
        <v>2.4</v>
      </c>
      <c r="BC40" s="45" t="inlineStr">
        <is>
          <t>MATCH</t>
        </is>
      </c>
      <c r="BD40" s="45" t="inlineStr">
        <is>
          <t>Y</t>
        </is>
      </c>
      <c r="BE40" s="45" t="inlineStr">
        <is>
          <t>BUILD</t>
        </is>
      </c>
    </row>
    <row r="41" ht="15" customHeight="1" s="35">
      <c r="A41" s="52">
        <f>D41&amp;"-"&amp;TEXT(U41,"00")&amp;"-"&amp;TEXT(N41,"00")</f>
        <v/>
      </c>
      <c r="B41" s="53" t="inlineStr">
        <is>
          <t>2404-16-24</t>
        </is>
      </c>
      <c r="C41" s="52">
        <f>A41</f>
        <v/>
      </c>
      <c r="D41" s="53" t="inlineStr">
        <is>
          <t>2404</t>
        </is>
      </c>
      <c r="E41" s="53" t="n">
        <v>64</v>
      </c>
      <c r="F41" s="53" t="inlineStr">
        <is>
          <t>https://parts.air-way.com/hydraulic-fittings/jic-and-beaded-hose-fittings/straight/2404-male-connector-series-64</t>
        </is>
      </c>
      <c r="G41" s="52">
        <f>"Male Connector, "&amp;T41&amp;" x "&amp;M41&amp;", "&amp;V41&amp;" x "&amp;O41</f>
        <v/>
      </c>
      <c r="H41" s="53" t="inlineStr">
        <is>
          <t>JIC 37 &amp; Beaded Hose</t>
        </is>
      </c>
      <c r="I41" s="53" t="inlineStr">
        <is>
          <t>Carbon Steel</t>
        </is>
      </c>
      <c r="J41" s="53" t="inlineStr">
        <is>
          <t>Straight</t>
        </is>
      </c>
      <c r="K41" s="53" t="n">
        <v>2</v>
      </c>
      <c r="L41" s="53" t="inlineStr">
        <is>
          <t>A</t>
        </is>
      </c>
      <c r="M41" s="53" t="inlineStr">
        <is>
          <t>Male Pipe NPTF</t>
        </is>
      </c>
      <c r="N41" s="53" t="n">
        <v>24</v>
      </c>
      <c r="O41" s="53" t="inlineStr">
        <is>
          <t>1 1/2-11 1/2</t>
        </is>
      </c>
      <c r="P41" s="53" t="inlineStr">
        <is>
          <t>NPTF Dryseal</t>
        </is>
      </c>
      <c r="Q41" s="53" t="inlineStr">
        <is>
          <t>ASME B1.20.3</t>
        </is>
      </c>
      <c r="R41" s="53" t="inlineStr">
        <is>
          <t>N/A (tapered thread seal)</t>
        </is>
      </c>
      <c r="S41" s="53" t="inlineStr">
        <is>
          <t>B</t>
        </is>
      </c>
      <c r="T41" s="53" t="inlineStr">
        <is>
          <t>Male 37 deg Flare (JIC)</t>
        </is>
      </c>
      <c r="U41" s="53" t="n">
        <v>16</v>
      </c>
      <c r="V41" s="53" t="inlineStr">
        <is>
          <t>1 5/16-12</t>
        </is>
      </c>
      <c r="W41" s="53" t="inlineStr">
        <is>
          <t>UN/UNF-2A</t>
        </is>
      </c>
      <c r="X41" s="53" t="inlineStr">
        <is>
          <t>SAE J514 / J514-1</t>
        </is>
      </c>
      <c r="Y41" s="53" t="n">
        <v>37</v>
      </c>
      <c r="Z41" s="53" t="n">
        <v>2.51</v>
      </c>
      <c r="AA41" s="53" t="n">
        <v>2</v>
      </c>
      <c r="AB41" s="53" t="n">
        <v>0.84</v>
      </c>
      <c r="AC41" s="53" t="n">
        <v>1.5</v>
      </c>
      <c r="AD41" s="54" t="n"/>
      <c r="AE41" s="54" t="n">
        <v>2</v>
      </c>
      <c r="AF41" s="53" t="n">
        <v>0</v>
      </c>
      <c r="AG41" s="53" t="n">
        <v>1</v>
      </c>
      <c r="AH41" s="53" t="inlineStr">
        <is>
          <t>1</t>
        </is>
      </c>
      <c r="AI41" s="54" t="n"/>
      <c r="AJ41" s="54" t="n"/>
      <c r="AK41" s="54" t="n"/>
      <c r="AL41" s="54" t="n"/>
      <c r="AM41" s="54" t="n"/>
      <c r="AN41" s="53" t="inlineStr">
        <is>
          <t>psi</t>
        </is>
      </c>
      <c r="AO41" s="54" t="n"/>
      <c r="AP41" s="54" t="n"/>
      <c r="AQ41" s="52">
        <f>SUBSTITUTE(A41,"/","_")</f>
        <v/>
      </c>
      <c r="AR41" s="52">
        <f>AQ41&amp;".pdf"</f>
        <v/>
      </c>
      <c r="AS41" s="52">
        <f>AQ41&amp;".step"</f>
        <v/>
      </c>
      <c r="AT41" s="53" t="inlineStr">
        <is>
          <t>ASSUMED</t>
        </is>
      </c>
      <c r="AU41" s="53" t="inlineStr">
        <is>
          <t>MATCH</t>
        </is>
      </c>
      <c r="AV41" s="53" t="inlineStr">
        <is>
          <t>Hex from Parker Cat4300 only - single source, not cross-checked.</t>
        </is>
      </c>
      <c r="AW41" s="53" t="inlineStr">
        <is>
          <t>Material/finish/pressure NOT published by Air-Way or OMi - awaiting client input</t>
        </is>
      </c>
      <c r="AX41" s="37" t="inlineStr">
        <is>
          <t>2</t>
        </is>
      </c>
      <c r="AY41" s="37" t="n"/>
      <c r="AZ41" s="37" t="n"/>
      <c r="BA41" s="44" t="inlineStr">
        <is>
          <t>SINGLE SOURCE</t>
        </is>
      </c>
      <c r="BB41" s="37" t="n">
        <v>2.5</v>
      </c>
      <c r="BC41" s="47" t="inlineStr">
        <is>
          <t>DIVERGENT (2.51 vs 2.5)</t>
        </is>
      </c>
      <c r="BD41" s="45" t="inlineStr">
        <is>
          <t>Y</t>
        </is>
      </c>
      <c r="BE41" s="45" t="inlineStr">
        <is>
          <t>BUILD</t>
        </is>
      </c>
    </row>
    <row r="42" ht="15" customHeight="1" s="35">
      <c r="A42" s="52">
        <f>D42&amp;"-"&amp;TEXT(U42,"00")&amp;"-"&amp;TEXT(N42,"00")</f>
        <v/>
      </c>
      <c r="B42" s="53" t="inlineStr">
        <is>
          <t>2404-20-12</t>
        </is>
      </c>
      <c r="C42" s="52">
        <f>A42</f>
        <v/>
      </c>
      <c r="D42" s="53" t="inlineStr">
        <is>
          <t>2404</t>
        </is>
      </c>
      <c r="E42" s="53" t="n">
        <v>64</v>
      </c>
      <c r="F42" s="53" t="inlineStr">
        <is>
          <t>https://parts.air-way.com/hydraulic-fittings/jic-and-beaded-hose-fittings/straight/2404-male-connector-series-64</t>
        </is>
      </c>
      <c r="G42" s="52">
        <f>"Male Connector, "&amp;T42&amp;" x "&amp;M42&amp;", "&amp;V42&amp;" x "&amp;O42</f>
        <v/>
      </c>
      <c r="H42" s="53" t="inlineStr">
        <is>
          <t>JIC 37 &amp; Beaded Hose</t>
        </is>
      </c>
      <c r="I42" s="53" t="inlineStr">
        <is>
          <t>Carbon Steel</t>
        </is>
      </c>
      <c r="J42" s="53" t="inlineStr">
        <is>
          <t>Straight</t>
        </is>
      </c>
      <c r="K42" s="53" t="n">
        <v>2</v>
      </c>
      <c r="L42" s="53" t="inlineStr">
        <is>
          <t>A</t>
        </is>
      </c>
      <c r="M42" s="53" t="inlineStr">
        <is>
          <t>Male Pipe NPTF</t>
        </is>
      </c>
      <c r="N42" s="53" t="n">
        <v>12</v>
      </c>
      <c r="O42" s="53" t="inlineStr">
        <is>
          <t>3/4-14</t>
        </is>
      </c>
      <c r="P42" s="53" t="inlineStr">
        <is>
          <t>NPTF Dryseal</t>
        </is>
      </c>
      <c r="Q42" s="53" t="inlineStr">
        <is>
          <t>ASME B1.20.3</t>
        </is>
      </c>
      <c r="R42" s="53" t="inlineStr">
        <is>
          <t>N/A (tapered thread seal)</t>
        </is>
      </c>
      <c r="S42" s="53" t="inlineStr">
        <is>
          <t>B</t>
        </is>
      </c>
      <c r="T42" s="53" t="inlineStr">
        <is>
          <t>Male 37 deg Flare (JIC)</t>
        </is>
      </c>
      <c r="U42" s="53" t="n">
        <v>20</v>
      </c>
      <c r="V42" s="53" t="inlineStr">
        <is>
          <t>1 5/8-12</t>
        </is>
      </c>
      <c r="W42" s="53" t="inlineStr">
        <is>
          <t>UN/UNF-2A</t>
        </is>
      </c>
      <c r="X42" s="53" t="inlineStr">
        <is>
          <t>SAE J514 / J514-1</t>
        </is>
      </c>
      <c r="Y42" s="53" t="n">
        <v>37</v>
      </c>
      <c r="Z42" s="53" t="n">
        <v>2.23</v>
      </c>
      <c r="AA42" s="53" t="n">
        <v>1.69</v>
      </c>
      <c r="AB42" s="53" t="n">
        <v>1.08</v>
      </c>
      <c r="AC42" s="53" t="n">
        <v>0.72</v>
      </c>
      <c r="AD42" s="54" t="n"/>
      <c r="AE42" s="54" t="n"/>
      <c r="AF42" s="53" t="n">
        <v>0</v>
      </c>
      <c r="AG42" s="53" t="n">
        <v>1.25</v>
      </c>
      <c r="AH42" s="53" t="inlineStr">
        <is>
          <t>1 1/4</t>
        </is>
      </c>
      <c r="AI42" s="54" t="n"/>
      <c r="AJ42" s="54" t="n"/>
      <c r="AK42" s="54" t="n"/>
      <c r="AL42" s="54" t="n"/>
      <c r="AM42" s="54" t="n"/>
      <c r="AN42" s="53" t="inlineStr">
        <is>
          <t>psi</t>
        </is>
      </c>
      <c r="AO42" s="54" t="n"/>
      <c r="AP42" s="54" t="n"/>
      <c r="AQ42" s="52">
        <f>SUBSTITUTE(A42,"/","_")</f>
        <v/>
      </c>
      <c r="AR42" s="52">
        <f>AQ42&amp;".pdf"</f>
        <v/>
      </c>
      <c r="AS42" s="52">
        <f>AQ42&amp;".step"</f>
        <v/>
      </c>
      <c r="AT42" s="53" t="inlineStr">
        <is>
          <t>MISSING</t>
        </is>
      </c>
      <c r="AU42" s="53" t="inlineStr">
        <is>
          <t>MATCH</t>
        </is>
      </c>
      <c r="AV42" s="53" t="inlineStr">
        <is>
          <t>SAE J514 JIC dash/thread chart (gageref.com), cross-checked vs source page</t>
        </is>
      </c>
      <c r="AW42" s="53" t="inlineStr">
        <is>
          <t>Material/finish/pressure NOT published by Air-Way or OMi - awaiting client input</t>
        </is>
      </c>
      <c r="AX42" s="37" t="n"/>
      <c r="AY42" s="37" t="n"/>
      <c r="AZ42" s="37" t="n"/>
      <c r="BA42" s="44" t="inlineStr">
        <is>
          <t>NO DATA</t>
        </is>
      </c>
      <c r="BB42" s="37" t="n"/>
      <c r="BC42" s="44" t="inlineStr">
        <is>
          <t>NO DATA</t>
        </is>
      </c>
      <c r="BD42" s="45" t="inlineStr">
        <is>
          <t>Y</t>
        </is>
      </c>
      <c r="BE42" s="45" t="inlineStr">
        <is>
          <t>BUILD</t>
        </is>
      </c>
    </row>
    <row r="43" ht="15" customHeight="1" s="35">
      <c r="A43" s="52">
        <f>D43&amp;"-"&amp;TEXT(U43,"00")&amp;"-"&amp;TEXT(N43,"00")</f>
        <v/>
      </c>
      <c r="B43" s="53" t="inlineStr">
        <is>
          <t>2404-20-16</t>
        </is>
      </c>
      <c r="C43" s="52">
        <f>A43</f>
        <v/>
      </c>
      <c r="D43" s="53" t="inlineStr">
        <is>
          <t>2404</t>
        </is>
      </c>
      <c r="E43" s="53" t="n">
        <v>64</v>
      </c>
      <c r="F43" s="53" t="inlineStr">
        <is>
          <t>https://parts.air-way.com/hydraulic-fittings/jic-and-beaded-hose-fittings/straight/2404-male-connector-series-64</t>
        </is>
      </c>
      <c r="G43" s="52">
        <f>"Male Connector, "&amp;T43&amp;" x "&amp;M43&amp;", "&amp;V43&amp;" x "&amp;O43</f>
        <v/>
      </c>
      <c r="H43" s="53" t="inlineStr">
        <is>
          <t>JIC 37 &amp; Beaded Hose</t>
        </is>
      </c>
      <c r="I43" s="53" t="inlineStr">
        <is>
          <t>Carbon Steel</t>
        </is>
      </c>
      <c r="J43" s="53" t="inlineStr">
        <is>
          <t>Straight</t>
        </is>
      </c>
      <c r="K43" s="53" t="n">
        <v>2</v>
      </c>
      <c r="L43" s="53" t="inlineStr">
        <is>
          <t>A</t>
        </is>
      </c>
      <c r="M43" s="53" t="inlineStr">
        <is>
          <t>Male Pipe NPTF</t>
        </is>
      </c>
      <c r="N43" s="53" t="n">
        <v>16</v>
      </c>
      <c r="O43" s="53" t="inlineStr">
        <is>
          <t>1-11 1/2</t>
        </is>
      </c>
      <c r="P43" s="53" t="inlineStr">
        <is>
          <t>NPTF Dryseal</t>
        </is>
      </c>
      <c r="Q43" s="53" t="inlineStr">
        <is>
          <t>ASME B1.20.3</t>
        </is>
      </c>
      <c r="R43" s="53" t="inlineStr">
        <is>
          <t>N/A (tapered thread seal)</t>
        </is>
      </c>
      <c r="S43" s="53" t="inlineStr">
        <is>
          <t>B</t>
        </is>
      </c>
      <c r="T43" s="53" t="inlineStr">
        <is>
          <t>Male 37 deg Flare (JIC)</t>
        </is>
      </c>
      <c r="U43" s="53" t="n">
        <v>20</v>
      </c>
      <c r="V43" s="53" t="inlineStr">
        <is>
          <t>1 5/8-12</t>
        </is>
      </c>
      <c r="W43" s="53" t="inlineStr">
        <is>
          <t>UN/UNF-2A</t>
        </is>
      </c>
      <c r="X43" s="53" t="inlineStr">
        <is>
          <t>SAE J514 / J514-1</t>
        </is>
      </c>
      <c r="Y43" s="53" t="n">
        <v>37</v>
      </c>
      <c r="Z43" s="53" t="n">
        <v>2.42</v>
      </c>
      <c r="AA43" s="53" t="n">
        <v>1.69</v>
      </c>
      <c r="AB43" s="53" t="n">
        <v>1.08</v>
      </c>
      <c r="AC43" s="53" t="n">
        <v>0.9399999999999999</v>
      </c>
      <c r="AD43" s="54" t="n"/>
      <c r="AE43" s="54" t="n">
        <v>1.6875</v>
      </c>
      <c r="AF43" s="53" t="n">
        <v>0</v>
      </c>
      <c r="AG43" s="53" t="n">
        <v>1.25</v>
      </c>
      <c r="AH43" s="53" t="inlineStr">
        <is>
          <t>1 1/4</t>
        </is>
      </c>
      <c r="AI43" s="54" t="n"/>
      <c r="AJ43" s="54" t="n"/>
      <c r="AK43" s="54" t="n"/>
      <c r="AL43" s="54" t="n"/>
      <c r="AM43" s="54" t="n"/>
      <c r="AN43" s="53" t="inlineStr">
        <is>
          <t>psi</t>
        </is>
      </c>
      <c r="AO43" s="54" t="n"/>
      <c r="AP43" s="54" t="n"/>
      <c r="AQ43" s="52">
        <f>SUBSTITUTE(A43,"/","_")</f>
        <v/>
      </c>
      <c r="AR43" s="52">
        <f>AQ43&amp;".pdf"</f>
        <v/>
      </c>
      <c r="AS43" s="52">
        <f>AQ43&amp;".step"</f>
        <v/>
      </c>
      <c r="AT43" s="53" t="inlineStr">
        <is>
          <t>ASSUMED</t>
        </is>
      </c>
      <c r="AU43" s="53" t="inlineStr">
        <is>
          <t>MATCH (L only)</t>
        </is>
      </c>
      <c r="AV43" s="53" t="inlineStr">
        <is>
          <t>Hex from Parker Cat4300 only - single source, not cross-checked.</t>
        </is>
      </c>
      <c r="AW43" s="53" t="inlineStr">
        <is>
          <t>Material/finish/pressure NOT published by Air-Way or OMi - awaiting client input</t>
        </is>
      </c>
      <c r="AX43" s="37" t="inlineStr">
        <is>
          <t>1 11/16</t>
        </is>
      </c>
      <c r="AY43" s="37" t="n"/>
      <c r="AZ43" s="37" t="n"/>
      <c r="BA43" s="44" t="inlineStr">
        <is>
          <t>SINGLE SOURCE</t>
        </is>
      </c>
      <c r="BB43" s="37" t="n">
        <v>2.42</v>
      </c>
      <c r="BC43" s="45" t="inlineStr">
        <is>
          <t>MATCH</t>
        </is>
      </c>
      <c r="BD43" s="45" t="inlineStr">
        <is>
          <t>Y</t>
        </is>
      </c>
      <c r="BE43" s="45" t="inlineStr">
        <is>
          <t>BUILD</t>
        </is>
      </c>
    </row>
    <row r="44" ht="15" customHeight="1" s="35">
      <c r="A44" s="52">
        <f>D44&amp;"-"&amp;TEXT(U44,"00")&amp;"-"&amp;TEXT(N44,"00")</f>
        <v/>
      </c>
      <c r="B44" s="53" t="inlineStr">
        <is>
          <t>2404-20-20</t>
        </is>
      </c>
      <c r="C44" s="52">
        <f>A44</f>
        <v/>
      </c>
      <c r="D44" s="53" t="inlineStr">
        <is>
          <t>2404</t>
        </is>
      </c>
      <c r="E44" s="53" t="n">
        <v>64</v>
      </c>
      <c r="F44" s="53" t="inlineStr">
        <is>
          <t>https://parts.air-way.com/hydraulic-fittings/jic-and-beaded-hose-fittings/straight/2404-male-connector-series-64</t>
        </is>
      </c>
      <c r="G44" s="52">
        <f>"Male Connector, "&amp;T44&amp;" x "&amp;M44&amp;", "&amp;V44&amp;" x "&amp;O44</f>
        <v/>
      </c>
      <c r="H44" s="53" t="inlineStr">
        <is>
          <t>JIC 37 &amp; Beaded Hose</t>
        </is>
      </c>
      <c r="I44" s="53" t="inlineStr">
        <is>
          <t>Carbon Steel</t>
        </is>
      </c>
      <c r="J44" s="53" t="inlineStr">
        <is>
          <t>Straight</t>
        </is>
      </c>
      <c r="K44" s="53" t="n">
        <v>2</v>
      </c>
      <c r="L44" s="53" t="inlineStr">
        <is>
          <t>A</t>
        </is>
      </c>
      <c r="M44" s="53" t="inlineStr">
        <is>
          <t>Male Pipe NPTF</t>
        </is>
      </c>
      <c r="N44" s="53" t="n">
        <v>20</v>
      </c>
      <c r="O44" s="53" t="inlineStr">
        <is>
          <t>1 1/4-11 1/2</t>
        </is>
      </c>
      <c r="P44" s="53" t="inlineStr">
        <is>
          <t>NPTF Dryseal</t>
        </is>
      </c>
      <c r="Q44" s="53" t="inlineStr">
        <is>
          <t>ASME B1.20.3</t>
        </is>
      </c>
      <c r="R44" s="53" t="inlineStr">
        <is>
          <t>N/A (tapered thread seal)</t>
        </is>
      </c>
      <c r="S44" s="53" t="inlineStr">
        <is>
          <t>B</t>
        </is>
      </c>
      <c r="T44" s="53" t="inlineStr">
        <is>
          <t>Male 37 deg Flare (JIC)</t>
        </is>
      </c>
      <c r="U44" s="53" t="n">
        <v>20</v>
      </c>
      <c r="V44" s="53" t="inlineStr">
        <is>
          <t>1 5/8-12</t>
        </is>
      </c>
      <c r="W44" s="53" t="inlineStr">
        <is>
          <t>UN/UNF-2A</t>
        </is>
      </c>
      <c r="X44" s="53" t="inlineStr">
        <is>
          <t>SAE J514 / J514-1</t>
        </is>
      </c>
      <c r="Y44" s="53" t="n">
        <v>37</v>
      </c>
      <c r="Z44" s="53" t="n">
        <v>2.45</v>
      </c>
      <c r="AA44" s="53" t="n">
        <v>1.69</v>
      </c>
      <c r="AB44" s="53" t="n">
        <v>1.08</v>
      </c>
      <c r="AC44" s="53" t="n">
        <v>1.25</v>
      </c>
      <c r="AD44" s="54" t="n"/>
      <c r="AE44" s="55" t="n">
        <v>1.6875</v>
      </c>
      <c r="AF44" s="53" t="n">
        <v>0</v>
      </c>
      <c r="AG44" s="53" t="n">
        <v>1.25</v>
      </c>
      <c r="AH44" s="53" t="inlineStr">
        <is>
          <t>1 1/4</t>
        </is>
      </c>
      <c r="AI44" s="54" t="n"/>
      <c r="AJ44" s="54" t="n"/>
      <c r="AK44" s="54" t="n"/>
      <c r="AL44" s="54" t="n"/>
      <c r="AM44" s="54" t="n"/>
      <c r="AN44" s="53" t="inlineStr">
        <is>
          <t>psi</t>
        </is>
      </c>
      <c r="AO44" s="54" t="n"/>
      <c r="AP44" s="54" t="n"/>
      <c r="AQ44" s="52">
        <f>SUBSTITUTE(A44,"/","_")</f>
        <v/>
      </c>
      <c r="AR44" s="52">
        <f>AQ44&amp;".pdf"</f>
        <v/>
      </c>
      <c r="AS44" s="52">
        <f>AQ44&amp;".step"</f>
        <v/>
      </c>
      <c r="AT44" s="53" t="inlineStr">
        <is>
          <t>VERIFIED</t>
        </is>
      </c>
      <c r="AU44" s="53" t="inlineStr">
        <is>
          <t>MATCH</t>
        </is>
      </c>
      <c r="AV44" s="53" t="inlineStr">
        <is>
          <t>L: Air-Way vs Parker Cat4300. Hex: 2+ independent sources agree.</t>
        </is>
      </c>
      <c r="AW44" s="53" t="inlineStr">
        <is>
          <t>Material/finish/pressure NOT published by Air-Way or OMi - awaiting client input</t>
        </is>
      </c>
      <c r="AX44" s="37" t="inlineStr">
        <is>
          <t>1 11/16</t>
        </is>
      </c>
      <c r="AY44" s="37" t="inlineStr">
        <is>
          <t>1 11/16</t>
        </is>
      </c>
      <c r="AZ44" s="37" t="n"/>
      <c r="BA44" s="45" t="inlineStr">
        <is>
          <t>AGREE</t>
        </is>
      </c>
      <c r="BB44" s="37" t="n">
        <v>2.45</v>
      </c>
      <c r="BC44" s="45" t="inlineStr">
        <is>
          <t>MATCH</t>
        </is>
      </c>
      <c r="BD44" s="45" t="inlineStr">
        <is>
          <t>Y</t>
        </is>
      </c>
      <c r="BE44" s="45" t="inlineStr">
        <is>
          <t>BUILD</t>
        </is>
      </c>
    </row>
    <row r="45" ht="15" customHeight="1" s="35">
      <c r="A45" s="52">
        <f>D45&amp;"-"&amp;TEXT(U45,"00")&amp;"-"&amp;TEXT(N45,"00")</f>
        <v/>
      </c>
      <c r="B45" s="53" t="inlineStr">
        <is>
          <t>2404-20-24</t>
        </is>
      </c>
      <c r="C45" s="52">
        <f>A45</f>
        <v/>
      </c>
      <c r="D45" s="53" t="inlineStr">
        <is>
          <t>2404</t>
        </is>
      </c>
      <c r="E45" s="53" t="n">
        <v>64</v>
      </c>
      <c r="F45" s="53" t="inlineStr">
        <is>
          <t>https://parts.air-way.com/hydraulic-fittings/jic-and-beaded-hose-fittings/straight/2404-male-connector-series-64</t>
        </is>
      </c>
      <c r="G45" s="52">
        <f>"Male Connector, "&amp;T45&amp;" x "&amp;M45&amp;", "&amp;V45&amp;" x "&amp;O45</f>
        <v/>
      </c>
      <c r="H45" s="53" t="inlineStr">
        <is>
          <t>JIC 37 &amp; Beaded Hose</t>
        </is>
      </c>
      <c r="I45" s="53" t="inlineStr">
        <is>
          <t>Carbon Steel</t>
        </is>
      </c>
      <c r="J45" s="53" t="inlineStr">
        <is>
          <t>Straight</t>
        </is>
      </c>
      <c r="K45" s="53" t="n">
        <v>2</v>
      </c>
      <c r="L45" s="53" t="inlineStr">
        <is>
          <t>A</t>
        </is>
      </c>
      <c r="M45" s="53" t="inlineStr">
        <is>
          <t>Male Pipe NPTF</t>
        </is>
      </c>
      <c r="N45" s="53" t="n">
        <v>24</v>
      </c>
      <c r="O45" s="53" t="inlineStr">
        <is>
          <t>1 1/2-11 1/2</t>
        </is>
      </c>
      <c r="P45" s="53" t="inlineStr">
        <is>
          <t>NPTF Dryseal</t>
        </is>
      </c>
      <c r="Q45" s="53" t="inlineStr">
        <is>
          <t>ASME B1.20.3</t>
        </is>
      </c>
      <c r="R45" s="53" t="inlineStr">
        <is>
          <t>N/A (tapered thread seal)</t>
        </is>
      </c>
      <c r="S45" s="53" t="inlineStr">
        <is>
          <t>B</t>
        </is>
      </c>
      <c r="T45" s="53" t="inlineStr">
        <is>
          <t>Male 37 deg Flare (JIC)</t>
        </is>
      </c>
      <c r="U45" s="53" t="n">
        <v>20</v>
      </c>
      <c r="V45" s="53" t="inlineStr">
        <is>
          <t>1 5/8-12</t>
        </is>
      </c>
      <c r="W45" s="53" t="inlineStr">
        <is>
          <t>UN/UNF-2A</t>
        </is>
      </c>
      <c r="X45" s="53" t="inlineStr">
        <is>
          <t>SAE J514 / J514-1</t>
        </is>
      </c>
      <c r="Y45" s="53" t="n">
        <v>37</v>
      </c>
      <c r="Z45" s="53" t="n">
        <v>2.55</v>
      </c>
      <c r="AA45" s="53" t="n">
        <v>2</v>
      </c>
      <c r="AB45" s="53" t="n">
        <v>1.08</v>
      </c>
      <c r="AC45" s="53" t="n">
        <v>1.5</v>
      </c>
      <c r="AD45" s="54" t="n"/>
      <c r="AE45" s="54" t="n">
        <v>2</v>
      </c>
      <c r="AF45" s="53" t="n">
        <v>0</v>
      </c>
      <c r="AG45" s="53" t="n">
        <v>1.25</v>
      </c>
      <c r="AH45" s="53" t="inlineStr">
        <is>
          <t>1 1/4</t>
        </is>
      </c>
      <c r="AI45" s="54" t="n"/>
      <c r="AJ45" s="54" t="n"/>
      <c r="AK45" s="54" t="n"/>
      <c r="AL45" s="54" t="n"/>
      <c r="AM45" s="54" t="n"/>
      <c r="AN45" s="53" t="inlineStr">
        <is>
          <t>psi</t>
        </is>
      </c>
      <c r="AO45" s="54" t="n"/>
      <c r="AP45" s="54" t="n"/>
      <c r="AQ45" s="52">
        <f>SUBSTITUTE(A45,"/","_")</f>
        <v/>
      </c>
      <c r="AR45" s="52">
        <f>AQ45&amp;".pdf"</f>
        <v/>
      </c>
      <c r="AS45" s="52">
        <f>AQ45&amp;".step"</f>
        <v/>
      </c>
      <c r="AT45" s="53" t="inlineStr">
        <is>
          <t>ASSUMED</t>
        </is>
      </c>
      <c r="AU45" s="53" t="inlineStr">
        <is>
          <t>MATCH (L only)</t>
        </is>
      </c>
      <c r="AV45" s="53" t="inlineStr">
        <is>
          <t>Hex from Parker Cat4300 only - single source, not cross-checked.</t>
        </is>
      </c>
      <c r="AW45" s="53" t="inlineStr">
        <is>
          <t>Material/finish/pressure NOT published by Air-Way or OMi - awaiting client input</t>
        </is>
      </c>
      <c r="AX45" s="37" t="inlineStr">
        <is>
          <t>2</t>
        </is>
      </c>
      <c r="AY45" s="37" t="n"/>
      <c r="AZ45" s="37" t="n"/>
      <c r="BA45" s="44" t="inlineStr">
        <is>
          <t>SINGLE SOURCE</t>
        </is>
      </c>
      <c r="BB45" s="37" t="n">
        <v>2.55</v>
      </c>
      <c r="BC45" s="45" t="inlineStr">
        <is>
          <t>MATCH</t>
        </is>
      </c>
      <c r="BD45" s="45" t="inlineStr">
        <is>
          <t>Y</t>
        </is>
      </c>
      <c r="BE45" s="45" t="inlineStr">
        <is>
          <t>BUILD</t>
        </is>
      </c>
    </row>
    <row r="46" ht="15" customHeight="1" s="35">
      <c r="A46" s="52">
        <f>D46&amp;"-"&amp;TEXT(U46,"00")&amp;"-"&amp;TEXT(N46,"00")</f>
        <v/>
      </c>
      <c r="B46" s="53" t="inlineStr">
        <is>
          <t>2404-20-32</t>
        </is>
      </c>
      <c r="C46" s="52">
        <f>A46</f>
        <v/>
      </c>
      <c r="D46" s="53" t="inlineStr">
        <is>
          <t>2404</t>
        </is>
      </c>
      <c r="E46" s="53" t="n">
        <v>64</v>
      </c>
      <c r="F46" s="53" t="inlineStr">
        <is>
          <t>https://parts.air-way.com/hydraulic-fittings/jic-and-beaded-hose-fittings/straight/2404-male-connector-series-64</t>
        </is>
      </c>
      <c r="G46" s="52">
        <f>"Male Connector, "&amp;T46&amp;" x "&amp;M46&amp;", "&amp;V46&amp;" x "&amp;O46</f>
        <v/>
      </c>
      <c r="H46" s="53" t="inlineStr">
        <is>
          <t>JIC 37 &amp; Beaded Hose</t>
        </is>
      </c>
      <c r="I46" s="53" t="inlineStr">
        <is>
          <t>Carbon Steel</t>
        </is>
      </c>
      <c r="J46" s="53" t="inlineStr">
        <is>
          <t>Straight</t>
        </is>
      </c>
      <c r="K46" s="53" t="n">
        <v>2</v>
      </c>
      <c r="L46" s="53" t="inlineStr">
        <is>
          <t>A</t>
        </is>
      </c>
      <c r="M46" s="53" t="inlineStr">
        <is>
          <t>Male Pipe NPTF</t>
        </is>
      </c>
      <c r="N46" s="53" t="n">
        <v>32</v>
      </c>
      <c r="O46" s="53" t="inlineStr">
        <is>
          <t>2-11 1/2</t>
        </is>
      </c>
      <c r="P46" s="53" t="inlineStr">
        <is>
          <t>NPTF Dryseal</t>
        </is>
      </c>
      <c r="Q46" s="53" t="inlineStr">
        <is>
          <t>ASME B1.20.3</t>
        </is>
      </c>
      <c r="R46" s="53" t="inlineStr">
        <is>
          <t>N/A (tapered thread seal)</t>
        </is>
      </c>
      <c r="S46" s="53" t="inlineStr">
        <is>
          <t>B</t>
        </is>
      </c>
      <c r="T46" s="53" t="inlineStr">
        <is>
          <t>Male 37 deg Flare (JIC)</t>
        </is>
      </c>
      <c r="U46" s="53" t="n">
        <v>20</v>
      </c>
      <c r="V46" s="53" t="inlineStr">
        <is>
          <t>1 5/8-12</t>
        </is>
      </c>
      <c r="W46" s="53" t="inlineStr">
        <is>
          <t>UN/UNF-2A</t>
        </is>
      </c>
      <c r="X46" s="53" t="inlineStr">
        <is>
          <t>SAE J514 / J514-1</t>
        </is>
      </c>
      <c r="Y46" s="53" t="n">
        <v>37</v>
      </c>
      <c r="Z46" s="53" t="n">
        <v>2.73</v>
      </c>
      <c r="AA46" s="53" t="n">
        <v>2.5</v>
      </c>
      <c r="AB46" s="53" t="n">
        <v>1.08</v>
      </c>
      <c r="AC46" s="53" t="n">
        <v>1.94</v>
      </c>
      <c r="AD46" s="54" t="n"/>
      <c r="AE46" s="54" t="n"/>
      <c r="AF46" s="53" t="n">
        <v>0</v>
      </c>
      <c r="AG46" s="53" t="n">
        <v>1.25</v>
      </c>
      <c r="AH46" s="53" t="inlineStr">
        <is>
          <t>1 1/4</t>
        </is>
      </c>
      <c r="AI46" s="54" t="n"/>
      <c r="AJ46" s="54" t="n"/>
      <c r="AK46" s="54" t="n"/>
      <c r="AL46" s="54" t="n"/>
      <c r="AM46" s="54" t="n"/>
      <c r="AN46" s="53" t="inlineStr">
        <is>
          <t>psi</t>
        </is>
      </c>
      <c r="AO46" s="54" t="n"/>
      <c r="AP46" s="54" t="n"/>
      <c r="AQ46" s="52">
        <f>SUBSTITUTE(A46,"/","_")</f>
        <v/>
      </c>
      <c r="AR46" s="52">
        <f>AQ46&amp;".pdf"</f>
        <v/>
      </c>
      <c r="AS46" s="52">
        <f>AQ46&amp;".step"</f>
        <v/>
      </c>
      <c r="AT46" s="53" t="inlineStr">
        <is>
          <t>MISSING</t>
        </is>
      </c>
      <c r="AU46" s="53" t="inlineStr">
        <is>
          <t>MATCH</t>
        </is>
      </c>
      <c r="AV46" s="53" t="inlineStr">
        <is>
          <t>SAE J514 JIC dash/thread chart (gageref.com), cross-checked vs source page</t>
        </is>
      </c>
      <c r="AW46" s="53" t="inlineStr">
        <is>
          <t>Material/finish/pressure NOT published by Air-Way or OMi - awaiting client input</t>
        </is>
      </c>
      <c r="AX46" s="37" t="n"/>
      <c r="AY46" s="37" t="n"/>
      <c r="AZ46" s="37" t="n"/>
      <c r="BA46" s="44" t="inlineStr">
        <is>
          <t>NO DATA</t>
        </is>
      </c>
      <c r="BB46" s="37" t="n"/>
      <c r="BC46" s="44" t="inlineStr">
        <is>
          <t>NO DATA</t>
        </is>
      </c>
      <c r="BD46" s="45" t="inlineStr">
        <is>
          <t>Y</t>
        </is>
      </c>
      <c r="BE46" s="45" t="inlineStr">
        <is>
          <t>BUILD</t>
        </is>
      </c>
    </row>
    <row r="47" ht="15" customHeight="1" s="35">
      <c r="A47" s="52">
        <f>D47&amp;"-"&amp;TEXT(U47,"00")&amp;"-"&amp;TEXT(N47,"00")</f>
        <v/>
      </c>
      <c r="B47" s="53" t="inlineStr">
        <is>
          <t>2404-24-12</t>
        </is>
      </c>
      <c r="C47" s="52">
        <f>A47</f>
        <v/>
      </c>
      <c r="D47" s="53" t="inlineStr">
        <is>
          <t>2404</t>
        </is>
      </c>
      <c r="E47" s="53" t="n">
        <v>64</v>
      </c>
      <c r="F47" s="53" t="inlineStr">
        <is>
          <t>https://parts.air-way.com/hydraulic-fittings/jic-and-beaded-hose-fittings/straight/2404-male-connector-series-64</t>
        </is>
      </c>
      <c r="G47" s="52">
        <f>"Male Connector, "&amp;T47&amp;" x "&amp;M47&amp;", "&amp;V47&amp;" x "&amp;O47</f>
        <v/>
      </c>
      <c r="H47" s="53" t="inlineStr">
        <is>
          <t>JIC 37 &amp; Beaded Hose</t>
        </is>
      </c>
      <c r="I47" s="53" t="inlineStr">
        <is>
          <t>Carbon Steel</t>
        </is>
      </c>
      <c r="J47" s="53" t="inlineStr">
        <is>
          <t>Straight</t>
        </is>
      </c>
      <c r="K47" s="53" t="n">
        <v>2</v>
      </c>
      <c r="L47" s="53" t="inlineStr">
        <is>
          <t>A</t>
        </is>
      </c>
      <c r="M47" s="53" t="inlineStr">
        <is>
          <t>Male Pipe NPTF</t>
        </is>
      </c>
      <c r="N47" s="53" t="n">
        <v>12</v>
      </c>
      <c r="O47" s="53" t="inlineStr">
        <is>
          <t>3/4-14</t>
        </is>
      </c>
      <c r="P47" s="53" t="inlineStr">
        <is>
          <t>NPTF Dryseal</t>
        </is>
      </c>
      <c r="Q47" s="53" t="inlineStr">
        <is>
          <t>ASME B1.20.3</t>
        </is>
      </c>
      <c r="R47" s="53" t="inlineStr">
        <is>
          <t>N/A (tapered thread seal)</t>
        </is>
      </c>
      <c r="S47" s="53" t="inlineStr">
        <is>
          <t>B</t>
        </is>
      </c>
      <c r="T47" s="53" t="inlineStr">
        <is>
          <t>Male 37 deg Flare (JIC)</t>
        </is>
      </c>
      <c r="U47" s="53" t="n">
        <v>24</v>
      </c>
      <c r="V47" s="53" t="inlineStr">
        <is>
          <t>1 7/8-12</t>
        </is>
      </c>
      <c r="W47" s="53" t="inlineStr">
        <is>
          <t>UN/UNF-2A</t>
        </is>
      </c>
      <c r="X47" s="53" t="inlineStr">
        <is>
          <t>SAE J514 / J514-1</t>
        </is>
      </c>
      <c r="Y47" s="53" t="n">
        <v>37</v>
      </c>
      <c r="Z47" s="53" t="n">
        <v>2.43</v>
      </c>
      <c r="AA47" s="53" t="n">
        <v>2</v>
      </c>
      <c r="AB47" s="53" t="n">
        <v>1.32</v>
      </c>
      <c r="AC47" s="53" t="n">
        <v>0.72</v>
      </c>
      <c r="AD47" s="54" t="n"/>
      <c r="AE47" s="54" t="n"/>
      <c r="AF47" s="53" t="n">
        <v>0</v>
      </c>
      <c r="AG47" s="53" t="n">
        <v>1.5</v>
      </c>
      <c r="AH47" s="53" t="inlineStr">
        <is>
          <t>1 1/2</t>
        </is>
      </c>
      <c r="AI47" s="54" t="n"/>
      <c r="AJ47" s="54" t="n"/>
      <c r="AK47" s="54" t="n"/>
      <c r="AL47" s="54" t="n"/>
      <c r="AM47" s="54" t="n"/>
      <c r="AN47" s="53" t="inlineStr">
        <is>
          <t>psi</t>
        </is>
      </c>
      <c r="AO47" s="54" t="n"/>
      <c r="AP47" s="54" t="n"/>
      <c r="AQ47" s="52">
        <f>SUBSTITUTE(A47,"/","_")</f>
        <v/>
      </c>
      <c r="AR47" s="52">
        <f>AQ47&amp;".pdf"</f>
        <v/>
      </c>
      <c r="AS47" s="52">
        <f>AQ47&amp;".step"</f>
        <v/>
      </c>
      <c r="AT47" s="53" t="inlineStr">
        <is>
          <t>MISSING</t>
        </is>
      </c>
      <c r="AU47" s="53" t="inlineStr">
        <is>
          <t>MATCH</t>
        </is>
      </c>
      <c r="AV47" s="53" t="inlineStr">
        <is>
          <t>SAE J514 JIC dash/thread chart (gageref.com), cross-checked vs source page</t>
        </is>
      </c>
      <c r="AW47" s="53" t="inlineStr">
        <is>
          <t>NOT in the OMi carbon steel catalog - out of scope, do not model.</t>
        </is>
      </c>
      <c r="AX47" s="37" t="n"/>
      <c r="AY47" s="37" t="n"/>
      <c r="AZ47" s="37" t="n"/>
      <c r="BA47" s="44" t="inlineStr">
        <is>
          <t>NO DATA</t>
        </is>
      </c>
      <c r="BB47" s="37" t="n"/>
      <c r="BC47" s="44" t="inlineStr">
        <is>
          <t>NO DATA</t>
        </is>
      </c>
      <c r="BD47" s="47" t="inlineStr">
        <is>
          <t>N</t>
        </is>
      </c>
      <c r="BE47" s="47" t="inlineStr">
        <is>
          <t>DROP</t>
        </is>
      </c>
    </row>
    <row r="48" ht="15" customHeight="1" s="35">
      <c r="A48" s="52">
        <f>D48&amp;"-"&amp;TEXT(U48,"00")&amp;"-"&amp;TEXT(N48,"00")</f>
        <v/>
      </c>
      <c r="B48" s="53" t="inlineStr">
        <is>
          <t>2404-24-16</t>
        </is>
      </c>
      <c r="C48" s="52">
        <f>A48</f>
        <v/>
      </c>
      <c r="D48" s="53" t="inlineStr">
        <is>
          <t>2404</t>
        </is>
      </c>
      <c r="E48" s="53" t="n">
        <v>64</v>
      </c>
      <c r="F48" s="53" t="inlineStr">
        <is>
          <t>https://parts.air-way.com/hydraulic-fittings/jic-and-beaded-hose-fittings/straight/2404-male-connector-series-64</t>
        </is>
      </c>
      <c r="G48" s="52">
        <f>"Male Connector, "&amp;T48&amp;" x "&amp;M48&amp;", "&amp;V48&amp;" x "&amp;O48</f>
        <v/>
      </c>
      <c r="H48" s="53" t="inlineStr">
        <is>
          <t>JIC 37 &amp; Beaded Hose</t>
        </is>
      </c>
      <c r="I48" s="53" t="inlineStr">
        <is>
          <t>Carbon Steel</t>
        </is>
      </c>
      <c r="J48" s="53" t="inlineStr">
        <is>
          <t>Straight</t>
        </is>
      </c>
      <c r="K48" s="53" t="n">
        <v>2</v>
      </c>
      <c r="L48" s="53" t="inlineStr">
        <is>
          <t>A</t>
        </is>
      </c>
      <c r="M48" s="53" t="inlineStr">
        <is>
          <t>Male Pipe NPTF</t>
        </is>
      </c>
      <c r="N48" s="53" t="n">
        <v>16</v>
      </c>
      <c r="O48" s="53" t="inlineStr">
        <is>
          <t>1-11 1/2</t>
        </is>
      </c>
      <c r="P48" s="53" t="inlineStr">
        <is>
          <t>NPTF Dryseal</t>
        </is>
      </c>
      <c r="Q48" s="53" t="inlineStr">
        <is>
          <t>ASME B1.20.3</t>
        </is>
      </c>
      <c r="R48" s="53" t="inlineStr">
        <is>
          <t>N/A (tapered thread seal)</t>
        </is>
      </c>
      <c r="S48" s="53" t="inlineStr">
        <is>
          <t>B</t>
        </is>
      </c>
      <c r="T48" s="53" t="inlineStr">
        <is>
          <t>Male 37 deg Flare (JIC)</t>
        </is>
      </c>
      <c r="U48" s="53" t="n">
        <v>24</v>
      </c>
      <c r="V48" s="53" t="inlineStr">
        <is>
          <t>1 7/8-12</t>
        </is>
      </c>
      <c r="W48" s="53" t="inlineStr">
        <is>
          <t>UN/UNF-2A</t>
        </is>
      </c>
      <c r="X48" s="53" t="inlineStr">
        <is>
          <t>SAE J514 / J514-1</t>
        </is>
      </c>
      <c r="Y48" s="53" t="n">
        <v>37</v>
      </c>
      <c r="Z48" s="53" t="n">
        <v>2.62</v>
      </c>
      <c r="AA48" s="53" t="n">
        <v>2</v>
      </c>
      <c r="AB48" s="53" t="n">
        <v>1.31</v>
      </c>
      <c r="AC48" s="53" t="n">
        <v>0.9399999999999999</v>
      </c>
      <c r="AD48" s="54" t="n"/>
      <c r="AE48" s="54" t="n">
        <v>2</v>
      </c>
      <c r="AF48" s="53" t="n">
        <v>0</v>
      </c>
      <c r="AG48" s="53" t="n">
        <v>1.5</v>
      </c>
      <c r="AH48" s="53" t="inlineStr">
        <is>
          <t>1 1/2</t>
        </is>
      </c>
      <c r="AI48" s="54" t="n"/>
      <c r="AJ48" s="54" t="n"/>
      <c r="AK48" s="54" t="n"/>
      <c r="AL48" s="54" t="n"/>
      <c r="AM48" s="54" t="n"/>
      <c r="AN48" s="53" t="inlineStr">
        <is>
          <t>psi</t>
        </is>
      </c>
      <c r="AO48" s="54" t="n"/>
      <c r="AP48" s="54" t="n"/>
      <c r="AQ48" s="52">
        <f>SUBSTITUTE(A48,"/","_")</f>
        <v/>
      </c>
      <c r="AR48" s="52">
        <f>AQ48&amp;".pdf"</f>
        <v/>
      </c>
      <c r="AS48" s="52">
        <f>AQ48&amp;".step"</f>
        <v/>
      </c>
      <c r="AT48" s="53" t="inlineStr">
        <is>
          <t>ASSUMED</t>
        </is>
      </c>
      <c r="AU48" s="53" t="inlineStr">
        <is>
          <t>MATCH (L only)</t>
        </is>
      </c>
      <c r="AV48" s="53" t="inlineStr">
        <is>
          <t>Hex from Parker Cat4300 only - single source, not cross-checked.</t>
        </is>
      </c>
      <c r="AW48" s="53" t="inlineStr">
        <is>
          <t>Material/finish/pressure NOT published by Air-Way or OMi - awaiting client input</t>
        </is>
      </c>
      <c r="AX48" s="37" t="inlineStr">
        <is>
          <t>2</t>
        </is>
      </c>
      <c r="AY48" s="37" t="n"/>
      <c r="AZ48" s="37" t="n"/>
      <c r="BA48" s="44" t="inlineStr">
        <is>
          <t>SINGLE SOURCE</t>
        </is>
      </c>
      <c r="BB48" s="37" t="n">
        <v>2.62</v>
      </c>
      <c r="BC48" s="45" t="inlineStr">
        <is>
          <t>MATCH</t>
        </is>
      </c>
      <c r="BD48" s="45" t="inlineStr">
        <is>
          <t>Y</t>
        </is>
      </c>
      <c r="BE48" s="45" t="inlineStr">
        <is>
          <t>BUILD</t>
        </is>
      </c>
    </row>
    <row r="49" ht="15" customHeight="1" s="35">
      <c r="A49" s="52">
        <f>D49&amp;"-"&amp;TEXT(U49,"00")&amp;"-"&amp;TEXT(N49,"00")</f>
        <v/>
      </c>
      <c r="B49" s="53" t="inlineStr">
        <is>
          <t>2404-24-20</t>
        </is>
      </c>
      <c r="C49" s="52">
        <f>A49</f>
        <v/>
      </c>
      <c r="D49" s="53" t="inlineStr">
        <is>
          <t>2404</t>
        </is>
      </c>
      <c r="E49" s="53" t="n">
        <v>64</v>
      </c>
      <c r="F49" s="53" t="inlineStr">
        <is>
          <t>https://parts.air-way.com/hydraulic-fittings/jic-and-beaded-hose-fittings/straight/2404-male-connector-series-64</t>
        </is>
      </c>
      <c r="G49" s="52">
        <f>"Male Connector, "&amp;T49&amp;" x "&amp;M49&amp;", "&amp;V49&amp;" x "&amp;O49</f>
        <v/>
      </c>
      <c r="H49" s="53" t="inlineStr">
        <is>
          <t>JIC 37 &amp; Beaded Hose</t>
        </is>
      </c>
      <c r="I49" s="53" t="inlineStr">
        <is>
          <t>Carbon Steel</t>
        </is>
      </c>
      <c r="J49" s="53" t="inlineStr">
        <is>
          <t>Straight</t>
        </is>
      </c>
      <c r="K49" s="53" t="n">
        <v>2</v>
      </c>
      <c r="L49" s="53" t="inlineStr">
        <is>
          <t>A</t>
        </is>
      </c>
      <c r="M49" s="53" t="inlineStr">
        <is>
          <t>Male Pipe NPTF</t>
        </is>
      </c>
      <c r="N49" s="53" t="n">
        <v>20</v>
      </c>
      <c r="O49" s="53" t="inlineStr">
        <is>
          <t>1 1/4-11 1/2</t>
        </is>
      </c>
      <c r="P49" s="53" t="inlineStr">
        <is>
          <t>NPTF Dryseal</t>
        </is>
      </c>
      <c r="Q49" s="53" t="inlineStr">
        <is>
          <t>ASME B1.20.3</t>
        </is>
      </c>
      <c r="R49" s="53" t="inlineStr">
        <is>
          <t>N/A (tapered thread seal)</t>
        </is>
      </c>
      <c r="S49" s="53" t="inlineStr">
        <is>
          <t>B</t>
        </is>
      </c>
      <c r="T49" s="53" t="inlineStr">
        <is>
          <t>Male 37 deg Flare (JIC)</t>
        </is>
      </c>
      <c r="U49" s="53" t="n">
        <v>24</v>
      </c>
      <c r="V49" s="53" t="inlineStr">
        <is>
          <t>1 7/8-12</t>
        </is>
      </c>
      <c r="W49" s="53" t="inlineStr">
        <is>
          <t>UN/UNF-2A</t>
        </is>
      </c>
      <c r="X49" s="53" t="inlineStr">
        <is>
          <t>SAE J514 / J514-1</t>
        </is>
      </c>
      <c r="Y49" s="53" t="n">
        <v>37</v>
      </c>
      <c r="Z49" s="53" t="n">
        <v>2.65</v>
      </c>
      <c r="AA49" s="53" t="n">
        <v>2</v>
      </c>
      <c r="AB49" s="53" t="n">
        <v>1.31</v>
      </c>
      <c r="AC49" s="53" t="n">
        <v>1.25</v>
      </c>
      <c r="AD49" s="54" t="n"/>
      <c r="AE49" s="54" t="n">
        <v>2</v>
      </c>
      <c r="AF49" s="53" t="n">
        <v>0</v>
      </c>
      <c r="AG49" s="53" t="n">
        <v>1.5</v>
      </c>
      <c r="AH49" s="53" t="inlineStr">
        <is>
          <t>1 1/2</t>
        </is>
      </c>
      <c r="AI49" s="54" t="n"/>
      <c r="AJ49" s="54" t="n"/>
      <c r="AK49" s="54" t="n"/>
      <c r="AL49" s="54" t="n"/>
      <c r="AM49" s="54" t="n"/>
      <c r="AN49" s="53" t="inlineStr">
        <is>
          <t>psi</t>
        </is>
      </c>
      <c r="AO49" s="54" t="n"/>
      <c r="AP49" s="54" t="n"/>
      <c r="AQ49" s="52">
        <f>SUBSTITUTE(A49,"/","_")</f>
        <v/>
      </c>
      <c r="AR49" s="52">
        <f>AQ49&amp;".pdf"</f>
        <v/>
      </c>
      <c r="AS49" s="52">
        <f>AQ49&amp;".step"</f>
        <v/>
      </c>
      <c r="AT49" s="53" t="inlineStr">
        <is>
          <t>ASSUMED</t>
        </is>
      </c>
      <c r="AU49" s="53" t="inlineStr">
        <is>
          <t>MATCH</t>
        </is>
      </c>
      <c r="AV49" s="53" t="inlineStr">
        <is>
          <t>Hex from Parker Cat4300 only - single source, not cross-checked.</t>
        </is>
      </c>
      <c r="AW49" s="53" t="inlineStr">
        <is>
          <t>Material/finish/pressure NOT published by Air-Way or OMi - awaiting client input</t>
        </is>
      </c>
      <c r="AX49" s="37" t="inlineStr">
        <is>
          <t>2</t>
        </is>
      </c>
      <c r="AY49" s="37" t="n"/>
      <c r="AZ49" s="37" t="n"/>
      <c r="BA49" s="44" t="inlineStr">
        <is>
          <t>SINGLE SOURCE</t>
        </is>
      </c>
      <c r="BB49" s="37" t="n">
        <v>2.66</v>
      </c>
      <c r="BC49" s="47" t="inlineStr">
        <is>
          <t>DIVERGENT (2.65 vs 2.66)</t>
        </is>
      </c>
      <c r="BD49" s="45" t="inlineStr">
        <is>
          <t>Y</t>
        </is>
      </c>
      <c r="BE49" s="45" t="inlineStr">
        <is>
          <t>BUILD</t>
        </is>
      </c>
    </row>
    <row r="50" ht="15" customHeight="1" s="35">
      <c r="A50" s="52">
        <f>D50&amp;"-"&amp;TEXT(U50,"00")&amp;"-"&amp;TEXT(N50,"00")</f>
        <v/>
      </c>
      <c r="B50" s="53" t="inlineStr">
        <is>
          <t>2404-24-24</t>
        </is>
      </c>
      <c r="C50" s="52">
        <f>A50</f>
        <v/>
      </c>
      <c r="D50" s="53" t="inlineStr">
        <is>
          <t>2404</t>
        </is>
      </c>
      <c r="E50" s="53" t="n">
        <v>64</v>
      </c>
      <c r="F50" s="53" t="inlineStr">
        <is>
          <t>https://parts.air-way.com/hydraulic-fittings/jic-and-beaded-hose-fittings/straight/2404-male-connector-series-64</t>
        </is>
      </c>
      <c r="G50" s="52">
        <f>"Male Connector, "&amp;T50&amp;" x "&amp;M50&amp;", "&amp;V50&amp;" x "&amp;O50</f>
        <v/>
      </c>
      <c r="H50" s="53" t="inlineStr">
        <is>
          <t>JIC 37 &amp; Beaded Hose</t>
        </is>
      </c>
      <c r="I50" s="53" t="inlineStr">
        <is>
          <t>Carbon Steel</t>
        </is>
      </c>
      <c r="J50" s="53" t="inlineStr">
        <is>
          <t>Straight</t>
        </is>
      </c>
      <c r="K50" s="53" t="n">
        <v>2</v>
      </c>
      <c r="L50" s="53" t="inlineStr">
        <is>
          <t>A</t>
        </is>
      </c>
      <c r="M50" s="53" t="inlineStr">
        <is>
          <t>Male Pipe NPTF</t>
        </is>
      </c>
      <c r="N50" s="53" t="n">
        <v>24</v>
      </c>
      <c r="O50" s="53" t="inlineStr">
        <is>
          <t>1 1/2-11 1/2</t>
        </is>
      </c>
      <c r="P50" s="53" t="inlineStr">
        <is>
          <t>NPTF Dryseal</t>
        </is>
      </c>
      <c r="Q50" s="53" t="inlineStr">
        <is>
          <t>ASME B1.20.3</t>
        </is>
      </c>
      <c r="R50" s="53" t="inlineStr">
        <is>
          <t>N/A (tapered thread seal)</t>
        </is>
      </c>
      <c r="S50" s="53" t="inlineStr">
        <is>
          <t>B</t>
        </is>
      </c>
      <c r="T50" s="53" t="inlineStr">
        <is>
          <t>Male 37 deg Flare (JIC)</t>
        </is>
      </c>
      <c r="U50" s="53" t="n">
        <v>24</v>
      </c>
      <c r="V50" s="53" t="inlineStr">
        <is>
          <t>1 7/8-12</t>
        </is>
      </c>
      <c r="W50" s="53" t="inlineStr">
        <is>
          <t>UN/UNF-2A</t>
        </is>
      </c>
      <c r="X50" s="53" t="inlineStr">
        <is>
          <t>SAE J514 / J514-1</t>
        </is>
      </c>
      <c r="Y50" s="53" t="n">
        <v>37</v>
      </c>
      <c r="Z50" s="53" t="n">
        <v>2.68</v>
      </c>
      <c r="AA50" s="53" t="n">
        <v>2</v>
      </c>
      <c r="AB50" s="53" t="n">
        <v>1.31</v>
      </c>
      <c r="AC50" s="53" t="n">
        <v>1.5</v>
      </c>
      <c r="AD50" s="54" t="n"/>
      <c r="AE50" s="55" t="n">
        <v>2</v>
      </c>
      <c r="AF50" s="53" t="n">
        <v>0</v>
      </c>
      <c r="AG50" s="53" t="n">
        <v>1.5</v>
      </c>
      <c r="AH50" s="53" t="inlineStr">
        <is>
          <t>1 1/2</t>
        </is>
      </c>
      <c r="AI50" s="54" t="n"/>
      <c r="AJ50" s="54" t="n"/>
      <c r="AK50" s="54" t="n"/>
      <c r="AL50" s="54" t="n"/>
      <c r="AM50" s="54" t="n"/>
      <c r="AN50" s="53" t="inlineStr">
        <is>
          <t>psi</t>
        </is>
      </c>
      <c r="AO50" s="54" t="n"/>
      <c r="AP50" s="54" t="n"/>
      <c r="AQ50" s="52">
        <f>SUBSTITUTE(A50,"/","_")</f>
        <v/>
      </c>
      <c r="AR50" s="52">
        <f>AQ50&amp;".pdf"</f>
        <v/>
      </c>
      <c r="AS50" s="52">
        <f>AQ50&amp;".step"</f>
        <v/>
      </c>
      <c r="AT50" s="53" t="inlineStr">
        <is>
          <t>VERIFIED</t>
        </is>
      </c>
      <c r="AU50" s="53" t="inlineStr">
        <is>
          <t>MATCH</t>
        </is>
      </c>
      <c r="AV50" s="53" t="inlineStr">
        <is>
          <t>L: Air-Way vs Parker Cat4300. Hex: 2+ independent sources agree.</t>
        </is>
      </c>
      <c r="AW50" s="53" t="inlineStr">
        <is>
          <t>Material/finish/pressure NOT published by Air-Way or OMi - awaiting client input</t>
        </is>
      </c>
      <c r="AX50" s="37" t="inlineStr">
        <is>
          <t>2</t>
        </is>
      </c>
      <c r="AY50" s="37" t="inlineStr">
        <is>
          <t>2</t>
        </is>
      </c>
      <c r="AZ50" s="37" t="n"/>
      <c r="BA50" s="45" t="inlineStr">
        <is>
          <t>AGREE</t>
        </is>
      </c>
      <c r="BB50" s="37" t="n">
        <v>2.68</v>
      </c>
      <c r="BC50" s="45" t="inlineStr">
        <is>
          <t>MATCH</t>
        </is>
      </c>
      <c r="BD50" s="45" t="inlineStr">
        <is>
          <t>Y</t>
        </is>
      </c>
      <c r="BE50" s="45" t="inlineStr">
        <is>
          <t>BUILD</t>
        </is>
      </c>
    </row>
    <row r="51" ht="15" customHeight="1" s="35">
      <c r="A51" s="52">
        <f>D51&amp;"-"&amp;TEXT(U51,"00")&amp;"-"&amp;TEXT(N51,"00")</f>
        <v/>
      </c>
      <c r="B51" s="53" t="inlineStr">
        <is>
          <t>2404-24-32</t>
        </is>
      </c>
      <c r="C51" s="52">
        <f>A51</f>
        <v/>
      </c>
      <c r="D51" s="53" t="inlineStr">
        <is>
          <t>2404</t>
        </is>
      </c>
      <c r="E51" s="53" t="n">
        <v>64</v>
      </c>
      <c r="F51" s="53" t="inlineStr">
        <is>
          <t>https://parts.air-way.com/hydraulic-fittings/jic-and-beaded-hose-fittings/straight/2404-male-connector-series-64</t>
        </is>
      </c>
      <c r="G51" s="52">
        <f>"Male Connector, "&amp;T51&amp;" x "&amp;M51&amp;", "&amp;V51&amp;" x "&amp;O51</f>
        <v/>
      </c>
      <c r="H51" s="53" t="inlineStr">
        <is>
          <t>JIC 37 &amp; Beaded Hose</t>
        </is>
      </c>
      <c r="I51" s="53" t="inlineStr">
        <is>
          <t>Carbon Steel</t>
        </is>
      </c>
      <c r="J51" s="53" t="inlineStr">
        <is>
          <t>Straight</t>
        </is>
      </c>
      <c r="K51" s="53" t="n">
        <v>2</v>
      </c>
      <c r="L51" s="53" t="inlineStr">
        <is>
          <t>A</t>
        </is>
      </c>
      <c r="M51" s="53" t="inlineStr">
        <is>
          <t>Male Pipe NPTF</t>
        </is>
      </c>
      <c r="N51" s="53" t="n">
        <v>32</v>
      </c>
      <c r="O51" s="53" t="inlineStr">
        <is>
          <t>2-11 1/2</t>
        </is>
      </c>
      <c r="P51" s="53" t="inlineStr">
        <is>
          <t>NPTF Dryseal</t>
        </is>
      </c>
      <c r="Q51" s="53" t="inlineStr">
        <is>
          <t>ASME B1.20.3</t>
        </is>
      </c>
      <c r="R51" s="53" t="inlineStr">
        <is>
          <t>N/A (tapered thread seal)</t>
        </is>
      </c>
      <c r="S51" s="53" t="inlineStr">
        <is>
          <t>B</t>
        </is>
      </c>
      <c r="T51" s="53" t="inlineStr">
        <is>
          <t>Male 37 deg Flare (JIC)</t>
        </is>
      </c>
      <c r="U51" s="53" t="n">
        <v>24</v>
      </c>
      <c r="V51" s="53" t="inlineStr">
        <is>
          <t>1 7/8-12</t>
        </is>
      </c>
      <c r="W51" s="53" t="inlineStr">
        <is>
          <t>UN/UNF-2A</t>
        </is>
      </c>
      <c r="X51" s="53" t="inlineStr">
        <is>
          <t>SAE J514 / J514-1</t>
        </is>
      </c>
      <c r="Y51" s="53" t="n">
        <v>37</v>
      </c>
      <c r="Z51" s="53" t="n">
        <v>2.86</v>
      </c>
      <c r="AA51" s="53" t="n">
        <v>2.63</v>
      </c>
      <c r="AB51" s="53" t="n">
        <v>1.31</v>
      </c>
      <c r="AC51" s="53" t="n">
        <v>1.94</v>
      </c>
      <c r="AD51" s="54" t="n"/>
      <c r="AE51" s="54" t="n">
        <v>2.625</v>
      </c>
      <c r="AF51" s="53" t="n">
        <v>0</v>
      </c>
      <c r="AG51" s="53" t="n">
        <v>1.5</v>
      </c>
      <c r="AH51" s="53" t="inlineStr">
        <is>
          <t>1 1/2</t>
        </is>
      </c>
      <c r="AI51" s="54" t="n"/>
      <c r="AJ51" s="54" t="n"/>
      <c r="AK51" s="54" t="n"/>
      <c r="AL51" s="54" t="n"/>
      <c r="AM51" s="54" t="n"/>
      <c r="AN51" s="53" t="inlineStr">
        <is>
          <t>psi</t>
        </is>
      </c>
      <c r="AO51" s="54" t="n"/>
      <c r="AP51" s="54" t="n"/>
      <c r="AQ51" s="52">
        <f>SUBSTITUTE(A51,"/","_")</f>
        <v/>
      </c>
      <c r="AR51" s="52">
        <f>AQ51&amp;".pdf"</f>
        <v/>
      </c>
      <c r="AS51" s="52">
        <f>AQ51&amp;".step"</f>
        <v/>
      </c>
      <c r="AT51" s="53" t="inlineStr">
        <is>
          <t>ASSUMED</t>
        </is>
      </c>
      <c r="AU51" s="53" t="inlineStr">
        <is>
          <t>MATCH (L only)</t>
        </is>
      </c>
      <c r="AV51" s="53" t="inlineStr">
        <is>
          <t>Hex from Parker Cat4300 only - single source, not cross-checked.</t>
        </is>
      </c>
      <c r="AW51" s="53" t="inlineStr">
        <is>
          <t>Material/finish/pressure NOT published by Air-Way or OMi - awaiting client input</t>
        </is>
      </c>
      <c r="AX51" s="37" t="inlineStr">
        <is>
          <t>2 5/8</t>
        </is>
      </c>
      <c r="AY51" s="37" t="n"/>
      <c r="AZ51" s="37" t="n"/>
      <c r="BA51" s="44" t="inlineStr">
        <is>
          <t>SINGLE SOURCE</t>
        </is>
      </c>
      <c r="BB51" s="37" t="n">
        <v>2.86</v>
      </c>
      <c r="BC51" s="45" t="inlineStr">
        <is>
          <t>MATCH</t>
        </is>
      </c>
      <c r="BD51" s="45" t="inlineStr">
        <is>
          <t>Y</t>
        </is>
      </c>
      <c r="BE51" s="45" t="inlineStr">
        <is>
          <t>BUILD</t>
        </is>
      </c>
    </row>
    <row r="52" ht="15" customHeight="1" s="35">
      <c r="A52" s="52">
        <f>D52&amp;"-"&amp;TEXT(U52,"00")&amp;"-"&amp;TEXT(N52,"00")</f>
        <v/>
      </c>
      <c r="B52" s="53" t="inlineStr">
        <is>
          <t>2404-32-24</t>
        </is>
      </c>
      <c r="C52" s="52">
        <f>A52</f>
        <v/>
      </c>
      <c r="D52" s="53" t="inlineStr">
        <is>
          <t>2404</t>
        </is>
      </c>
      <c r="E52" s="53" t="n">
        <v>64</v>
      </c>
      <c r="F52" s="53" t="inlineStr">
        <is>
          <t>https://parts.air-way.com/hydraulic-fittings/jic-and-beaded-hose-fittings/straight/2404-male-connector-series-64</t>
        </is>
      </c>
      <c r="G52" s="52">
        <f>"Male Connector, "&amp;T52&amp;" x "&amp;M52&amp;", "&amp;V52&amp;" x "&amp;O52</f>
        <v/>
      </c>
      <c r="H52" s="53" t="inlineStr">
        <is>
          <t>JIC 37 &amp; Beaded Hose</t>
        </is>
      </c>
      <c r="I52" s="53" t="inlineStr">
        <is>
          <t>Carbon Steel</t>
        </is>
      </c>
      <c r="J52" s="53" t="inlineStr">
        <is>
          <t>Straight</t>
        </is>
      </c>
      <c r="K52" s="53" t="n">
        <v>2</v>
      </c>
      <c r="L52" s="53" t="inlineStr">
        <is>
          <t>A</t>
        </is>
      </c>
      <c r="M52" s="53" t="inlineStr">
        <is>
          <t>Male Pipe NPTF</t>
        </is>
      </c>
      <c r="N52" s="53" t="n">
        <v>24</v>
      </c>
      <c r="O52" s="53" t="inlineStr">
        <is>
          <t>1 1/2-11 1/2</t>
        </is>
      </c>
      <c r="P52" s="53" t="inlineStr">
        <is>
          <t>NPTF Dryseal</t>
        </is>
      </c>
      <c r="Q52" s="53" t="inlineStr">
        <is>
          <t>ASME B1.20.3</t>
        </is>
      </c>
      <c r="R52" s="53" t="inlineStr">
        <is>
          <t>N/A (tapered thread seal)</t>
        </is>
      </c>
      <c r="S52" s="53" t="inlineStr">
        <is>
          <t>B</t>
        </is>
      </c>
      <c r="T52" s="53" t="inlineStr">
        <is>
          <t>Male 37 deg Flare (JIC)</t>
        </is>
      </c>
      <c r="U52" s="53" t="n">
        <v>32</v>
      </c>
      <c r="V52" s="53" t="inlineStr">
        <is>
          <t>2 1/2-12</t>
        </is>
      </c>
      <c r="W52" s="53" t="inlineStr">
        <is>
          <t>UN/UNF-2A</t>
        </is>
      </c>
      <c r="X52" s="53" t="inlineStr">
        <is>
          <t>SAE J514 / J514-1</t>
        </is>
      </c>
      <c r="Y52" s="53" t="n">
        <v>37</v>
      </c>
      <c r="Z52" s="53" t="n">
        <v>3.08</v>
      </c>
      <c r="AA52" s="53" t="n">
        <v>2.63</v>
      </c>
      <c r="AB52" s="53" t="n">
        <v>1.78</v>
      </c>
      <c r="AC52" s="53" t="n">
        <v>1.5</v>
      </c>
      <c r="AD52" s="54" t="n"/>
      <c r="AE52" s="54" t="n">
        <v>2.625</v>
      </c>
      <c r="AF52" s="53" t="n">
        <v>0</v>
      </c>
      <c r="AG52" s="53" t="n">
        <v>2</v>
      </c>
      <c r="AH52" s="53" t="inlineStr">
        <is>
          <t>2</t>
        </is>
      </c>
      <c r="AI52" s="54" t="n"/>
      <c r="AJ52" s="54" t="n"/>
      <c r="AK52" s="54" t="n"/>
      <c r="AL52" s="54" t="n"/>
      <c r="AM52" s="54" t="n"/>
      <c r="AN52" s="53" t="inlineStr">
        <is>
          <t>psi</t>
        </is>
      </c>
      <c r="AO52" s="54" t="n"/>
      <c r="AP52" s="54" t="n"/>
      <c r="AQ52" s="52">
        <f>SUBSTITUTE(A52,"/","_")</f>
        <v/>
      </c>
      <c r="AR52" s="52">
        <f>AQ52&amp;".pdf"</f>
        <v/>
      </c>
      <c r="AS52" s="52">
        <f>AQ52&amp;".step"</f>
        <v/>
      </c>
      <c r="AT52" s="53" t="inlineStr">
        <is>
          <t>ASSUMED</t>
        </is>
      </c>
      <c r="AU52" s="53" t="inlineStr">
        <is>
          <t>MATCH (L only)</t>
        </is>
      </c>
      <c r="AV52" s="53" t="inlineStr">
        <is>
          <t>Hex from Parker Cat4300 only - single source, not cross-checked.</t>
        </is>
      </c>
      <c r="AW52" s="53" t="inlineStr">
        <is>
          <t>Material/finish/pressure NOT published by Air-Way or OMi - awaiting client input</t>
        </is>
      </c>
      <c r="AX52" s="37" t="inlineStr">
        <is>
          <t>2 5/8</t>
        </is>
      </c>
      <c r="AY52" s="37" t="n"/>
      <c r="AZ52" s="37" t="n"/>
      <c r="BA52" s="44" t="inlineStr">
        <is>
          <t>SINGLE SOURCE</t>
        </is>
      </c>
      <c r="BB52" s="37" t="n">
        <v>3.08</v>
      </c>
      <c r="BC52" s="45" t="inlineStr">
        <is>
          <t>MATCH</t>
        </is>
      </c>
      <c r="BD52" s="45" t="inlineStr">
        <is>
          <t>Y</t>
        </is>
      </c>
      <c r="BE52" s="45" t="inlineStr">
        <is>
          <t>BUILD</t>
        </is>
      </c>
    </row>
    <row r="53" ht="15" customHeight="1" s="35">
      <c r="A53" s="52">
        <f>D53&amp;"-"&amp;TEXT(U53,"00")&amp;"-"&amp;TEXT(N53,"00")</f>
        <v/>
      </c>
      <c r="B53" s="53" t="inlineStr">
        <is>
          <t>2404-32-32</t>
        </is>
      </c>
      <c r="C53" s="52">
        <f>A53</f>
        <v/>
      </c>
      <c r="D53" s="53" t="inlineStr">
        <is>
          <t>2404</t>
        </is>
      </c>
      <c r="E53" s="53" t="n">
        <v>64</v>
      </c>
      <c r="F53" s="53" t="inlineStr">
        <is>
          <t>https://parts.air-way.com/hydraulic-fittings/jic-and-beaded-hose-fittings/straight/2404-male-connector-series-64</t>
        </is>
      </c>
      <c r="G53" s="52">
        <f>"Male Connector, "&amp;T53&amp;" x "&amp;M53&amp;", "&amp;V53&amp;" x "&amp;O53</f>
        <v/>
      </c>
      <c r="H53" s="53" t="inlineStr">
        <is>
          <t>JIC 37 &amp; Beaded Hose</t>
        </is>
      </c>
      <c r="I53" s="53" t="inlineStr">
        <is>
          <t>Carbon Steel</t>
        </is>
      </c>
      <c r="J53" s="53" t="inlineStr">
        <is>
          <t>Straight</t>
        </is>
      </c>
      <c r="K53" s="53" t="n">
        <v>2</v>
      </c>
      <c r="L53" s="53" t="inlineStr">
        <is>
          <t>A</t>
        </is>
      </c>
      <c r="M53" s="53" t="inlineStr">
        <is>
          <t>Male Pipe NPTF</t>
        </is>
      </c>
      <c r="N53" s="53" t="n">
        <v>32</v>
      </c>
      <c r="O53" s="53" t="inlineStr">
        <is>
          <t>2-11 1/2</t>
        </is>
      </c>
      <c r="P53" s="53" t="inlineStr">
        <is>
          <t>NPTF Dryseal</t>
        </is>
      </c>
      <c r="Q53" s="53" t="inlineStr">
        <is>
          <t>ASME B1.20.3</t>
        </is>
      </c>
      <c r="R53" s="53" t="inlineStr">
        <is>
          <t>N/A (tapered thread seal)</t>
        </is>
      </c>
      <c r="S53" s="53" t="inlineStr">
        <is>
          <t>B</t>
        </is>
      </c>
      <c r="T53" s="53" t="inlineStr">
        <is>
          <t>Male 37 deg Flare (JIC)</t>
        </is>
      </c>
      <c r="U53" s="53" t="n">
        <v>32</v>
      </c>
      <c r="V53" s="53" t="inlineStr">
        <is>
          <t>2 1/2-12</t>
        </is>
      </c>
      <c r="W53" s="53" t="inlineStr">
        <is>
          <t>UN/UNF-2A</t>
        </is>
      </c>
      <c r="X53" s="53" t="inlineStr">
        <is>
          <t>SAE J514 / J514-1</t>
        </is>
      </c>
      <c r="Y53" s="53" t="n">
        <v>37</v>
      </c>
      <c r="Z53" s="53" t="n">
        <v>3.11</v>
      </c>
      <c r="AA53" s="53" t="n">
        <v>2.63</v>
      </c>
      <c r="AB53" s="53" t="n">
        <v>1.78</v>
      </c>
      <c r="AC53" s="53" t="n">
        <v>1.94</v>
      </c>
      <c r="AD53" s="54" t="n"/>
      <c r="AE53" s="55" t="n">
        <v>2.625</v>
      </c>
      <c r="AF53" s="53" t="n">
        <v>0</v>
      </c>
      <c r="AG53" s="53" t="n">
        <v>2</v>
      </c>
      <c r="AH53" s="53" t="inlineStr">
        <is>
          <t>2</t>
        </is>
      </c>
      <c r="AI53" s="54" t="n"/>
      <c r="AJ53" s="54" t="n"/>
      <c r="AK53" s="54" t="n"/>
      <c r="AL53" s="54" t="n"/>
      <c r="AM53" s="54" t="n"/>
      <c r="AN53" s="53" t="inlineStr">
        <is>
          <t>psi</t>
        </is>
      </c>
      <c r="AO53" s="54" t="n"/>
      <c r="AP53" s="54" t="n"/>
      <c r="AQ53" s="52">
        <f>SUBSTITUTE(A53,"/","_")</f>
        <v/>
      </c>
      <c r="AR53" s="52">
        <f>AQ53&amp;".pdf"</f>
        <v/>
      </c>
      <c r="AS53" s="52">
        <f>AQ53&amp;".step"</f>
        <v/>
      </c>
      <c r="AT53" s="53" t="inlineStr">
        <is>
          <t>VERIFIED</t>
        </is>
      </c>
      <c r="AU53" s="53" t="inlineStr">
        <is>
          <t>MATCH</t>
        </is>
      </c>
      <c r="AV53" s="53" t="inlineStr">
        <is>
          <t>L: Air-Way vs Parker Cat4300. Hex: 2+ independent sources agree.</t>
        </is>
      </c>
      <c r="AW53" s="53" t="inlineStr">
        <is>
          <t>Material/finish/pressure NOT published by Air-Way or OMi - awaiting client input</t>
        </is>
      </c>
      <c r="AX53" s="37" t="inlineStr">
        <is>
          <t>2 5/8</t>
        </is>
      </c>
      <c r="AY53" s="37" t="inlineStr">
        <is>
          <t>2 5/8</t>
        </is>
      </c>
      <c r="AZ53" s="37" t="inlineStr">
        <is>
          <t>2 5/8</t>
        </is>
      </c>
      <c r="BA53" s="45" t="inlineStr">
        <is>
          <t>AGREE</t>
        </is>
      </c>
      <c r="BB53" s="37" t="n">
        <v>3.11</v>
      </c>
      <c r="BC53" s="45" t="inlineStr">
        <is>
          <t>MATCH</t>
        </is>
      </c>
      <c r="BD53" s="45" t="inlineStr">
        <is>
          <t>Y</t>
        </is>
      </c>
      <c r="BE53" s="45" t="inlineStr">
        <is>
          <t>BUILD</t>
        </is>
      </c>
    </row>
    <row r="54" ht="15" customHeight="1" s="35">
      <c r="A54" s="56">
        <f>D54&amp;"-"&amp;TEXT(U54,"00")&amp;"-"&amp;TEXT(N54,"00")</f>
        <v/>
      </c>
      <c r="C54" s="56">
        <f>A54</f>
        <v/>
      </c>
      <c r="D54" s="46" t="inlineStr">
        <is>
          <t>2404</t>
        </is>
      </c>
      <c r="E54" s="46" t="n">
        <v>64</v>
      </c>
      <c r="G54" s="56">
        <f>"Male Connector, "&amp;T54&amp;" x "&amp;M54&amp;", "&amp;V54&amp;" x "&amp;O54</f>
        <v/>
      </c>
      <c r="H54" s="46" t="inlineStr">
        <is>
          <t>JIC 37 &amp; Beaded Hose</t>
        </is>
      </c>
      <c r="I54" s="46" t="inlineStr">
        <is>
          <t>Carbon Steel</t>
        </is>
      </c>
      <c r="J54" s="46" t="inlineStr">
        <is>
          <t>Straight</t>
        </is>
      </c>
      <c r="K54" s="46" t="n">
        <v>2</v>
      </c>
      <c r="L54" s="46" t="inlineStr">
        <is>
          <t>A</t>
        </is>
      </c>
      <c r="M54" s="46" t="inlineStr">
        <is>
          <t>Male Pipe NPTF</t>
        </is>
      </c>
      <c r="N54" s="46" t="n">
        <v>4</v>
      </c>
      <c r="O54" s="46" t="inlineStr">
        <is>
          <t>1/4-18</t>
        </is>
      </c>
      <c r="P54" s="46" t="inlineStr">
        <is>
          <t>NPTF Dryseal</t>
        </is>
      </c>
      <c r="Q54" s="46" t="inlineStr">
        <is>
          <t>ASME B1.20.3</t>
        </is>
      </c>
      <c r="R54" s="46" t="inlineStr">
        <is>
          <t>N/A (tapered thread seal)</t>
        </is>
      </c>
      <c r="S54" s="46" t="inlineStr">
        <is>
          <t>B</t>
        </is>
      </c>
      <c r="T54" s="46" t="inlineStr">
        <is>
          <t>Male 37 deg Flare (JIC)</t>
        </is>
      </c>
      <c r="U54" s="46" t="n">
        <v>2</v>
      </c>
      <c r="V54" s="46" t="inlineStr">
        <is>
          <t>5/16-24</t>
        </is>
      </c>
      <c r="W54" s="46" t="inlineStr">
        <is>
          <t>UN/UNF-2A</t>
        </is>
      </c>
      <c r="X54" s="46" t="inlineStr">
        <is>
          <t>SAE J514 / J514-1</t>
        </is>
      </c>
      <c r="Y54" s="46" t="n">
        <v>37</v>
      </c>
      <c r="AF54" s="46" t="n">
        <v>0</v>
      </c>
      <c r="AN54" s="46" t="inlineStr">
        <is>
          <t>psi</t>
        </is>
      </c>
      <c r="AQ54" s="56">
        <f>SUBSTITUTE(A54,"/","_")</f>
        <v/>
      </c>
      <c r="AR54" s="56">
        <f>AQ54&amp;".pdf"</f>
        <v/>
      </c>
      <c r="AS54" s="56">
        <f>AQ54&amp;".step"</f>
        <v/>
      </c>
      <c r="AT54" s="46" t="inlineStr">
        <is>
          <t>MISSING</t>
        </is>
      </c>
      <c r="AU54" s="46" t="inlineStr">
        <is>
          <t>-</t>
        </is>
      </c>
      <c r="AV54" s="46" t="inlineStr">
        <is>
          <t>-</t>
        </is>
      </c>
      <c r="AW54" s="46" t="inlineStr">
        <is>
          <t>IN OMi CATALOG BUT ABSENT FROM THE AIR-WAY 2404 TABLE - no dimensional source yet</t>
        </is>
      </c>
      <c r="BD54" s="45" t="inlineStr">
        <is>
          <t>Y</t>
        </is>
      </c>
      <c r="BE54" s="46" t="inlineStr">
        <is>
          <t>BUILD</t>
        </is>
      </c>
    </row>
    <row r="55" ht="15" customHeight="1" s="35">
      <c r="A55" s="56">
        <f>D55&amp;"-"&amp;TEXT(U55,"00")&amp;"-"&amp;TEXT(N55,"00")</f>
        <v/>
      </c>
      <c r="C55" s="56">
        <f>A55</f>
        <v/>
      </c>
      <c r="D55" s="46" t="inlineStr">
        <is>
          <t>2404</t>
        </is>
      </c>
      <c r="E55" s="46" t="n">
        <v>64</v>
      </c>
      <c r="G55" s="56">
        <f>"Male Connector, "&amp;T55&amp;" x "&amp;M55&amp;", "&amp;V55&amp;" x "&amp;O55</f>
        <v/>
      </c>
      <c r="H55" s="46" t="inlineStr">
        <is>
          <t>JIC 37 &amp; Beaded Hose</t>
        </is>
      </c>
      <c r="I55" s="46" t="inlineStr">
        <is>
          <t>Carbon Steel</t>
        </is>
      </c>
      <c r="J55" s="46" t="inlineStr">
        <is>
          <t>Straight</t>
        </is>
      </c>
      <c r="K55" s="46" t="n">
        <v>2</v>
      </c>
      <c r="L55" s="46" t="inlineStr">
        <is>
          <t>A</t>
        </is>
      </c>
      <c r="M55" s="46" t="inlineStr">
        <is>
          <t>Male Pipe NPTF</t>
        </is>
      </c>
      <c r="N55" s="46" t="n">
        <v>2</v>
      </c>
      <c r="O55" s="46" t="inlineStr">
        <is>
          <t>1/8-27</t>
        </is>
      </c>
      <c r="P55" s="46" t="inlineStr">
        <is>
          <t>NPTF Dryseal</t>
        </is>
      </c>
      <c r="Q55" s="46" t="inlineStr">
        <is>
          <t>ASME B1.20.3</t>
        </is>
      </c>
      <c r="R55" s="46" t="inlineStr">
        <is>
          <t>N/A (tapered thread seal)</t>
        </is>
      </c>
      <c r="S55" s="46" t="inlineStr">
        <is>
          <t>B</t>
        </is>
      </c>
      <c r="T55" s="46" t="inlineStr">
        <is>
          <t>Male 37 deg Flare (JIC)</t>
        </is>
      </c>
      <c r="U55" s="46" t="n">
        <v>8</v>
      </c>
      <c r="V55" s="46" t="inlineStr">
        <is>
          <t>3/4-16</t>
        </is>
      </c>
      <c r="W55" s="46" t="inlineStr">
        <is>
          <t>UN/UNF-2A</t>
        </is>
      </c>
      <c r="X55" s="46" t="inlineStr">
        <is>
          <t>SAE J514 / J514-1</t>
        </is>
      </c>
      <c r="Y55" s="46" t="n">
        <v>37</v>
      </c>
      <c r="AF55" s="46" t="n">
        <v>0</v>
      </c>
      <c r="AN55" s="46" t="inlineStr">
        <is>
          <t>psi</t>
        </is>
      </c>
      <c r="AQ55" s="56">
        <f>SUBSTITUTE(A55,"/","_")</f>
        <v/>
      </c>
      <c r="AR55" s="56">
        <f>AQ55&amp;".pdf"</f>
        <v/>
      </c>
      <c r="AS55" s="56">
        <f>AQ55&amp;".step"</f>
        <v/>
      </c>
      <c r="AT55" s="46" t="inlineStr">
        <is>
          <t>MISSING</t>
        </is>
      </c>
      <c r="AU55" s="46" t="inlineStr">
        <is>
          <t>-</t>
        </is>
      </c>
      <c r="AV55" s="46" t="inlineStr">
        <is>
          <t>-</t>
        </is>
      </c>
      <c r="AW55" s="46" t="inlineStr">
        <is>
          <t>IN OMi CATALOG BUT ABSENT FROM THE AIR-WAY 2404 TABLE - no dimensional source yet</t>
        </is>
      </c>
      <c r="BD55" s="45" t="inlineStr">
        <is>
          <t>Y</t>
        </is>
      </c>
      <c r="BE55" s="46" t="inlineStr">
        <is>
          <t>BUILD</t>
        </is>
      </c>
    </row>
    <row r="56" ht="15" customHeight="1" s="35">
      <c r="A56" s="56">
        <f>D56&amp;"-"&amp;TEXT(U56,"00")&amp;"-"&amp;TEXT(N56,"00")</f>
        <v/>
      </c>
      <c r="C56" s="56">
        <f>A56</f>
        <v/>
      </c>
      <c r="D56" s="46" t="inlineStr">
        <is>
          <t>2404</t>
        </is>
      </c>
      <c r="E56" s="46" t="n">
        <v>64</v>
      </c>
      <c r="G56" s="56">
        <f>"Male Connector, "&amp;T56&amp;" x "&amp;M56&amp;", "&amp;V56&amp;" x "&amp;O56</f>
        <v/>
      </c>
      <c r="H56" s="46" t="inlineStr">
        <is>
          <t>JIC 37 &amp; Beaded Hose</t>
        </is>
      </c>
      <c r="I56" s="46" t="inlineStr">
        <is>
          <t>Carbon Steel</t>
        </is>
      </c>
      <c r="J56" s="46" t="inlineStr">
        <is>
          <t>Straight</t>
        </is>
      </c>
      <c r="K56" s="46" t="n">
        <v>2</v>
      </c>
      <c r="L56" s="46" t="inlineStr">
        <is>
          <t>A</t>
        </is>
      </c>
      <c r="M56" s="46" t="inlineStr">
        <is>
          <t>Male Pipe NPTF</t>
        </is>
      </c>
      <c r="N56" s="46" t="n">
        <v>32</v>
      </c>
      <c r="O56" s="46" t="inlineStr">
        <is>
          <t>2-11 1/2</t>
        </is>
      </c>
      <c r="P56" s="46" t="inlineStr">
        <is>
          <t>NPTF Dryseal</t>
        </is>
      </c>
      <c r="Q56" s="46" t="inlineStr">
        <is>
          <t>ASME B1.20.3</t>
        </is>
      </c>
      <c r="R56" s="46" t="inlineStr">
        <is>
          <t>N/A (tapered thread seal)</t>
        </is>
      </c>
      <c r="S56" s="46" t="inlineStr">
        <is>
          <t>B</t>
        </is>
      </c>
      <c r="T56" s="46" t="inlineStr">
        <is>
          <t>Male 37 deg Flare (JIC)</t>
        </is>
      </c>
      <c r="U56" s="46" t="n">
        <v>16</v>
      </c>
      <c r="V56" s="46" t="inlineStr">
        <is>
          <t>1 5/16-12</t>
        </is>
      </c>
      <c r="W56" s="46" t="inlineStr">
        <is>
          <t>UN/UNF-2A</t>
        </is>
      </c>
      <c r="X56" s="46" t="inlineStr">
        <is>
          <t>SAE J514 / J514-1</t>
        </is>
      </c>
      <c r="Y56" s="46" t="n">
        <v>37</v>
      </c>
      <c r="AF56" s="46" t="n">
        <v>0</v>
      </c>
      <c r="AN56" s="46" t="inlineStr">
        <is>
          <t>psi</t>
        </is>
      </c>
      <c r="AQ56" s="56">
        <f>SUBSTITUTE(A56,"/","_")</f>
        <v/>
      </c>
      <c r="AR56" s="56">
        <f>AQ56&amp;".pdf"</f>
        <v/>
      </c>
      <c r="AS56" s="56">
        <f>AQ56&amp;".step"</f>
        <v/>
      </c>
      <c r="AT56" s="46" t="inlineStr">
        <is>
          <t>MISSING</t>
        </is>
      </c>
      <c r="AU56" s="46" t="inlineStr">
        <is>
          <t>-</t>
        </is>
      </c>
      <c r="AV56" s="46" t="inlineStr">
        <is>
          <t>-</t>
        </is>
      </c>
      <c r="AW56" s="46" t="inlineStr">
        <is>
          <t>IN OMi CATALOG BUT ABSENT FROM THE AIR-WAY 2404 TABLE - no dimensional source yet</t>
        </is>
      </c>
      <c r="BD56" s="45" t="inlineStr">
        <is>
          <t>Y</t>
        </is>
      </c>
      <c r="BE56" s="46" t="inlineStr">
        <is>
          <t>BUILD</t>
        </is>
      </c>
    </row>
    <row r="57" ht="15" customHeight="1" s="35">
      <c r="A57" s="56">
        <f>D57&amp;"-"&amp;TEXT(U57,"00")&amp;"-"&amp;TEXT(N57,"00")</f>
        <v/>
      </c>
      <c r="C57" s="56">
        <f>A57</f>
        <v/>
      </c>
      <c r="D57" s="46" t="inlineStr">
        <is>
          <t>2404</t>
        </is>
      </c>
      <c r="E57" s="46" t="n">
        <v>64</v>
      </c>
      <c r="G57" s="56">
        <f>"Male Connector, "&amp;T57&amp;" x "&amp;M57&amp;", "&amp;V57&amp;" x "&amp;O57</f>
        <v/>
      </c>
      <c r="H57" s="46" t="inlineStr">
        <is>
          <t>JIC 37 &amp; Beaded Hose</t>
        </is>
      </c>
      <c r="I57" s="46" t="inlineStr">
        <is>
          <t>Carbon Steel</t>
        </is>
      </c>
      <c r="J57" s="46" t="inlineStr">
        <is>
          <t>Straight</t>
        </is>
      </c>
      <c r="K57" s="46" t="n">
        <v>2</v>
      </c>
      <c r="L57" s="46" t="inlineStr">
        <is>
          <t>A</t>
        </is>
      </c>
      <c r="M57" s="46" t="inlineStr">
        <is>
          <t>Male Pipe NPTF</t>
        </is>
      </c>
      <c r="N57" s="46" t="n">
        <v>20</v>
      </c>
      <c r="O57" s="46" t="inlineStr">
        <is>
          <t>1 1/4-11 1/2</t>
        </is>
      </c>
      <c r="P57" s="46" t="inlineStr">
        <is>
          <t>NPTF Dryseal</t>
        </is>
      </c>
      <c r="Q57" s="46" t="inlineStr">
        <is>
          <t>ASME B1.20.3</t>
        </is>
      </c>
      <c r="R57" s="46" t="inlineStr">
        <is>
          <t>N/A (tapered thread seal)</t>
        </is>
      </c>
      <c r="S57" s="46" t="inlineStr">
        <is>
          <t>B</t>
        </is>
      </c>
      <c r="T57" s="46" t="inlineStr">
        <is>
          <t>Male 37 deg Flare (JIC)</t>
        </is>
      </c>
      <c r="U57" s="46" t="n">
        <v>32</v>
      </c>
      <c r="V57" s="46" t="inlineStr">
        <is>
          <t>2 1/2-12</t>
        </is>
      </c>
      <c r="W57" s="46" t="inlineStr">
        <is>
          <t>UN/UNF-2A</t>
        </is>
      </c>
      <c r="X57" s="46" t="inlineStr">
        <is>
          <t>SAE J514 / J514-1</t>
        </is>
      </c>
      <c r="Y57" s="46" t="n">
        <v>37</v>
      </c>
      <c r="AF57" s="46" t="n">
        <v>0</v>
      </c>
      <c r="AN57" s="46" t="inlineStr">
        <is>
          <t>psi</t>
        </is>
      </c>
      <c r="AQ57" s="56">
        <f>SUBSTITUTE(A57,"/","_")</f>
        <v/>
      </c>
      <c r="AR57" s="56">
        <f>AQ57&amp;".pdf"</f>
        <v/>
      </c>
      <c r="AS57" s="56">
        <f>AQ57&amp;".step"</f>
        <v/>
      </c>
      <c r="AT57" s="46" t="inlineStr">
        <is>
          <t>MISSING</t>
        </is>
      </c>
      <c r="AU57" s="46" t="inlineStr">
        <is>
          <t>-</t>
        </is>
      </c>
      <c r="AV57" s="46" t="inlineStr">
        <is>
          <t>-</t>
        </is>
      </c>
      <c r="AW57" s="46" t="inlineStr">
        <is>
          <t>IN OMi CATALOG BUT ABSENT FROM THE AIR-WAY 2404 TABLE - no dimensional source yet</t>
        </is>
      </c>
      <c r="BD57" s="45" t="inlineStr">
        <is>
          <t>Y</t>
        </is>
      </c>
      <c r="BE57" s="46" t="inlineStr">
        <is>
          <t>BUILD</t>
        </is>
      </c>
    </row>
    <row r="58" ht="15" customHeight="1" s="35">
      <c r="A58" s="56">
        <f>D58&amp;"-"&amp;TEXT(U58,"00")&amp;"-"&amp;TEXT(N58,"00")</f>
        <v/>
      </c>
      <c r="C58" s="56">
        <f>A58</f>
        <v/>
      </c>
      <c r="D58" s="46" t="inlineStr">
        <is>
          <t>2404</t>
        </is>
      </c>
      <c r="E58" s="46" t="n">
        <v>64</v>
      </c>
      <c r="G58" s="56">
        <f>"Male Connector, "&amp;T58&amp;" x "&amp;M58&amp;", "&amp;V58&amp;" x "&amp;O58</f>
        <v/>
      </c>
      <c r="H58" s="46" t="inlineStr">
        <is>
          <t>JIC 37 &amp; Beaded Hose</t>
        </is>
      </c>
      <c r="I58" s="46" t="inlineStr">
        <is>
          <t>Carbon Steel</t>
        </is>
      </c>
      <c r="J58" s="46" t="inlineStr">
        <is>
          <t>Straight</t>
        </is>
      </c>
      <c r="K58" s="46" t="n">
        <v>2</v>
      </c>
      <c r="L58" s="46" t="inlineStr">
        <is>
          <t>A</t>
        </is>
      </c>
      <c r="M58" s="46" t="inlineStr">
        <is>
          <t>Male Pipe NPTF</t>
        </is>
      </c>
      <c r="N58" s="46" t="n">
        <v>48</v>
      </c>
      <c r="O58" s="46" t="n"/>
      <c r="P58" s="46" t="inlineStr">
        <is>
          <t>NPTF Dryseal</t>
        </is>
      </c>
      <c r="Q58" s="46" t="inlineStr">
        <is>
          <t>ASME B1.20.3</t>
        </is>
      </c>
      <c r="R58" s="46" t="inlineStr">
        <is>
          <t>N/A (tapered thread seal)</t>
        </is>
      </c>
      <c r="S58" s="46" t="inlineStr">
        <is>
          <t>B</t>
        </is>
      </c>
      <c r="T58" s="46" t="inlineStr">
        <is>
          <t>Male 37 deg Flare (JIC)</t>
        </is>
      </c>
      <c r="U58" s="46" t="n">
        <v>32</v>
      </c>
      <c r="V58" s="46" t="inlineStr">
        <is>
          <t>2 1/2-12</t>
        </is>
      </c>
      <c r="W58" s="46" t="inlineStr">
        <is>
          <t>UN/UNF-2A</t>
        </is>
      </c>
      <c r="X58" s="46" t="inlineStr">
        <is>
          <t>SAE J514 / J514-1</t>
        </is>
      </c>
      <c r="Y58" s="46" t="n">
        <v>37</v>
      </c>
      <c r="AF58" s="46" t="n">
        <v>0</v>
      </c>
      <c r="AN58" s="46" t="inlineStr">
        <is>
          <t>psi</t>
        </is>
      </c>
      <c r="AQ58" s="56">
        <f>SUBSTITUTE(A58,"/","_")</f>
        <v/>
      </c>
      <c r="AR58" s="56">
        <f>AQ58&amp;".pdf"</f>
        <v/>
      </c>
      <c r="AS58" s="56">
        <f>AQ58&amp;".step"</f>
        <v/>
      </c>
      <c r="AT58" s="46" t="inlineStr">
        <is>
          <t>MISSING</t>
        </is>
      </c>
      <c r="AU58" s="46" t="inlineStr">
        <is>
          <t>-</t>
        </is>
      </c>
      <c r="AV58" s="46" t="inlineStr">
        <is>
          <t>-</t>
        </is>
      </c>
      <c r="AW58" s="46" t="inlineStr">
        <is>
          <t>IN OMi CATALOG BUT ABSENT FROM THE AIR-WAY 2404 TABLE - no dimensional source yet</t>
        </is>
      </c>
      <c r="BD58" s="45" t="inlineStr">
        <is>
          <t>Y</t>
        </is>
      </c>
      <c r="BE58" s="46" t="inlineStr">
        <is>
          <t>BUILD</t>
        </is>
      </c>
    </row>
    <row r="59" ht="15" customHeight="1" s="35">
      <c r="A59" s="56">
        <f>D59&amp;"-"&amp;TEXT(U59,"00")&amp;"-"&amp;TEXT(N59,"00")</f>
        <v/>
      </c>
      <c r="C59" s="56">
        <f>A59</f>
        <v/>
      </c>
      <c r="D59" s="46" t="inlineStr">
        <is>
          <t>2404</t>
        </is>
      </c>
      <c r="E59" s="46" t="n">
        <v>64</v>
      </c>
      <c r="G59" s="56">
        <f>"Male Connector, "&amp;T59&amp;" x "&amp;M59&amp;", "&amp;V59&amp;" x "&amp;O59</f>
        <v/>
      </c>
      <c r="H59" s="46" t="inlineStr">
        <is>
          <t>JIC 37 &amp; Beaded Hose</t>
        </is>
      </c>
      <c r="I59" s="46" t="inlineStr">
        <is>
          <t>Carbon Steel</t>
        </is>
      </c>
      <c r="J59" s="46" t="inlineStr">
        <is>
          <t>Straight</t>
        </is>
      </c>
      <c r="K59" s="46" t="n">
        <v>2</v>
      </c>
      <c r="L59" s="46" t="inlineStr">
        <is>
          <t>A</t>
        </is>
      </c>
      <c r="M59" s="46" t="inlineStr">
        <is>
          <t>Male Pipe NPTF</t>
        </is>
      </c>
      <c r="N59" s="46" t="n">
        <v>32</v>
      </c>
      <c r="O59" s="46" t="inlineStr">
        <is>
          <t>2-11 1/2</t>
        </is>
      </c>
      <c r="P59" s="46" t="inlineStr">
        <is>
          <t>NPTF Dryseal</t>
        </is>
      </c>
      <c r="Q59" s="46" t="inlineStr">
        <is>
          <t>ASME B1.20.3</t>
        </is>
      </c>
      <c r="R59" s="46" t="inlineStr">
        <is>
          <t>N/A (tapered thread seal)</t>
        </is>
      </c>
      <c r="S59" s="46" t="inlineStr">
        <is>
          <t>B</t>
        </is>
      </c>
      <c r="T59" s="46" t="inlineStr">
        <is>
          <t>Male 37 deg Flare (JIC)</t>
        </is>
      </c>
      <c r="U59" s="46" t="n">
        <v>40</v>
      </c>
      <c r="V59" s="46" t="n"/>
      <c r="W59" s="46" t="inlineStr">
        <is>
          <t>UN/UNF-2A</t>
        </is>
      </c>
      <c r="X59" s="46" t="inlineStr">
        <is>
          <t>SAE J514 / J514-1</t>
        </is>
      </c>
      <c r="Y59" s="46" t="n">
        <v>37</v>
      </c>
      <c r="AF59" s="46" t="n">
        <v>0</v>
      </c>
      <c r="AN59" s="46" t="inlineStr">
        <is>
          <t>psi</t>
        </is>
      </c>
      <c r="AQ59" s="56">
        <f>SUBSTITUTE(A59,"/","_")</f>
        <v/>
      </c>
      <c r="AR59" s="56">
        <f>AQ59&amp;".pdf"</f>
        <v/>
      </c>
      <c r="AS59" s="56">
        <f>AQ59&amp;".step"</f>
        <v/>
      </c>
      <c r="AT59" s="46" t="inlineStr">
        <is>
          <t>MISSING</t>
        </is>
      </c>
      <c r="AU59" s="46" t="inlineStr">
        <is>
          <t>-</t>
        </is>
      </c>
      <c r="AV59" s="46" t="inlineStr">
        <is>
          <t>-</t>
        </is>
      </c>
      <c r="AW59" s="46" t="inlineStr">
        <is>
          <t>IN OMi CATALOG BUT ABSENT FROM THE AIR-WAY 2404 TABLE - no dimensional source yet</t>
        </is>
      </c>
      <c r="BD59" s="45" t="inlineStr">
        <is>
          <t>Y</t>
        </is>
      </c>
      <c r="BE59" s="46" t="inlineStr">
        <is>
          <t>BUILD</t>
        </is>
      </c>
    </row>
    <row r="60" ht="15" customHeight="1" s="35">
      <c r="A60" s="56">
        <f>D60&amp;"-"&amp;TEXT(U60,"00")&amp;"-"&amp;TEXT(N60,"00")</f>
        <v/>
      </c>
      <c r="C60" s="56">
        <f>A60</f>
        <v/>
      </c>
      <c r="D60" s="46" t="inlineStr">
        <is>
          <t>2404</t>
        </is>
      </c>
      <c r="E60" s="46" t="n">
        <v>64</v>
      </c>
      <c r="G60" s="56">
        <f>"Male Connector, "&amp;T60&amp;" x "&amp;M60&amp;", "&amp;V60&amp;" x "&amp;O60</f>
        <v/>
      </c>
      <c r="H60" s="46" t="inlineStr">
        <is>
          <t>JIC 37 &amp; Beaded Hose</t>
        </is>
      </c>
      <c r="I60" s="46" t="inlineStr">
        <is>
          <t>Carbon Steel</t>
        </is>
      </c>
      <c r="J60" s="46" t="inlineStr">
        <is>
          <t>Straight</t>
        </is>
      </c>
      <c r="K60" s="46" t="n">
        <v>2</v>
      </c>
      <c r="L60" s="46" t="inlineStr">
        <is>
          <t>A</t>
        </is>
      </c>
      <c r="M60" s="46" t="inlineStr">
        <is>
          <t>Male Pipe NPTF</t>
        </is>
      </c>
      <c r="N60" s="46" t="n">
        <v>40</v>
      </c>
      <c r="O60" s="46" t="n"/>
      <c r="P60" s="46" t="inlineStr">
        <is>
          <t>NPTF Dryseal</t>
        </is>
      </c>
      <c r="Q60" s="46" t="inlineStr">
        <is>
          <t>ASME B1.20.3</t>
        </is>
      </c>
      <c r="R60" s="46" t="inlineStr">
        <is>
          <t>N/A (tapered thread seal)</t>
        </is>
      </c>
      <c r="S60" s="46" t="inlineStr">
        <is>
          <t>B</t>
        </is>
      </c>
      <c r="T60" s="46" t="inlineStr">
        <is>
          <t>Male 37 deg Flare (JIC)</t>
        </is>
      </c>
      <c r="U60" s="46" t="n">
        <v>40</v>
      </c>
      <c r="V60" s="46" t="n"/>
      <c r="W60" s="46" t="inlineStr">
        <is>
          <t>UN/UNF-2A</t>
        </is>
      </c>
      <c r="X60" s="46" t="inlineStr">
        <is>
          <t>SAE J514 / J514-1</t>
        </is>
      </c>
      <c r="Y60" s="46" t="n">
        <v>37</v>
      </c>
      <c r="AF60" s="46" t="n">
        <v>0</v>
      </c>
      <c r="AN60" s="46" t="inlineStr">
        <is>
          <t>psi</t>
        </is>
      </c>
      <c r="AQ60" s="56">
        <f>SUBSTITUTE(A60,"/","_")</f>
        <v/>
      </c>
      <c r="AR60" s="56">
        <f>AQ60&amp;".pdf"</f>
        <v/>
      </c>
      <c r="AS60" s="56">
        <f>AQ60&amp;".step"</f>
        <v/>
      </c>
      <c r="AT60" s="46" t="inlineStr">
        <is>
          <t>MISSING</t>
        </is>
      </c>
      <c r="AU60" s="46" t="inlineStr">
        <is>
          <t>-</t>
        </is>
      </c>
      <c r="AV60" s="46" t="inlineStr">
        <is>
          <t>-</t>
        </is>
      </c>
      <c r="AW60" s="46" t="inlineStr">
        <is>
          <t>IN OMi CATALOG BUT ABSENT FROM THE AIR-WAY 2404 TABLE - no dimensional source yet</t>
        </is>
      </c>
      <c r="BD60" s="45" t="inlineStr">
        <is>
          <t>Y</t>
        </is>
      </c>
      <c r="BE60" s="46" t="inlineStr">
        <is>
          <t>BUILD</t>
        </is>
      </c>
    </row>
    <row r="61" ht="15" customHeight="1" s="35"/>
    <row r="62" ht="15" customHeight="1" s="35"/>
    <row r="63" ht="15" customHeight="1" s="35"/>
    <row r="64" ht="15" customHeight="1" s="35"/>
    <row r="65" ht="15" customHeight="1" s="35"/>
    <row r="66" ht="15" customHeight="1" s="35"/>
    <row r="67" ht="15" customHeight="1" s="35"/>
    <row r="68" ht="15" customHeight="1" s="35"/>
    <row r="69" ht="15" customHeight="1" s="35"/>
    <row r="70" ht="15" customHeight="1" s="35"/>
    <row r="71" ht="15" customHeight="1" s="35"/>
    <row r="72" ht="15" customHeight="1" s="35"/>
    <row r="73" ht="15" customHeight="1" s="35"/>
    <row r="74" ht="15" customHeight="1" s="35"/>
    <row r="75" ht="15" customHeight="1" s="35"/>
    <row r="76" ht="15" customHeight="1" s="35"/>
    <row r="77" ht="15" customHeight="1" s="35"/>
    <row r="78" ht="15" customHeight="1" s="35"/>
    <row r="79" ht="15" customHeight="1" s="35"/>
    <row r="80" ht="15" customHeight="1" s="35"/>
    <row r="81" ht="15" customHeight="1" s="35"/>
    <row r="82" ht="15" customHeight="1" s="35"/>
    <row r="83" ht="15" customHeight="1" s="35"/>
    <row r="84" ht="15" customHeight="1" s="35"/>
    <row r="85" ht="15" customHeight="1" s="35"/>
    <row r="86" ht="15" customHeight="1" s="35"/>
    <row r="87" ht="15" customHeight="1" s="35"/>
    <row r="88" ht="15" customHeight="1" s="35"/>
    <row r="89" ht="15" customHeight="1" s="35"/>
    <row r="90" ht="15" customHeight="1" s="35"/>
    <row r="91" ht="15" customHeight="1" s="35"/>
    <row r="92" ht="15" customHeight="1" s="35"/>
    <row r="93" ht="15" customHeight="1" s="35"/>
    <row r="94" ht="15" customHeight="1" s="35"/>
    <row r="95" ht="15" customHeight="1" s="35"/>
    <row r="96" ht="15" customHeight="1" s="35"/>
    <row r="97" ht="15" customHeight="1" s="35"/>
    <row r="98" ht="15" customHeight="1" s="35"/>
    <row r="99" ht="15" customHeight="1" s="35"/>
    <row r="100" ht="15" customHeight="1" s="35"/>
    <row r="101" ht="15" customHeight="1" s="35"/>
    <row r="102" ht="15" customHeight="1" s="35"/>
    <row r="103" ht="15" customHeight="1" s="35"/>
    <row r="104" ht="15" customHeight="1" s="35"/>
    <row r="105" ht="15" customHeight="1" s="35"/>
    <row r="106" ht="15" customHeight="1" s="35"/>
    <row r="107" ht="15" customHeight="1" s="35"/>
  </sheetData>
  <autoFilter ref="A2:BE60"/>
  <mergeCells count="10">
    <mergeCell ref="A1:G1"/>
    <mergeCell ref="L1:R1"/>
    <mergeCell ref="AX1:BC1"/>
    <mergeCell ref="AP1:AR1"/>
    <mergeCell ref="Z1:AG1"/>
    <mergeCell ref="BD1:BE1"/>
    <mergeCell ref="AH1:AO1"/>
    <mergeCell ref="H1:K1"/>
    <mergeCell ref="S1:Y1"/>
    <mergeCell ref="AS1:AV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C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34" min="1" max="1"/>
    <col width="12" customWidth="1" style="34" min="2" max="3"/>
  </cols>
  <sheetData>
    <row r="1" ht="17.25" customHeight="1" s="35">
      <c r="A1" s="36" t="inlineStr">
        <is>
          <t>PROJECT SCOPE — MEASURED, NOT ESTIMATED</t>
        </is>
      </c>
    </row>
    <row r="2" ht="15" customHeight="1" s="35">
      <c r="A2" s="34" t="inlineStr">
        <is>
          <t>Variant counts read from every Air-Way series page. Counts above ~20 rows were re-fetched and reconciled;</t>
        </is>
      </c>
    </row>
    <row r="3" ht="15" customHeight="1" s="35">
      <c r="A3" s="34" t="inlineStr">
        <is>
          <t>single-pass counting was proven to overcount systematically on large tables.</t>
        </is>
      </c>
    </row>
    <row r="5" ht="15" customHeight="1" s="35">
      <c r="A5" s="38" t="inlineStr">
        <is>
          <t>Series in catalog</t>
        </is>
      </c>
      <c r="B5" s="34" t="n">
        <v>410</v>
      </c>
    </row>
    <row r="6" ht="15" customHeight="1" s="35">
      <c r="A6" s="38" t="inlineStr">
        <is>
          <t>Series counted</t>
        </is>
      </c>
      <c r="B6" s="34" t="n">
        <v>402</v>
      </c>
    </row>
    <row r="7" ht="15" customHeight="1" s="35">
      <c r="A7" s="38" t="inlineStr">
        <is>
          <t>Series unreadable</t>
        </is>
      </c>
      <c r="B7" s="34" t="n">
        <v>8</v>
      </c>
    </row>
    <row r="8" ht="15" customHeight="1" s="35">
      <c r="A8" s="38" t="inlineStr">
        <is>
          <t>TOTAL PARTS</t>
        </is>
      </c>
      <c r="B8" s="34" t="n">
        <v>5272</v>
      </c>
    </row>
    <row r="9" ht="15" customHeight="1" s="35">
      <c r="A9" s="38" t="inlineStr">
        <is>
          <t>Mean variants/series</t>
        </is>
      </c>
      <c r="B9" s="34" t="n">
        <v>13.1</v>
      </c>
    </row>
    <row r="10" ht="15" customHeight="1" s="35">
      <c r="A10" s="38" t="inlineStr">
        <is>
          <t>Master models needed (geometry roots)</t>
        </is>
      </c>
      <c r="B10" s="34" t="n">
        <v>173</v>
      </c>
    </row>
    <row r="11" ht="15" customHeight="1" s="35">
      <c r="A11" s="38" t="inlineStr">
        <is>
          <t>Parts per master (avg)</t>
        </is>
      </c>
      <c r="B11" s="34" t="n">
        <v>30.5</v>
      </c>
    </row>
    <row r="12" ht="15" customHeight="1" s="35">
      <c r="A12" s="39" t="n"/>
      <c r="B12" s="39" t="n"/>
      <c r="C12" s="39" t="n"/>
    </row>
    <row r="13" ht="15" customHeight="1" s="35">
      <c r="A13" s="34" t="inlineStr">
        <is>
          <t>Category</t>
        </is>
      </c>
      <c r="B13" s="34" t="inlineStr">
        <is>
          <t>Series</t>
        </is>
      </c>
      <c r="C13" s="34" t="inlineStr">
        <is>
          <t>Parts</t>
        </is>
      </c>
    </row>
    <row r="14" ht="15" customHeight="1" s="35">
      <c r="A14" s="34" t="inlineStr">
        <is>
          <t>JIC 37 &amp; Beaded Hose</t>
        </is>
      </c>
      <c r="B14" s="34" t="n">
        <v>154</v>
      </c>
      <c r="C14" s="34" t="n">
        <v>2783</v>
      </c>
    </row>
    <row r="15" ht="15" customHeight="1" s="35">
      <c r="A15" s="34" t="inlineStr">
        <is>
          <t>Stainless Steel Fittings</t>
        </is>
      </c>
      <c r="B15" s="34" t="n">
        <v>91</v>
      </c>
      <c r="C15" s="34" t="n">
        <v>853</v>
      </c>
    </row>
    <row r="16" ht="15" customHeight="1" s="35">
      <c r="A16" s="34" t="inlineStr">
        <is>
          <t>ORFS</t>
        </is>
      </c>
      <c r="B16" s="34" t="n">
        <v>51</v>
      </c>
      <c r="C16" s="34" t="n">
        <v>676</v>
      </c>
    </row>
    <row r="17" ht="15" customHeight="1" s="35">
      <c r="A17" s="34" t="inlineStr">
        <is>
          <t>International &amp; Metric</t>
        </is>
      </c>
      <c r="B17" s="34" t="n">
        <v>55</v>
      </c>
      <c r="C17" s="34" t="n">
        <v>502</v>
      </c>
    </row>
    <row r="18" ht="15" customHeight="1" s="35">
      <c r="A18" s="34" t="inlineStr">
        <is>
          <t>FLARE-O</t>
        </is>
      </c>
      <c r="B18" s="34" t="n">
        <v>38</v>
      </c>
      <c r="C18" s="34" t="n">
        <v>391</v>
      </c>
    </row>
    <row r="19" ht="15" customHeight="1" s="35">
      <c r="A19" s="34" t="inlineStr">
        <is>
          <t>Brass Fittings</t>
        </is>
      </c>
      <c r="B19" s="34" t="n">
        <v>11</v>
      </c>
      <c r="C19" s="34" t="n">
        <v>54</v>
      </c>
    </row>
    <row r="20" ht="15" customHeight="1" s="35">
      <c r="A20" s="34" t="inlineStr">
        <is>
          <t>Test Point Adapters</t>
        </is>
      </c>
      <c r="B20" s="34" t="n">
        <v>2</v>
      </c>
      <c r="C20" s="34" t="n">
        <v>13</v>
      </c>
    </row>
    <row r="21" ht="15" customHeight="1" s="35">
      <c r="A21" s="38" t="inlineStr">
        <is>
          <t>TOTAL</t>
        </is>
      </c>
      <c r="B21" s="38" t="n">
        <v>402</v>
      </c>
      <c r="C21" s="38" t="n">
        <v>5272</v>
      </c>
    </row>
    <row r="22" ht="15" customHeight="1" s="35">
      <c r="A22" s="39" t="n"/>
      <c r="B22" s="39" t="n"/>
      <c r="C22" s="39" t="n"/>
    </row>
    <row r="23" ht="15" customHeight="1" s="35">
      <c r="A23" s="34" t="inlineStr">
        <is>
          <t>Largest geometry roots — build these first</t>
        </is>
      </c>
      <c r="B23" s="34" t="inlineStr">
        <is>
          <t>Series</t>
        </is>
      </c>
      <c r="C23" s="34" t="inlineStr">
        <is>
          <t>Parts</t>
        </is>
      </c>
    </row>
    <row r="24" ht="15" customHeight="1" s="35">
      <c r="A24" s="34" t="inlineStr">
        <is>
          <t>6801</t>
        </is>
      </c>
      <c r="B24" s="34" t="n">
        <v>8</v>
      </c>
      <c r="C24" s="34" t="n">
        <v>260</v>
      </c>
    </row>
    <row r="25" ht="15" customHeight="1" s="35">
      <c r="A25" s="34" t="inlineStr">
        <is>
          <t>6400</t>
        </is>
      </c>
      <c r="B25" s="34" t="n">
        <v>8</v>
      </c>
      <c r="C25" s="34" t="n">
        <v>259</v>
      </c>
    </row>
    <row r="26" ht="15" customHeight="1" s="35">
      <c r="A26" s="34" t="inlineStr">
        <is>
          <t>2404</t>
        </is>
      </c>
      <c r="B26" s="34" t="n">
        <v>8</v>
      </c>
      <c r="C26" s="34" t="n">
        <v>182</v>
      </c>
    </row>
    <row r="27" ht="15" customHeight="1" s="35">
      <c r="A27" s="34" t="inlineStr">
        <is>
          <t>2501</t>
        </is>
      </c>
      <c r="B27" s="34" t="n">
        <v>6</v>
      </c>
      <c r="C27" s="34" t="n">
        <v>165</v>
      </c>
    </row>
    <row r="28" ht="15" customHeight="1" s="35">
      <c r="A28" s="34" t="inlineStr">
        <is>
          <t>6802</t>
        </is>
      </c>
      <c r="B28" s="34" t="n">
        <v>7</v>
      </c>
      <c r="C28" s="34" t="n">
        <v>146</v>
      </c>
    </row>
    <row r="29" ht="15" customHeight="1" s="35">
      <c r="A29" s="34" t="inlineStr">
        <is>
          <t>6804</t>
        </is>
      </c>
      <c r="B29" s="34" t="n">
        <v>7</v>
      </c>
      <c r="C29" s="34" t="n">
        <v>121</v>
      </c>
    </row>
    <row r="30" ht="15" customHeight="1" s="35">
      <c r="A30" s="34" t="inlineStr">
        <is>
          <t>UNPARSED</t>
        </is>
      </c>
      <c r="B30" s="34" t="n">
        <v>7</v>
      </c>
      <c r="C30" s="34" t="n">
        <v>106</v>
      </c>
    </row>
    <row r="31" ht="15" customHeight="1" s="35">
      <c r="A31" s="34" t="inlineStr">
        <is>
          <t>2503</t>
        </is>
      </c>
      <c r="B31" s="34" t="n">
        <v>5</v>
      </c>
      <c r="C31" s="34" t="n">
        <v>103</v>
      </c>
    </row>
    <row r="32" ht="15" customHeight="1" s="35">
      <c r="A32" s="34" t="inlineStr">
        <is>
          <t>2406</t>
        </is>
      </c>
      <c r="B32" s="34" t="n">
        <v>3</v>
      </c>
      <c r="C32" s="34" t="n">
        <v>100</v>
      </c>
    </row>
    <row r="33" ht="15" customHeight="1" s="35">
      <c r="A33" s="34" t="inlineStr">
        <is>
          <t>6803</t>
        </is>
      </c>
      <c r="B33" s="34" t="n">
        <v>7</v>
      </c>
      <c r="C33" s="34" t="n">
        <v>95</v>
      </c>
    </row>
    <row r="34" ht="15" customHeight="1" s="35">
      <c r="A34" s="34" t="inlineStr">
        <is>
          <t>2403</t>
        </is>
      </c>
      <c r="B34" s="34" t="n">
        <v>5</v>
      </c>
      <c r="C34" s="34" t="n">
        <v>90</v>
      </c>
    </row>
    <row r="35" ht="15" customHeight="1" s="35">
      <c r="A35" s="34" t="inlineStr">
        <is>
          <t>6602</t>
        </is>
      </c>
      <c r="B35" s="34" t="n">
        <v>6</v>
      </c>
      <c r="C35" s="34" t="n">
        <v>87</v>
      </c>
    </row>
    <row r="36" ht="15" customHeight="1" s="35">
      <c r="A36" s="34" t="inlineStr">
        <is>
          <t>6410</t>
        </is>
      </c>
      <c r="B36" s="34" t="n">
        <v>5</v>
      </c>
      <c r="C36" s="34" t="n">
        <v>86</v>
      </c>
    </row>
    <row r="37" ht="15" customHeight="1" s="35">
      <c r="A37" s="34" t="inlineStr">
        <is>
          <t>2700</t>
        </is>
      </c>
      <c r="B37" s="34" t="n">
        <v>6</v>
      </c>
      <c r="C37" s="34" t="n">
        <v>83</v>
      </c>
    </row>
    <row r="38" ht="15" customHeight="1" s="35">
      <c r="A38" s="34" t="inlineStr">
        <is>
          <t>6500</t>
        </is>
      </c>
      <c r="B38" s="34" t="n">
        <v>7</v>
      </c>
      <c r="C38" s="34" t="n">
        <v>83</v>
      </c>
    </row>
    <row r="39" ht="15" customHeight="1" s="35">
      <c r="A39" s="34" t="inlineStr">
        <is>
          <t>2603</t>
        </is>
      </c>
      <c r="B39" s="34" t="n">
        <v>5</v>
      </c>
      <c r="C39" s="34" t="n">
        <v>80</v>
      </c>
    </row>
    <row r="40" ht="15" customHeight="1" s="35">
      <c r="A40" s="34" t="inlineStr">
        <is>
          <t>6405</t>
        </is>
      </c>
      <c r="B40" s="34" t="n">
        <v>4</v>
      </c>
      <c r="C40" s="34" t="n">
        <v>79</v>
      </c>
    </row>
    <row r="41" ht="15" customHeight="1" s="35">
      <c r="A41" s="34" t="inlineStr">
        <is>
          <t>4604</t>
        </is>
      </c>
      <c r="B41" s="34" t="n">
        <v>3</v>
      </c>
      <c r="C41" s="34" t="n">
        <v>70</v>
      </c>
    </row>
    <row r="42" ht="15" customHeight="1" s="35">
      <c r="A42" s="34" t="inlineStr">
        <is>
          <t>2701</t>
        </is>
      </c>
      <c r="B42" s="34" t="n">
        <v>4</v>
      </c>
      <c r="C42" s="34" t="n">
        <v>69</v>
      </c>
    </row>
    <row r="43" ht="15" customHeight="1" s="35">
      <c r="A43" s="34" t="inlineStr">
        <is>
          <t>403</t>
        </is>
      </c>
      <c r="B43" s="34" t="n">
        <v>4</v>
      </c>
      <c r="C43" s="34" t="n">
        <v>68</v>
      </c>
    </row>
    <row r="44" ht="15" customHeight="1" s="35">
      <c r="A44" s="34" t="inlineStr">
        <is>
          <t>2405</t>
        </is>
      </c>
      <c r="B44" s="34" t="n">
        <v>4</v>
      </c>
      <c r="C44" s="34" t="n">
        <v>66</v>
      </c>
    </row>
    <row r="45" ht="15" customHeight="1" s="35">
      <c r="A45" s="34" t="inlineStr">
        <is>
          <t>2407</t>
        </is>
      </c>
      <c r="B45" s="34" t="n">
        <v>4</v>
      </c>
      <c r="C45" s="34" t="n">
        <v>64</v>
      </c>
    </row>
    <row r="46" ht="15" customHeight="1" s="35">
      <c r="A46" s="34" t="inlineStr">
        <is>
          <t>4601</t>
        </is>
      </c>
      <c r="B46" s="34" t="n">
        <v>3</v>
      </c>
      <c r="C46" s="34" t="n">
        <v>62</v>
      </c>
    </row>
    <row r="47" ht="15" customHeight="1" s="35">
      <c r="A47" s="34" t="inlineStr">
        <is>
          <t>6400-L</t>
        </is>
      </c>
      <c r="B47" s="34" t="n">
        <v>5</v>
      </c>
      <c r="C47" s="34" t="n">
        <v>58</v>
      </c>
    </row>
    <row r="48" ht="15" customHeight="1" s="35">
      <c r="A48" s="34" t="inlineStr">
        <is>
          <t>2702</t>
        </is>
      </c>
      <c r="B48" s="34" t="n">
        <v>4</v>
      </c>
      <c r="C48" s="34" t="n">
        <v>57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4" customWidth="1" style="34" min="2" max="2"/>
    <col width="15" customWidth="1" style="34" min="3" max="3"/>
    <col width="22" customWidth="1" style="34" min="4" max="5"/>
    <col width="20" customWidth="1" style="34" min="6" max="6"/>
    <col width="13" customWidth="1" style="34" min="7" max="7"/>
    <col width="44" customWidth="1" style="34" min="8" max="8"/>
  </cols>
  <sheetData>
    <row r="1" ht="15" customHeight="1" s="35">
      <c r="A1" s="57" t="inlineStr">
        <is>
          <t>Dash</t>
        </is>
      </c>
      <c r="B1" s="57" t="inlineStr">
        <is>
          <t>TubeOD_Frac</t>
        </is>
      </c>
      <c r="C1" s="57" t="inlineStr">
        <is>
          <t>TubeOD_dec_in</t>
        </is>
      </c>
      <c r="D1" s="57" t="inlineStr">
        <is>
          <t>JIC_Thread_UN_UNF</t>
        </is>
      </c>
      <c r="E1" s="57" t="inlineStr">
        <is>
          <t>Source1_AirWay_2404</t>
        </is>
      </c>
      <c r="F1" s="57" t="inlineStr">
        <is>
          <t>Source2_gageref</t>
        </is>
      </c>
      <c r="G1" s="57" t="inlineStr">
        <is>
          <t>CrossCheck</t>
        </is>
      </c>
      <c r="H1" s="57" t="inlineStr">
        <is>
          <t>Note</t>
        </is>
      </c>
    </row>
    <row r="2" ht="15" customHeight="1" s="35">
      <c r="A2" s="37" t="n">
        <v>2</v>
      </c>
      <c r="B2" s="37" t="inlineStr">
        <is>
          <t>1/8</t>
        </is>
      </c>
      <c r="C2" s="37" t="n">
        <v>0.125</v>
      </c>
      <c r="D2" s="37" t="inlineStr">
        <is>
          <t>5/16-24</t>
        </is>
      </c>
      <c r="E2" s="37" t="inlineStr">
        <is>
          <t>5/16-24</t>
        </is>
      </c>
      <c r="F2" s="37" t="inlineStr">
        <is>
          <t>5/16-24</t>
        </is>
      </c>
      <c r="G2" s="45" t="inlineStr">
        <is>
          <t>MATCH</t>
        </is>
      </c>
      <c r="H2" s="37" t="n"/>
    </row>
    <row r="3" ht="15" customHeight="1" s="35">
      <c r="A3" s="37" t="n">
        <v>3</v>
      </c>
      <c r="B3" s="37" t="inlineStr">
        <is>
          <t>3/16</t>
        </is>
      </c>
      <c r="C3" s="37" t="n">
        <v>0.1875</v>
      </c>
      <c r="D3" s="37" t="inlineStr">
        <is>
          <t>3/8-24</t>
        </is>
      </c>
      <c r="E3" s="37" t="inlineStr">
        <is>
          <t>3/8-24</t>
        </is>
      </c>
      <c r="F3" s="37" t="inlineStr">
        <is>
          <t>3/8-24</t>
        </is>
      </c>
      <c r="G3" s="45" t="inlineStr">
        <is>
          <t>MATCH</t>
        </is>
      </c>
      <c r="H3" s="37" t="n"/>
    </row>
    <row r="4" ht="15" customHeight="1" s="35">
      <c r="A4" s="37" t="n">
        <v>4</v>
      </c>
      <c r="B4" s="37" t="inlineStr">
        <is>
          <t>1/4</t>
        </is>
      </c>
      <c r="C4" s="37" t="n">
        <v>0.25</v>
      </c>
      <c r="D4" s="37" t="inlineStr">
        <is>
          <t>7/16-20</t>
        </is>
      </c>
      <c r="E4" s="37" t="inlineStr">
        <is>
          <t>7/16-20</t>
        </is>
      </c>
      <c r="F4" s="37" t="inlineStr">
        <is>
          <t>7/16-20</t>
        </is>
      </c>
      <c r="G4" s="45" t="inlineStr">
        <is>
          <t>MATCH</t>
        </is>
      </c>
      <c r="H4" s="37" t="n"/>
    </row>
    <row r="5" ht="15" customHeight="1" s="35">
      <c r="A5" s="37" t="n">
        <v>5</v>
      </c>
      <c r="B5" s="37" t="inlineStr">
        <is>
          <t>5/16</t>
        </is>
      </c>
      <c r="C5" s="37" t="n">
        <v>0.3125</v>
      </c>
      <c r="D5" s="37" t="inlineStr">
        <is>
          <t>1/2-20</t>
        </is>
      </c>
      <c r="E5" s="37" t="inlineStr">
        <is>
          <t>1/2-20</t>
        </is>
      </c>
      <c r="F5" s="37" t="inlineStr">
        <is>
          <t>1/2-20</t>
        </is>
      </c>
      <c r="G5" s="45" t="inlineStr">
        <is>
          <t>MATCH</t>
        </is>
      </c>
      <c r="H5" s="37" t="n"/>
    </row>
    <row r="6" ht="15" customHeight="1" s="35">
      <c r="A6" s="37" t="n">
        <v>6</v>
      </c>
      <c r="B6" s="37" t="inlineStr">
        <is>
          <t>3/8</t>
        </is>
      </c>
      <c r="C6" s="37" t="n">
        <v>0.375</v>
      </c>
      <c r="D6" s="37" t="inlineStr">
        <is>
          <t>9/16-18</t>
        </is>
      </c>
      <c r="E6" s="37" t="inlineStr">
        <is>
          <t>9/16-18</t>
        </is>
      </c>
      <c r="F6" s="37" t="inlineStr">
        <is>
          <t>9/16-18</t>
        </is>
      </c>
      <c r="G6" s="45" t="inlineStr">
        <is>
          <t>MATCH</t>
        </is>
      </c>
      <c r="H6" s="37" t="n"/>
    </row>
    <row r="7" ht="15" customHeight="1" s="35">
      <c r="A7" s="37" t="n">
        <v>8</v>
      </c>
      <c r="B7" s="37" t="inlineStr">
        <is>
          <t>1/2</t>
        </is>
      </c>
      <c r="C7" s="37" t="n">
        <v>0.5</v>
      </c>
      <c r="D7" s="37" t="inlineStr">
        <is>
          <t>3/4-16</t>
        </is>
      </c>
      <c r="E7" s="37" t="inlineStr">
        <is>
          <t>3/4-16</t>
        </is>
      </c>
      <c r="F7" s="37" t="inlineStr">
        <is>
          <t>3/4-16</t>
        </is>
      </c>
      <c r="G7" s="45" t="inlineStr">
        <is>
          <t>MATCH</t>
        </is>
      </c>
      <c r="H7" s="37" t="n"/>
    </row>
    <row r="8" ht="15" customHeight="1" s="35">
      <c r="A8" s="37" t="n">
        <v>10</v>
      </c>
      <c r="B8" s="37" t="inlineStr">
        <is>
          <t>5/8</t>
        </is>
      </c>
      <c r="C8" s="37" t="n">
        <v>0.625</v>
      </c>
      <c r="D8" s="37" t="inlineStr">
        <is>
          <t>7/8-14</t>
        </is>
      </c>
      <c r="E8" s="37" t="inlineStr">
        <is>
          <t>7/8-14</t>
        </is>
      </c>
      <c r="F8" s="37" t="inlineStr">
        <is>
          <t>7/8-14</t>
        </is>
      </c>
      <c r="G8" s="45" t="inlineStr">
        <is>
          <t>MATCH</t>
        </is>
      </c>
      <c r="H8" s="37" t="n"/>
    </row>
    <row r="9" ht="15" customHeight="1" s="35">
      <c r="A9" s="37" t="n">
        <v>12</v>
      </c>
      <c r="B9" s="37" t="inlineStr">
        <is>
          <t>3/4</t>
        </is>
      </c>
      <c r="C9" s="37" t="n">
        <v>0.75</v>
      </c>
      <c r="D9" s="37" t="inlineStr">
        <is>
          <t>1 1/16-12</t>
        </is>
      </c>
      <c r="E9" s="37" t="inlineStr">
        <is>
          <t>1 1/16-12</t>
        </is>
      </c>
      <c r="F9" s="37" t="inlineStr">
        <is>
          <t>1 1/16-12</t>
        </is>
      </c>
      <c r="G9" s="45" t="inlineStr">
        <is>
          <t>MATCH</t>
        </is>
      </c>
      <c r="H9" s="37" t="n"/>
    </row>
    <row r="10" ht="15" customHeight="1" s="35">
      <c r="A10" s="37" t="n">
        <v>14</v>
      </c>
      <c r="B10" s="37" t="inlineStr">
        <is>
          <t>7/8</t>
        </is>
      </c>
      <c r="C10" s="37" t="n">
        <v>0.875</v>
      </c>
      <c r="D10" s="37" t="inlineStr">
        <is>
          <t>1 3/16-12</t>
        </is>
      </c>
      <c r="E10" s="37" t="inlineStr">
        <is>
          <t>1 3/16-12</t>
        </is>
      </c>
      <c r="F10" s="37" t="inlineStr">
        <is>
          <t>(not listed)</t>
        </is>
      </c>
      <c r="G10" s="44" t="inlineStr">
        <is>
          <t>SINGLE SOURCE</t>
        </is>
      </c>
      <c r="H10" s="37" t="inlineStr">
        <is>
          <t>Dash -14 present in Air-Way; ABSENT from the gageref chart. Single-source — confirm before use.</t>
        </is>
      </c>
    </row>
    <row r="11" ht="15" customHeight="1" s="35">
      <c r="A11" s="37" t="n">
        <v>16</v>
      </c>
      <c r="B11" s="37" t="inlineStr">
        <is>
          <t>1</t>
        </is>
      </c>
      <c r="C11" s="37" t="n">
        <v>1</v>
      </c>
      <c r="D11" s="37" t="inlineStr">
        <is>
          <t>1 5/16-12</t>
        </is>
      </c>
      <c r="E11" s="37" t="inlineStr">
        <is>
          <t>1 5/16-12</t>
        </is>
      </c>
      <c r="F11" s="37" t="inlineStr">
        <is>
          <t>1 5/16-12</t>
        </is>
      </c>
      <c r="G11" s="45" t="inlineStr">
        <is>
          <t>MATCH</t>
        </is>
      </c>
      <c r="H11" s="37" t="n"/>
    </row>
    <row r="12" ht="15" customHeight="1" s="35">
      <c r="A12" s="37" t="n">
        <v>20</v>
      </c>
      <c r="B12" s="37" t="inlineStr">
        <is>
          <t>1 1/4</t>
        </is>
      </c>
      <c r="C12" s="37" t="n">
        <v>1.25</v>
      </c>
      <c r="D12" s="37" t="inlineStr">
        <is>
          <t>1 5/8-12</t>
        </is>
      </c>
      <c r="E12" s="37" t="inlineStr">
        <is>
          <t>1 5/8-12</t>
        </is>
      </c>
      <c r="F12" s="37" t="inlineStr">
        <is>
          <t>1 5/8-12</t>
        </is>
      </c>
      <c r="G12" s="45" t="inlineStr">
        <is>
          <t>MATCH</t>
        </is>
      </c>
      <c r="H12" s="37" t="n"/>
    </row>
    <row r="13" ht="15" customHeight="1" s="35">
      <c r="A13" s="37" t="n">
        <v>24</v>
      </c>
      <c r="B13" s="37" t="inlineStr">
        <is>
          <t>1 1/2</t>
        </is>
      </c>
      <c r="C13" s="37" t="n">
        <v>1.5</v>
      </c>
      <c r="D13" s="37" t="inlineStr">
        <is>
          <t>1 7/8-12</t>
        </is>
      </c>
      <c r="E13" s="37" t="inlineStr">
        <is>
          <t>1 7/8-12</t>
        </is>
      </c>
      <c r="F13" s="37" t="inlineStr">
        <is>
          <t>1 7/8-12</t>
        </is>
      </c>
      <c r="G13" s="45" t="inlineStr">
        <is>
          <t>MATCH</t>
        </is>
      </c>
      <c r="H13" s="37" t="n"/>
    </row>
    <row r="14" ht="15" customHeight="1" s="35">
      <c r="A14" s="37" t="n">
        <v>32</v>
      </c>
      <c r="B14" s="37" t="inlineStr">
        <is>
          <t>2</t>
        </is>
      </c>
      <c r="C14" s="37" t="n">
        <v>2</v>
      </c>
      <c r="D14" s="37" t="inlineStr">
        <is>
          <t>2 1/2-12</t>
        </is>
      </c>
      <c r="E14" s="37" t="inlineStr">
        <is>
          <t>2 1/2-12</t>
        </is>
      </c>
      <c r="F14" s="37" t="inlineStr">
        <is>
          <t>2 1/2-12</t>
        </is>
      </c>
      <c r="G14" s="45" t="inlineStr">
        <is>
          <t>MATCH</t>
        </is>
      </c>
      <c r="H14"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8" customWidth="1" style="34" min="2" max="3"/>
    <col width="8" customWidth="1" style="34" min="4" max="4"/>
    <col width="22" customWidth="1" style="34" min="5" max="5"/>
    <col width="26" customWidth="1" style="34" min="6" max="6"/>
    <col width="40" customWidth="1" style="34" min="7" max="7"/>
  </cols>
  <sheetData>
    <row r="1" ht="15" customHeight="1" s="35">
      <c r="A1" s="57" t="inlineStr">
        <is>
          <t>Dash</t>
        </is>
      </c>
      <c r="B1" s="57" t="inlineStr">
        <is>
          <t>NPTF_Thread</t>
        </is>
      </c>
      <c r="C1" s="57" t="inlineStr">
        <is>
          <t>NominalPipeSize</t>
        </is>
      </c>
      <c r="D1" s="57" t="inlineStr">
        <is>
          <t>TPI</t>
        </is>
      </c>
      <c r="E1" s="57" t="inlineStr">
        <is>
          <t>Standard</t>
        </is>
      </c>
      <c r="F1" s="57" t="inlineStr">
        <is>
          <t>SealType</t>
        </is>
      </c>
      <c r="G1" s="57" t="inlineStr">
        <is>
          <t>Note</t>
        </is>
      </c>
    </row>
    <row r="2" ht="15" customHeight="1" s="35">
      <c r="A2" s="37" t="n">
        <v>2</v>
      </c>
      <c r="B2" s="37" t="inlineStr">
        <is>
          <t>1/8-27</t>
        </is>
      </c>
      <c r="C2" s="37" t="inlineStr">
        <is>
          <t>1/8</t>
        </is>
      </c>
      <c r="D2" s="37" t="n">
        <v>27</v>
      </c>
      <c r="E2" s="37" t="inlineStr">
        <is>
          <t>ASME B1.20.3 (NPTF Dryseal)</t>
        </is>
      </c>
      <c r="F2" s="37" t="inlineStr">
        <is>
          <t>Tapered thread, metal-to-metal</t>
        </is>
      </c>
      <c r="G2" s="37" t="inlineStr">
        <is>
          <t>Pitches match standard NPT/NPTF pitch series.</t>
        </is>
      </c>
    </row>
    <row r="3" ht="15" customHeight="1" s="35">
      <c r="A3" s="37" t="n">
        <v>4</v>
      </c>
      <c r="B3" s="37" t="inlineStr">
        <is>
          <t>1/4-18</t>
        </is>
      </c>
      <c r="C3" s="37" t="inlineStr">
        <is>
          <t>1/4</t>
        </is>
      </c>
      <c r="D3" s="37" t="n">
        <v>18</v>
      </c>
      <c r="E3" s="37" t="inlineStr">
        <is>
          <t>ASME B1.20.3 (NPTF Dryseal)</t>
        </is>
      </c>
      <c r="F3" s="37" t="inlineStr">
        <is>
          <t>Tapered thread, metal-to-metal</t>
        </is>
      </c>
      <c r="G3" s="37" t="inlineStr">
        <is>
          <t>Pitches match standard NPT/NPTF pitch series.</t>
        </is>
      </c>
    </row>
    <row r="4" ht="15" customHeight="1" s="35">
      <c r="A4" s="37" t="n">
        <v>6</v>
      </c>
      <c r="B4" s="37" t="inlineStr">
        <is>
          <t>3/8-18</t>
        </is>
      </c>
      <c r="C4" s="37" t="inlineStr">
        <is>
          <t>3/8</t>
        </is>
      </c>
      <c r="D4" s="37" t="n">
        <v>18</v>
      </c>
      <c r="E4" s="37" t="inlineStr">
        <is>
          <t>ASME B1.20.3 (NPTF Dryseal)</t>
        </is>
      </c>
      <c r="F4" s="37" t="inlineStr">
        <is>
          <t>Tapered thread, metal-to-metal</t>
        </is>
      </c>
      <c r="G4" s="37" t="inlineStr">
        <is>
          <t>Pitches match standard NPT/NPTF pitch series.</t>
        </is>
      </c>
    </row>
    <row r="5" ht="15" customHeight="1" s="35">
      <c r="A5" s="37" t="n">
        <v>8</v>
      </c>
      <c r="B5" s="37" t="inlineStr">
        <is>
          <t>1/2-14</t>
        </is>
      </c>
      <c r="C5" s="37" t="inlineStr">
        <is>
          <t>1/2</t>
        </is>
      </c>
      <c r="D5" s="37" t="n">
        <v>14</v>
      </c>
      <c r="E5" s="37" t="inlineStr">
        <is>
          <t>ASME B1.20.3 (NPTF Dryseal)</t>
        </is>
      </c>
      <c r="F5" s="37" t="inlineStr">
        <is>
          <t>Tapered thread, metal-to-metal</t>
        </is>
      </c>
      <c r="G5" s="37" t="inlineStr">
        <is>
          <t>Pitches match standard NPT/NPTF pitch series.</t>
        </is>
      </c>
    </row>
    <row r="6" ht="15" customHeight="1" s="35">
      <c r="A6" s="37" t="n">
        <v>12</v>
      </c>
      <c r="B6" s="37" t="inlineStr">
        <is>
          <t>3/4-14</t>
        </is>
      </c>
      <c r="C6" s="37" t="inlineStr">
        <is>
          <t>3/4</t>
        </is>
      </c>
      <c r="D6" s="37" t="n">
        <v>14</v>
      </c>
      <c r="E6" s="37" t="inlineStr">
        <is>
          <t>ASME B1.20.3 (NPTF Dryseal)</t>
        </is>
      </c>
      <c r="F6" s="37" t="inlineStr">
        <is>
          <t>Tapered thread, metal-to-metal</t>
        </is>
      </c>
      <c r="G6" s="37" t="inlineStr">
        <is>
          <t>Pitches match standard NPT/NPTF pitch series.</t>
        </is>
      </c>
    </row>
    <row r="7" ht="15" customHeight="1" s="35">
      <c r="A7" s="37" t="n">
        <v>16</v>
      </c>
      <c r="B7" s="37" t="inlineStr">
        <is>
          <t>1-11 1/2</t>
        </is>
      </c>
      <c r="C7" s="37" t="inlineStr">
        <is>
          <t>1</t>
        </is>
      </c>
      <c r="D7" s="37" t="n">
        <v>11.5</v>
      </c>
      <c r="E7" s="37" t="inlineStr">
        <is>
          <t>ASME B1.20.3 (NPTF Dryseal)</t>
        </is>
      </c>
      <c r="F7" s="37" t="inlineStr">
        <is>
          <t>Tapered thread, metal-to-metal</t>
        </is>
      </c>
      <c r="G7" s="37" t="inlineStr">
        <is>
          <t>Pitches match standard NPT/NPTF pitch series.</t>
        </is>
      </c>
    </row>
    <row r="8" ht="15" customHeight="1" s="35">
      <c r="A8" s="37" t="n">
        <v>20</v>
      </c>
      <c r="B8" s="37" t="inlineStr">
        <is>
          <t>1 1/4-11 1/2</t>
        </is>
      </c>
      <c r="C8" s="37" t="inlineStr">
        <is>
          <t>1 1/4</t>
        </is>
      </c>
      <c r="D8" s="37" t="n">
        <v>11.5</v>
      </c>
      <c r="E8" s="37" t="inlineStr">
        <is>
          <t>ASME B1.20.3 (NPTF Dryseal)</t>
        </is>
      </c>
      <c r="F8" s="37" t="inlineStr">
        <is>
          <t>Tapered thread, metal-to-metal</t>
        </is>
      </c>
      <c r="G8" s="37" t="inlineStr">
        <is>
          <t>Pitches match standard NPT/NPTF pitch series.</t>
        </is>
      </c>
    </row>
    <row r="9" ht="15" customHeight="1" s="35">
      <c r="A9" s="37" t="n">
        <v>24</v>
      </c>
      <c r="B9" s="37" t="inlineStr">
        <is>
          <t>1 1/2-11 1/2</t>
        </is>
      </c>
      <c r="C9" s="37" t="inlineStr">
        <is>
          <t>1 1/2</t>
        </is>
      </c>
      <c r="D9" s="37" t="n">
        <v>11.5</v>
      </c>
      <c r="E9" s="37" t="inlineStr">
        <is>
          <t>ASME B1.20.3 (NPTF Dryseal)</t>
        </is>
      </c>
      <c r="F9" s="37" t="inlineStr">
        <is>
          <t>Tapered thread, metal-to-metal</t>
        </is>
      </c>
      <c r="G9" s="37" t="inlineStr">
        <is>
          <t>Pitches match standard NPT/NPTF pitch series.</t>
        </is>
      </c>
    </row>
    <row r="10" ht="15" customHeight="1" s="35">
      <c r="A10" s="37" t="n">
        <v>32</v>
      </c>
      <c r="B10" s="37" t="inlineStr">
        <is>
          <t>2-11 1/2</t>
        </is>
      </c>
      <c r="C10" s="37" t="inlineStr">
        <is>
          <t>2</t>
        </is>
      </c>
      <c r="D10" s="37" t="n">
        <v>11.5</v>
      </c>
      <c r="E10" s="37" t="inlineStr">
        <is>
          <t>ASME B1.20.3 (NPTF Dryseal)</t>
        </is>
      </c>
      <c r="F10" s="37" t="inlineStr">
        <is>
          <t>Tapered thread, metal-to-metal</t>
        </is>
      </c>
      <c r="G10" s="37" t="inlineStr">
        <is>
          <t>Pitches match standard NPT/NPTF pitch series.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4" min="1" max="1"/>
    <col width="30" customWidth="1" style="34" min="2" max="2"/>
    <col width="44" customWidth="1" style="34" min="3" max="3"/>
    <col width="50" customWidth="1" style="34" min="4" max="4"/>
    <col width="22" customWidth="1" style="34" min="5" max="5"/>
    <col width="18" customWidth="1" style="34" min="6" max="6"/>
  </cols>
  <sheetData>
    <row r="1" ht="15" customHeight="1" s="35">
      <c r="A1" s="57" t="inlineStr">
        <is>
          <t>Standard</t>
        </is>
      </c>
      <c r="B1" s="57" t="inlineStr">
        <is>
          <t>Applies To</t>
        </is>
      </c>
      <c r="C1" s="57" t="inlineStr">
        <is>
          <t>What it governs</t>
        </is>
      </c>
      <c r="D1" s="57" t="inlineStr">
        <is>
          <t>What it does NOT give us</t>
        </is>
      </c>
      <c r="E1" s="57" t="inlineStr">
        <is>
          <t>Access</t>
        </is>
      </c>
      <c r="F1" s="57" t="inlineStr">
        <is>
          <t>Status</t>
        </is>
      </c>
    </row>
    <row r="2" ht="23.25" customHeight="1" s="35">
      <c r="A2" s="58" t="inlineStr">
        <is>
          <t>SAE J514 (monolithic)</t>
        </is>
      </c>
      <c r="B2" s="58" t="inlineStr">
        <is>
          <t>37 deg flared tube fittings</t>
        </is>
      </c>
      <c r="C2" s="58" t="inlineStr">
        <is>
          <t>CANCELED 2024-11-22. Reorganized into J514/1, /2, /3.</t>
        </is>
      </c>
      <c r="D2" s="58" t="inlineStr">
        <is>
          <t>Superseded. Free copies online are all this edition.</t>
        </is>
      </c>
      <c r="E2" s="58" t="inlineStr">
        <is>
          <t>Canceled</t>
        </is>
      </c>
      <c r="F2" s="59" t="inlineStr">
        <is>
          <t>SUPERSEDED</t>
        </is>
      </c>
    </row>
    <row r="3" ht="15" customHeight="1" s="35">
      <c r="A3" s="58" t="inlineStr">
        <is>
          <t>SAE J514/1 (current)</t>
        </is>
      </c>
      <c r="B3" s="58" t="inlineStr">
        <is>
          <t>37 deg flared fittings</t>
        </is>
      </c>
      <c r="C3" s="58" t="inlineStr">
        <is>
          <t>VERBATIM SCOPE: 'covers general and dimensional specifications for 37 degree flared tube fittings.' Fixes BODY dimensions, not just seat and thread.</t>
        </is>
      </c>
      <c r="D3" s="58" t="inlineStr">
        <is>
          <t>Tables not retrievable free. Current ed. 202403.</t>
        </is>
      </c>
      <c r="E3" s="58" t="inlineStr">
        <is>
          <t>PAID ~$100-200 (SAE / ANSI Webstore)</t>
        </is>
      </c>
      <c r="F3" s="60" t="inlineStr">
        <is>
          <t>CONFIRMED SCOPE, TABLES NOT HELD</t>
        </is>
      </c>
    </row>
    <row r="4" ht="23.25" customHeight="1" s="35">
      <c r="A4" s="58" t="inlineStr">
        <is>
          <t>SAE J514-2012 Table 1A</t>
        </is>
      </c>
      <c r="B4" s="58" t="inlineStr">
        <is>
          <t>Hex across flats</t>
        </is>
      </c>
      <c r="C4" s="58" t="inlineStr">
        <is>
          <t>HEX TOLERANCES table exists (minus-only, 0.012 to 0.031 in by size band). Proof the standard specifies nominal hex.</t>
        </is>
      </c>
      <c r="D4" s="58" t="inlineStr">
        <is>
          <t>Tolerance table only; nominal values are in body tables not retrieved.</t>
        </is>
      </c>
      <c r="E4" s="58" t="inlineStr">
        <is>
          <t>Free preview (antpedia)</t>
        </is>
      </c>
      <c r="F4" s="59" t="inlineStr">
        <is>
          <t>PARTIAL - OBTAINED</t>
        </is>
      </c>
    </row>
    <row r="5" ht="15" customHeight="1" s="35">
      <c r="A5" s="58" t="inlineStr">
        <is>
          <t>SAE code 070102</t>
        </is>
      </c>
      <c r="B5" s="58" t="inlineStr">
        <is>
          <t>The 2404 male connector</t>
        </is>
      </c>
      <c r="C5" s="58" t="inlineStr">
        <is>
          <t>Confirmed = MALE CONNECTOR configuration designation defined inside J514.</t>
        </is>
      </c>
      <c r="D5" s="58" t="inlineStr">
        <is>
          <t>Digit-group decoding rule unconfirmed.</t>
        </is>
      </c>
      <c r="E5" s="58" t="inlineStr">
        <is>
          <t>n/a</t>
        </is>
      </c>
      <c r="F5" s="60" t="inlineStr">
        <is>
          <t>CONFIRMED</t>
        </is>
      </c>
    </row>
    <row r="6" ht="15" customHeight="1" s="35">
      <c r="A6" s="58" t="inlineStr">
        <is>
          <t>MS51500</t>
        </is>
      </c>
      <c r="B6" s="58" t="inlineStr">
        <is>
          <t>2404 male connector</t>
        </is>
      </c>
      <c r="C6" s="58" t="inlineStr">
        <is>
          <t>Mil-spec for JIC 37 tube x male NPTF straight. INACTIVE for new design after 1999-08-17; use J514.</t>
        </is>
      </c>
      <c r="D6" s="58" t="inlineStr">
        <is>
          <t>Free copies at everyspec are SCANNED IMAGES with no text layer - not machine-readable.</t>
        </is>
      </c>
      <c r="E6" s="58" t="inlineStr">
        <is>
          <t>Free (everyspec, image only)</t>
        </is>
      </c>
      <c r="F6" s="59" t="inlineStr">
        <is>
          <t>NOT MACHINE-READABLE</t>
        </is>
      </c>
    </row>
    <row r="7" ht="23.25" customHeight="1" s="35">
      <c r="A7" s="58" t="inlineStr">
        <is>
          <t>ASME B1.20.3</t>
        </is>
      </c>
      <c r="B7" s="58" t="inlineStr">
        <is>
          <t>NPTF dryseal pipe threads</t>
        </is>
      </c>
      <c r="C7" s="58" t="inlineStr">
        <is>
          <t>Tapered thread form, pitch, taper, gauging.</t>
        </is>
      </c>
      <c r="D7" s="58" t="inlineStr">
        <is>
          <t>No fitting body dimensions.</t>
        </is>
      </c>
      <c r="E7" s="58" t="inlineStr">
        <is>
          <t>PAID</t>
        </is>
      </c>
      <c r="F7" s="61" t="inlineStr">
        <is>
          <t>NOT OBTAINED</t>
        </is>
      </c>
    </row>
    <row r="8" ht="23.25" customHeight="1" s="35">
      <c r="A8" s="58" t="inlineStr">
        <is>
          <t>ISO 8434-2</t>
        </is>
      </c>
      <c r="B8" s="58" t="inlineStr">
        <is>
          <t>37 deg flared, ISO counterpart</t>
        </is>
      </c>
      <c r="C8" s="58" t="inlineStr">
        <is>
          <t>Asserted by vendors as the J514 equivalent.</t>
        </is>
      </c>
      <c r="D8" s="58" t="inlineStr">
        <is>
          <t>Harmonization NOT confirmed by any official SAE or ISO source.</t>
        </is>
      </c>
      <c r="E8" s="58" t="inlineStr">
        <is>
          <t>PAID</t>
        </is>
      </c>
      <c r="F8" s="59" t="inlineStr">
        <is>
          <t>VENDOR CLAIM ONLY</t>
        </is>
      </c>
    </row>
    <row r="9" ht="15" customHeight="1" s="35">
      <c r="A9" s="58" t="inlineStr">
        <is>
          <t>(none)</t>
        </is>
      </c>
      <c r="B9" s="58" t="inlineStr">
        <is>
          <t>Brass line (11 series)</t>
        </is>
      </c>
      <c r="C9" s="58" t="inlineStr">
        <is>
          <t>Air-Way cites NO standard on any brass series page.</t>
        </is>
      </c>
      <c r="D9" s="58" t="inlineStr">
        <is>
          <t>No standards cross-check possible.</t>
        </is>
      </c>
      <c r="E9" s="58" t="inlineStr">
        <is>
          <t>n/a</t>
        </is>
      </c>
      <c r="F9" s="61" t="inlineStr">
        <is>
          <t>BLOCKED</t>
        </is>
      </c>
    </row>
    <row r="10" ht="15" customHeight="1" s="35">
      <c r="A10" s="58" t="inlineStr">
        <is>
          <t>(none)</t>
        </is>
      </c>
      <c r="B10" s="58" t="inlineStr">
        <is>
          <t>FLARE-O (39 series)</t>
        </is>
      </c>
      <c r="C10" s="58" t="inlineStr">
        <is>
          <t>Proprietary Air-Way 37 deg flare with integral O-ring.</t>
        </is>
      </c>
      <c r="D10" s="58" t="inlineStr">
        <is>
          <t>No public standard governs the O-ring groove.</t>
        </is>
      </c>
      <c r="E10" s="58" t="inlineStr">
        <is>
          <t>n/a</t>
        </is>
      </c>
      <c r="F10" s="61" t="inlineStr">
        <is>
          <t>BLOCKED</t>
        </is>
      </c>
    </row>
    <row r="11">
      <c r="A11" s="34" t="inlineStr">
        <is>
          <t>Parker ORD-5700 Table 4-4</t>
        </is>
      </c>
      <c r="B11" s="34" t="inlineStr">
        <is>
          <t>ORB stud ends (64xx/68xx/69xx ORB legs)</t>
        </is>
      </c>
      <c r="C11" s="34" t="inlineStr">
        <is>
          <t>Groove root dia F and groove width G (AS4395 end used with J1926/1 ports)</t>
        </is>
      </c>
      <c r="D11" s="34" t="inlineStr">
        <is>
          <t>Stud/thread length; K dia; G for -14..-32 not individually printed; no -7</t>
        </is>
      </c>
      <c r="E11" s="34" t="inlineStr">
        <is>
          <t>FREE (parker.com PDF)</t>
        </is>
      </c>
      <c r="F11" s="34" t="inlineStr">
        <is>
          <t>HELD - transcribed</t>
        </is>
      </c>
    </row>
    <row r="12">
      <c r="A12" s="34" t="inlineStr">
        <is>
          <t>AN818 Rev 20 Amd 4</t>
        </is>
      </c>
      <c r="B12" s="34" t="inlineStr">
        <is>
          <t>JIC swivel nut (aerospace cross-check)</t>
        </is>
      </c>
      <c r="C12" s="34" t="inlineStr">
        <is>
          <t>Nut envelope: hex, bore, lengths, thread depth, chamfers</t>
        </is>
      </c>
      <c r="D12" s="34" t="inlineStr">
        <is>
          <t>Internal 37 deg seat; is aerospace UNJ nut, not industrial</t>
        </is>
      </c>
      <c r="E12" s="34" t="inlineStr">
        <is>
          <t>FREE (ASSIST)</t>
        </is>
      </c>
      <c r="F12" s="34" t="inlineStr">
        <is>
          <t>HELD - transcribed</t>
        </is>
      </c>
    </row>
    <row r="13">
      <c r="A13" s="34" t="inlineStr">
        <is>
          <t>MS51531D</t>
        </is>
      </c>
      <c r="B13" s="34" t="inlineStr">
        <is>
          <t>JIC swivel nut (industrial J514) - 6500/6500-L/2406/6900</t>
        </is>
      </c>
      <c r="C13" s="34" t="inlineStr">
        <is>
          <t>Nut envelope: B thread, C hex, D1 bore, I1, J1, L1</t>
        </is>
      </c>
      <c r="D13" s="34" t="inlineStr">
        <is>
          <t>Internal 37 deg seat (defers to J514); does not restrict vendor designs</t>
        </is>
      </c>
      <c r="E13" s="34" t="inlineStr">
        <is>
          <t>FREE (ASSIST)</t>
        </is>
      </c>
      <c r="F13" s="34" t="inlineStr">
        <is>
          <t>HELD - transcribed</t>
        </is>
      </c>
    </row>
    <row r="14">
      <c r="A14" s="34" t="inlineStr">
        <is>
          <t>SAE-AS1708</t>
        </is>
      </c>
      <c r="B14" s="34" t="inlineStr">
        <is>
          <t>Female 37 deg internal flare seat</t>
        </is>
      </c>
      <c r="C14" s="34" t="inlineStr">
        <is>
          <t>Internal flare fitting-end geometry</t>
        </is>
      </c>
      <c r="D14" s="34" t="inlineStr">
        <is>
          <t>Everything - not held</t>
        </is>
      </c>
      <c r="E14" s="34" t="inlineStr">
        <is>
          <t>PAID (SAE)</t>
        </is>
      </c>
      <c r="F14" s="34" t="inlineStr">
        <is>
          <t>BLOCKED - only free source for the seat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7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4" min="1" max="1"/>
    <col width="38" customWidth="1" style="34" min="2" max="2"/>
    <col width="44" customWidth="1" style="34" min="3" max="3"/>
    <col width="40" customWidth="1" style="34" min="4" max="4"/>
    <col width="13" customWidth="1" style="34" min="5" max="5"/>
    <col width="48" customWidth="1" style="34" min="6" max="6"/>
  </cols>
  <sheetData>
    <row r="1" ht="15" customHeight="1" s="35">
      <c r="A1" s="57" t="inlineStr">
        <is>
          <t>#</t>
        </is>
      </c>
      <c r="B1" s="57" t="inlineStr">
        <is>
          <t>Check</t>
        </is>
      </c>
      <c r="C1" s="57" t="inlineStr">
        <is>
          <t>Method</t>
        </is>
      </c>
      <c r="D1" s="57" t="inlineStr">
        <is>
          <t>Result</t>
        </is>
      </c>
      <c r="E1" s="57" t="inlineStr">
        <is>
          <t>Severity</t>
        </is>
      </c>
      <c r="F1" s="57" t="inlineStr">
        <is>
          <t>Action needed</t>
        </is>
      </c>
    </row>
    <row r="2" ht="34.5" customHeight="1" s="35">
      <c r="A2" s="58" t="n">
        <v>1</v>
      </c>
      <c r="B2" s="58" t="inlineStr">
        <is>
          <t>Does SAE J514 fix BODY dimensions, or only seat + thread?</t>
        </is>
      </c>
      <c r="C2" s="58" t="inlineStr">
        <is>
          <t>Retrieved verbatim scope of J514 and J514/1 from SAE/ANSI/preview PDF</t>
        </is>
      </c>
      <c r="D2" s="58" t="inlineStr">
        <is>
          <t>RESOLVED - IT FIXES BODY DIMENSIONS. Scope: 'general and dimensional specifications for 37 degree flared tube fittings.' Table 1A publishes HEX TOLERANCES, which only exists if nominal hex is specified.</t>
        </is>
      </c>
      <c r="E2" s="60" t="inlineStr">
        <is>
          <t>NONE</t>
        </is>
      </c>
      <c r="F2" s="58" t="inlineStr">
        <is>
          <t>Catalog L/C/D/D1 ARE cross-checkable. This reverses the Phase 0 UNVERIFIABLE finding.</t>
        </is>
      </c>
    </row>
    <row r="3" ht="15" customHeight="1" s="35">
      <c r="A3" s="58" t="n">
        <v>2</v>
      </c>
      <c r="B3" s="58" t="inlineStr">
        <is>
          <t>Air-Way L values vs an independent manufacturer</t>
        </is>
      </c>
      <c r="C3" s="58" t="inlineStr">
        <is>
          <t>Compared all 51 rows against Parker Catalog 4300 Triple-Lok FTX table</t>
        </is>
      </c>
      <c r="D3" s="58" t="inlineStr">
        <is>
          <t>29 rows had a Parker counterpart. 27 MATCH exactly. 2 DIVERGENT by 0.01 in.</t>
        </is>
      </c>
      <c r="E3" s="59" t="inlineStr">
        <is>
          <t>LOW</t>
        </is>
      </c>
      <c r="F3" s="58" t="inlineStr">
        <is>
          <t>Air-Way's L column is independently corroborated. Review the 2 divergent rows.</t>
        </is>
      </c>
    </row>
    <row r="4" ht="15" customHeight="1" s="35">
      <c r="A4" s="58" t="n">
        <v>3</v>
      </c>
      <c r="B4" s="58" t="inlineStr">
        <is>
          <t>Hex across flats</t>
        </is>
      </c>
      <c r="C4" s="58" t="inlineStr">
        <is>
          <t>Three independent sources: Parker Cat4300, Applied/Brennan, PressureConnections</t>
        </is>
      </c>
      <c r="D4" s="58" t="inlineStr">
        <is>
          <t>Populated where 2+ sources agree. 1 CONFLICT at dash -8.</t>
        </is>
      </c>
      <c r="E4" s="59" t="inlineStr">
        <is>
          <t>MEDIUM</t>
        </is>
      </c>
      <c r="F4" s="58" t="inlineStr">
        <is>
          <t>Resolve the -8 conflict. 22 rows still have NO hex data.</t>
        </is>
      </c>
    </row>
    <row r="5" ht="15" customHeight="1" s="35">
      <c r="A5" s="58" t="n">
        <v>4</v>
      </c>
      <c r="B5" s="58" t="inlineStr">
        <is>
          <t>Dash -8 hex conflict</t>
        </is>
      </c>
      <c r="C5" s="58" t="inlineStr">
        <is>
          <t>Applied/Brennan vs Parker + PressureConnections</t>
        </is>
      </c>
      <c r="D5" s="58" t="inlineStr">
        <is>
          <t>Applied says 15/16. Parker AND PressureConnections both say 7/8. All three agree L=1.79.</t>
        </is>
      </c>
      <c r="E5" s="61" t="inlineStr">
        <is>
          <t>HIGH</t>
        </is>
      </c>
      <c r="F5" s="58" t="inlineStr">
        <is>
          <t>2-vs-1 favours 7/8 but I did NOT auto-resolve it. Measure a sample or read MS51500.</t>
        </is>
      </c>
    </row>
    <row r="6" ht="23.25" customHeight="1" s="35">
      <c r="A6" s="58" t="n">
        <v>5</v>
      </c>
      <c r="B6" s="58" t="inlineStr">
        <is>
          <t>MS51500 retrieval</t>
        </is>
      </c>
      <c r="C6" s="58" t="inlineStr">
        <is>
          <t>DLA ASSIST, everyspec, GlobalSpec, EngineerDocuments</t>
        </is>
      </c>
      <c r="D6" s="58" t="inlineStr">
        <is>
          <t>NOT MACHINE-READABLE. Free everyspec copies are scanned images with no text layer. DLA host blocks automated fetch.</t>
        </is>
      </c>
      <c r="E6" s="59" t="inlineStr">
        <is>
          <t>MEDIUM</t>
        </is>
      </c>
      <c r="F6" s="58" t="inlineStr">
        <is>
          <t>Open everyspec MS51500C/D in a browser and read the table visually - it is free and unauthenticated.</t>
        </is>
      </c>
    </row>
    <row r="7" ht="23.25" customHeight="1" s="35">
      <c r="A7" s="58" t="n">
        <v>6</v>
      </c>
      <c r="B7" s="58" t="inlineStr">
        <is>
          <t>2404 row count</t>
        </is>
      </c>
      <c r="C7" s="58" t="inlineStr">
        <is>
          <t>Page fetched 3x independently</t>
        </is>
      </c>
      <c r="D7" s="58" t="inlineStr">
        <is>
          <t>Stated totals differed (54/55/53); enumerated rows byte-identical at 51 every time.</t>
        </is>
      </c>
      <c r="E7" s="59" t="inlineStr">
        <is>
          <t>LOW</t>
        </is>
      </c>
      <c r="F7" s="58" t="inlineStr">
        <is>
          <t>Trust enumeration, never the stated total. Reconciliation step required in bulk extraction.</t>
        </is>
      </c>
    </row>
    <row r="8" ht="23.25" customHeight="1" s="35">
      <c r="A8" s="58" t="n">
        <v>7</v>
      </c>
      <c r="B8" s="58" t="inlineStr">
        <is>
          <t>JIC dash -&gt; UN/UNF thread</t>
        </is>
      </c>
      <c r="C8" s="58" t="inlineStr">
        <is>
          <t>Air-Way col B vs independent gageref chart</t>
        </is>
      </c>
      <c r="D8" s="58" t="inlineStr">
        <is>
          <t>MATCH on all 12 shared dash sizes.</t>
        </is>
      </c>
      <c r="E8" s="60" t="inlineStr">
        <is>
          <t>NONE</t>
        </is>
      </c>
      <c r="F8" s="58" t="inlineStr">
        <is>
          <t>None. Lookup is trustworthy.</t>
        </is>
      </c>
    </row>
    <row r="9" ht="23.25" customHeight="1" s="35">
      <c r="A9" s="58" t="n">
        <v>8</v>
      </c>
      <c r="B9" s="58" t="inlineStr">
        <is>
          <t>Dash -14 (1 3/16-12)</t>
        </is>
      </c>
      <c r="C9" s="58" t="inlineStr">
        <is>
          <t>Cross-source check</t>
        </is>
      </c>
      <c r="D9" s="58" t="inlineStr">
        <is>
          <t>In Air-Way; absent from gageref AND from Parker/Brennan 2404 tables.</t>
        </is>
      </c>
      <c r="E9" s="59" t="inlineStr">
        <is>
          <t>LOW</t>
        </is>
      </c>
      <c r="F9" s="58" t="inlineStr">
        <is>
          <t>-14 may not exist in this fitting style. Confirm before modelling.</t>
        </is>
      </c>
    </row>
    <row r="10" ht="23.25" customHeight="1" s="35">
      <c r="A10" s="58" t="n">
        <v>9</v>
      </c>
      <c r="B10" s="58" t="inlineStr">
        <is>
          <t>Material / finish / pressure</t>
        </is>
      </c>
      <c r="C10" s="58" t="inlineStr">
        <is>
          <t>Air-Way page AND omindustrial.com product page</t>
        </is>
      </c>
      <c r="D10" s="58" t="inlineStr">
        <is>
          <t>NOT PUBLISHED on either.</t>
        </is>
      </c>
      <c r="E10" s="61" t="inlineStr">
        <is>
          <t>HIGH</t>
        </is>
      </c>
      <c r="F10" s="58" t="inlineStr">
        <is>
          <t>Client is supplying these values.</t>
        </is>
      </c>
    </row>
    <row r="11" ht="23.25" customHeight="1" s="35">
      <c r="A11" s="58" t="n">
        <v>10</v>
      </c>
      <c r="B11" s="58" t="inlineStr">
        <is>
          <t>Reference STEP file</t>
        </is>
      </c>
      <c r="C11" s="58" t="inlineStr">
        <is>
          <t>Air-Way part page</t>
        </is>
      </c>
      <c r="D11" s="58" t="inlineStr">
        <is>
          <t>PDF catalogue only, no CAD downloads.</t>
        </is>
      </c>
      <c r="E11" s="59" t="inlineStr">
        <is>
          <t>MEDIUM</t>
        </is>
      </c>
      <c r="F11" s="58" t="inlineStr">
        <is>
          <t>Source from TraceParts or an equivalent-part maker.</t>
        </is>
      </c>
    </row>
    <row r="12" ht="23.25" customHeight="1" s="35">
      <c r="A12" s="58" t="n">
        <v>11</v>
      </c>
      <c r="B12" s="58" t="inlineStr">
        <is>
          <t>OMi part-number format</t>
        </is>
      </c>
      <c r="C12" s="58" t="inlineStr">
        <is>
          <t>Live omindustrial.com store</t>
        </is>
      </c>
      <c r="D12" s="58" t="inlineStr">
        <is>
          <t>0304-C-02 / 0306-04 = zero-padded 4-digit root + 2-digit dash.</t>
        </is>
      </c>
      <c r="E12" s="59" t="inlineStr">
        <is>
          <t>LOW</t>
        </is>
      </c>
      <c r="F12" s="58" t="inlineStr">
        <is>
          <t>Only 24 SKUs seen (page 1). Two-ended format is INFERRED - confirm 2404-08-06 is right.</t>
        </is>
      </c>
    </row>
    <row r="13" ht="23.25" customHeight="1" s="35">
      <c r="A13" s="58" t="n">
        <v>12</v>
      </c>
      <c r="B13" s="58" t="inlineStr">
        <is>
          <t>D / D1 to end mapping</t>
        </is>
      </c>
      <c r="C13" s="58" t="inlineStr">
        <is>
          <t>Value-range correlation across 51 rows</t>
        </is>
      </c>
      <c r="D13" s="58" t="inlineStr">
        <is>
          <t>D tracks tube OD, D1 tracks NPTF size. INFERRED, not stated.</t>
        </is>
      </c>
      <c r="E13" s="59" t="inlineStr">
        <is>
          <t>MEDIUM</t>
        </is>
      </c>
      <c r="F13" s="58" t="inlineStr">
        <is>
          <t>Confirm against a reference model before wiring the design table, or parts build inside-out.</t>
        </is>
      </c>
    </row>
    <row r="14" ht="23.25" customHeight="1" s="35">
      <c r="A14" s="58" t="n">
        <v>13</v>
      </c>
      <c r="B14" s="58" t="inlineStr">
        <is>
          <t>Dimension letters are not portable</t>
        </is>
      </c>
      <c r="C14" s="58" t="inlineStr">
        <is>
          <t>J514 scope research</t>
        </is>
      </c>
      <c r="D14" s="58" t="inlineStr">
        <is>
          <t>J514's own letters (C=hex, L=length) may NOT mean the same as a catalog's C/L/D/D1.</t>
        </is>
      </c>
      <c r="E14" s="59" t="inlineStr">
        <is>
          <t>MEDIUM</t>
        </is>
      </c>
      <c r="F14" s="58" t="inlineStr">
        <is>
          <t>Do not assume Air-Way 'C' equals J514 'C'. Note: Parker calls hex 'C'; Air-Way's C is a different value.</t>
        </is>
      </c>
    </row>
    <row r="15" ht="23.25" customHeight="1" s="35">
      <c r="A15" s="58" t="n">
        <v>14</v>
      </c>
      <c r="B15" s="58" t="inlineStr">
        <is>
          <t>Tolerance semantics</t>
        </is>
      </c>
      <c r="C15" s="58" t="inlineStr">
        <is>
          <t>J514 general specs</t>
        </is>
      </c>
      <c r="D15" s="58" t="inlineStr">
        <is>
          <t>Many J514 dims are minima or minus-only tolerances, not exact targets.</t>
        </is>
      </c>
      <c r="E15" s="59" t="inlineStr">
        <is>
          <t>LOW</t>
        </is>
      </c>
      <c r="F15" s="58" t="inlineStr">
        <is>
          <t>A catalog value inside the envelope is CONFORMING, not divergent. Do not flag on inequality alone.</t>
        </is>
      </c>
    </row>
    <row r="16">
      <c r="A16" s="34" t="inlineStr">
        <is>
          <t>2026-09-04 | Elbow cross-check: Air-Way 2-pass extracts reconciled (2501:78, 6801:92, 6802:56 rows; both passes identical) vs MS51504D/MS51527G/MS51528D transcriptions.</t>
        </is>
      </c>
    </row>
    <row r="17">
      <c r="A17" s="34" t="inlineStr">
        <is>
          <t>2026-09-04 | Leg-letter mapping resolved by vote: MS51504 M/N &lt;-&gt; AW M/N (32-0); MS51527 M3/M4 &lt;-&gt; AW M/M7 (19-0); MS51528 M2/M3 &lt;-&gt; AW M2/M8 (19-0).</t>
        </is>
      </c>
    </row>
    <row r="18">
      <c r="A18" s="34" t="inlineStr">
        <is>
          <t>2026-09-04 | 2501 finding: FG (forged) rows match MS51504; non-FG rows have a distinct (longer) leg pattern - legs must be carried per-part, not per-size-pair.</t>
        </is>
      </c>
    </row>
    <row r="19">
      <c r="A19" s="34" t="inlineStr">
        <is>
          <t>2026-09-04 | Conflicts -&gt; DataStatus MISSING: 2501-4-2-FG (N .76 vs .78), 2501-14-12-FG (M 1.80 vs 1.73), 2501-32-32-FG (D1 1.86 vs 1.938), 6801-5-5 both variants (M7 1.13 vs MS M4 1.090 single-pass extraction), 6802-14-14 (legs +0.06 offset).</t>
        </is>
      </c>
    </row>
    <row r="20">
      <c r="A20" s="34" t="inlineStr">
        <is>
          <t>2026-09-04 | As-printed Air-Way anomalies logged (not altered): 2501-24-24 B '1 7/8-14'; 6801-10-6-FG D2 .29; 6801-32-24-FG D1/D2 swapped?; 6801-16-24 M/M7 swapped?; 6802-16-24 D2 .84.</t>
        </is>
      </c>
    </row>
    <row r="21">
      <c r="A21" s="34" t="inlineStr">
        <is>
          <t>2026-09-04 | MS33656J retrieved from ASSIST (ident 41956; 2 independent scans cross-verified, zero unreadable cells). Male 37-deg flared fitting END standard, dashes -2..-48. Transcription: 03_SCRIPTS/ms33656.py.</t>
        </is>
      </c>
    </row>
    <row r="22">
      <c r="A22" s="34" t="inlineStr">
        <is>
          <t>2026-09-04 | JIC MALE END AXIALS NOW VERIFIED: MS33656 J == Brennan fleet jic_end EXACTLY (+-0.001) at dashes 2,3,4,5,6,8,10,12,16,20,24,32; Q == measured relief land; D == tip dia; F == cone dia; seat lengths self-consistent. This closes the EndGeometry '-20/-24/-32 seat &amp; thread length NOT FOUND' gap and validates JIC-end family transfer.</t>
        </is>
      </c>
    </row>
    <row r="23">
      <c r="A23" s="34" t="inlineStr">
        <is>
          <t>2026-09-04 | Exceptions: -14 not in MS33656 (J514 commercial size, stays measured/ASSUMED); -40 MS row prints J=1.109 &lt; J(-32) while Brennan measures 1.335 - MS -40 row flagged as-printed oddity, Brennan value retained ASSUMED.</t>
        </is>
      </c>
    </row>
    <row r="24">
      <c r="A24" s="34" t="inlineStr">
        <is>
          <t>2026-09-05 | Brennan 6400 STEP fleet (4 models: 08-04, 12-24, 20-12, 24-16) downloaded via 3Dfindit and parsed. JIC ends match MS33656 J EXACTLY on all 4 (family transfer now confirmed on 6400 itself). L matches Air-Way/MS51525 on all 4.</t>
        </is>
      </c>
    </row>
    <row r="25">
      <c r="A25" s="34" t="inlineStr">
        <is>
          <t>2026-09-05 | ORB O-ring groove width MEASURED: -16 = 0.125, -24 = 0.125 (unpublished anywhere). Method validated: measured -4 = 0.075 and -12 = 0.125 match Parker ORD-5700 exactly. Scored ASSUMED (single manufacturer). Still missing: -14, -20, -32 (no Brennan 6400 config carries those boss ends except 32-20; 3Dfindit freemail quota = 5 downloads/day - 6400-32-20-O queued for next quota reset).</t>
        </is>
      </c>
    </row>
    <row r="26">
      <c r="A26" s="34" t="inlineStr">
        <is>
          <t>2026-09-05 | Also measured per config: hex length, ORB end length, ORB seat-land (0 to 0.16, size-dependent - NOT constant), ORB full-thread span (less than MS51527 J2; J2 evidently includes runout).</t>
        </is>
      </c>
    </row>
    <row r="27">
      <c r="A27" s="34" t="inlineStr">
        <is>
          <t>2026-09-05 | 5th daily download used on 6400-32-20-O: ORB -20 groove width MEASURED = 0.125; JIC -32 end matches MS33656 J=1.333 exactly. ORB groove widths now known for every dash except -14 and -32 (no Brennan 6400 config carries those; consider a 6801-14/-32 elbow model on a future quota day). Measured -12/-16/-20/-24 all = 0.125.</t>
        </is>
      </c>
    </row>
    <row r="28">
      <c r="A28" s="34" t="inlineStr">
        <is>
          <t>2026-09-05 | All 5 elbow conflicts + 2 divergent 2404 lengths RESOLVED by third-source majority (Brennan dimensioned product drawings read via brennaninc.com): 2501-4-2-FG N=0.78 (MS wins), 2501-14-12-FG M=1.80 (AW wins), 2501-32-32-FG drill=1.938 (MS wins), 6801-5-5 M7=1.13 (AW wins; MS 1.090 = misread), 6802-14-14 legs 1.45/1.86 (AW wins), 2404-16-24 L=2.51 (AW wins vs Parker 2.50), 2404-24-20 L=2.65 (AW wins vs Parker 2.66). Each value now has 2 independent agreeing sources -&gt; VERIFIED; outvoted value recorded in row notes.</t>
        </is>
      </c>
    </row>
    <row r="29">
      <c r="A29" s="34" t="inlineStr">
        <is>
          <t>2026-09-05 | MS51525D FULL table transcribed (23 configs incl mixed sizes; 03_SCRIPTS/ms51525.py). Cross-check vs Air-Way 6400: 23 configs agree on L/hex/bore, 0 differ. Confirms NO boss-end groove/thread-length columns exist (note 4 defers to J514) - ORB -14/-32 groove width remains measurable-only. New tabulated axial L1 recorded (figure identity unconfirmed).</t>
        </is>
      </c>
    </row>
    <row r="30">
      <c r="A30" s="34" t="inlineStr">
        <is>
          <t>2026-09-05 | 7 OMi-only 2404 SKUs sourced from Brennan product drawings (brennaninc.com via user's Chrome): 02-04 L1.33/hex.562, 08-02 L1.34/.812, 16-32 L2.69/2.500, 32-20 L3.05/2.625, 32-48 L3.74/3.750, 40-32 L2.89/3.000 (L matches Brennan STEP -&gt; VERIFIED; CB depth 1.5975 MEASURED from STEP), 40-40 L3.37/3.250. Appended to DesignTable_2404_FINAL v5. Remaining blocks: CB depth on 5; NPTF -40/-48 end lengths.</t>
        </is>
      </c>
    </row>
    <row r="31">
      <c r="A31" s="34" t="inlineStr">
        <is>
          <t>2026-09-05 | THREE NEW SERIES processed per SOP (Air-Way 2-pass, both passes identical): 2403 Male Union (33 rows), 2408 Male Plug (16), 5404 Hex Nipple (25; Series survey said 26 - page has 25, discrepancy noted).</t>
        </is>
      </c>
    </row>
    <row r="32">
      <c r="A32" s="34" t="inlineStr">
        <is>
          <t>2026-09-05 | MS51501D Amd1 (2403) + MS51518D (2408) retrieved from ASSIST and transcribed. 2403: all 13 matched-dash rows AGREE with MS51501 (L1/hex/bore) -&gt; VERIFIED. MS51501 'I' column == MS33656 J at every dash AND supplies JIC -14 end length 0.890 == Brennan fleet measurement -&gt; JIC -14 axials now VERIFIED (was measured-only).</t>
        </is>
      </c>
    </row>
    <row r="33">
      <c r="A33" s="34" t="inlineStr">
        <is>
          <t>2026-09-05 | 2408: 15/16 L+hex AGREE with MS51518. 2408-14 hex conflict (AW 1.125 vs MS 1.25) RESOLVED 2-1 via Brennan drawing: hex=1.250. 2408-4-SOLID C printed 0.050 = typo for 0.50 (MS+sibling confirm).</t>
        </is>
      </c>
    </row>
    <row r="34">
      <c r="A34" s="34" t="inlineStr">
        <is>
          <t>2026-09-05 | 5404: NPTF end lengths per dash from measured Brennan nipple STEPs (2/4/6/8/12/20/24) + adapter-fleet transfer (16/32, family-validated). 5404-32-20 page row has A(1)/D(1) columns apparently swapped - as-printed, row blocked pending re-check.</t>
        </is>
      </c>
    </row>
    <row r="35">
      <c r="A35" s="34" t="inlineStr">
        <is>
          <t>2026-09-05 | TWO MORE SERIES: 2405 Female Connector MJxFPT (32 rows; both passes identical; MS51503D Amd1 retrieved &amp; transcribed - all 15 overlapping combos AGREE on L2/hex -&gt; VERIFIED; female-NPTF port depth P1 max now published per pipe size). 2405-32-24 page row anomalous (L2=2.05, D=1.72) - blocked as-printed.</t>
        </is>
      </c>
    </row>
    <row r="36">
      <c r="A36" s="34" t="inlineStr">
        <is>
          <t>2026-09-05 | 6401 ORB x Male Pipe (26 rows; both passes identical; matches survey count). No MS drawing exists (Air-Way cites none) - L29/hex single-source ASSUMED, but BOTH end geometries fully sourced (ORB grooves incl measured -16/-20/-24; NPTF ends measured). Blocked: 6401-32-32 (ORB -32 groove). 6401-12-12 L29=1.73 non-monotonic vs 12-8 - flagged as-printed.</t>
        </is>
      </c>
    </row>
    <row r="37">
      <c r="A37" s="34" t="inlineStr">
        <is>
          <t>2026-09-05 | THREE MORE SERIES (2-pass extracts, sets identical): 2406 Reducing Adapter FJICxMJ (49 rows - male-JIC end VERIFIED; ALL rows blocked on ONE lookup: female-JIC internal port geometry, unpublished; MS39323D Amd1 retrieved+transcribed but its reducer family does NOT match this topology - documented). 6405 ORB x Female Pipe (44 rows, 40 usable; 14 rows flagged: D column appears to bleed tap-drill values on the page). 6408 ORB Hex Plug (23 rows, 19 complete; blocked only ORB -14/-32 groove).</t>
        </is>
      </c>
    </row>
    <row r="38">
      <c r="A38" s="34" t="inlineStr">
        <is>
          <t>2026-09-05 | Tomorrow's 3Dfindit quota plan (5 downloads): 6801-14-14 + 6801-32-32 (or 6400 equivalents) for the last two groove widths; a 2406 mid-size for female-JIC internal geometry (unblocks 49 rows); a 2404-40-40 or 5404 large nipple for NPTF -40 end length; spare for a 6402/6500 female swivel if available.</t>
        </is>
      </c>
    </row>
    <row r="39">
      <c r="A39" s="34" t="inlineStr">
        <is>
          <t>2026-09-05 | MILESTONE: 2404 MASTER MODEL BUILT AND VERIFIED by client in SolidWorks. All six Measure checks passed: L=1.4200, hex A/F=0.5625, hex length=0.3100, flare bore=0.1720, pipe bore=0.2810, tip dia=0.1929 (underived - proves sketch geometry). Threads: THD_EndA = Inch Die stand-in (Ø0.540, 18TPI, up-to-hex; edition lacks tapered-pipe profile - callout governs), THD_EndB = 0.4375-20; both suppressed. First master of 126 topologies.</t>
        </is>
      </c>
    </row>
    <row r="40">
      <c r="A40" s="34" t="inlineStr">
        <is>
          <t>2026-09-05 | MILESTONE 2: Design table inserted into the 2404 master (DesignTable_2404_SW2.xlsx, headers-in-row-1 layout - note: this SOLIDWORKS Design edition scans ROW 1 for parameters, not the classic row-2 layout; all future tables must use the SW2 layout). SolidWorks generated all 48 configurations. Spot-checks assigned: 2404-02-02 L=1.110, 2404-32-16 L=3.020.</t>
        </is>
      </c>
    </row>
    <row r="41">
      <c r="A41" s="34" t="inlineStr">
        <is>
          <t>2026-09-05 | THREE MORE SERIES tabled: 6803 Branch Tee (34/34 complete - no -14/-32 boss ends in family; same-dash legs == MS51529D), 6804 Run Tee (51/52; blocked only 32-32-32 on ORB -32 groove; 32-32-32 legs appear swapped vs MS51530 - flagged), 6500 Female Swivel 90 Elbow (42 rows; legs == MS51521D Amd1 on matched sizes; ALL rows await the one female-swivel-nut geometry lookup - measure a Brennan 6500 STEP).</t>
        </is>
      </c>
    </row>
    <row r="42">
      <c r="A42" s="34" t="inlineStr">
        <is>
          <t>2026-09-05 | Tee drawings' G/I/J/M/M4 columns are cell-for-cell identical to MS51527 (6801) - independent confirmation of the elbow transcription. The disputed dash-5 boss leg 1.090 appears in ALL THREE MS drawings, so it is a genuine MS-vs-commercial difference, NOT a transcription misread; commercial 1.13 (Air-Way+Brennan) remains the adopted value for OMi parts.</t>
        </is>
      </c>
    </row>
    <row r="43">
      <c r="A43" s="34" t="inlineStr">
        <is>
          <t>2026-09-06</t>
        </is>
      </c>
      <c r="B43" s="34" t="inlineStr">
        <is>
          <t>2503 (s147)</t>
        </is>
      </c>
      <c r="C43" s="34" t="inlineStr">
        <is>
          <t>EXTRACT+TABLE</t>
        </is>
      </c>
      <c r="D43" s="34" t="inlineStr">
        <is>
          <t>Double-pass 60 rows agree. DesignTable_2503 v1: FG rows cross-checked vs MS51508E Amd1 (24-row suffix map: plain A6=6-4, A8=8-6, A10=10-8, A12=12-12, A14=14-12 - MS pairs tube with catalog-default pipe, NOT same-dash). 12 YEL: leg divergences 2-2/3-2 (M2 .69 vs MS .66), 6-6 (.91 vs .87), 8-8 (1.11 vs .99), 14-12 (1.45/1.26 vs 1.39/1.27) - AW stands, Brennan tiebreak pending; page typos 3-2-FG threads "3/8-14"/"1/8-24", 4-6-FG M2 "085", 6-4 D1 .30, 10-12 D1 .64, 16-20-FG B "1 1/16-12", 20-16-FG tube OD "1".</t>
        </is>
      </c>
    </row>
    <row r="44">
      <c r="A44" s="34" t="inlineStr">
        <is>
          <t>2026-09-06</t>
        </is>
      </c>
      <c r="B44" s="34" t="inlineStr">
        <is>
          <t>2502 (s122)</t>
        </is>
      </c>
      <c r="C44" s="34" t="inlineStr">
        <is>
          <t>EXTRACT+TABLE</t>
        </is>
      </c>
      <c r="D44" s="34" t="inlineStr">
        <is>
          <t>Double-pass 29 rows agree. DesignTable_2502 v1 vs MS51506F Amd1 (19-row map; MS has NO tap-drill column - drill is AW-only). VERIFIED where M1/N1/Y1 all match. 5 YEL incl 8-8-FG M1 1.52 vs MS 1.38 (tiebreak pending), 24-24 Y1 2.50 vs MS 2.562, 6-2/12-8 non-FG geometry differs from MS.</t>
        </is>
      </c>
    </row>
    <row r="45">
      <c r="A45" s="34" t="inlineStr">
        <is>
          <t>2026-09-06</t>
        </is>
      </c>
      <c r="B45" s="34" t="inlineStr">
        <is>
          <t>2603 (s172)</t>
        </is>
      </c>
      <c r="C45" s="34" t="inlineStr">
        <is>
          <t>EXTRACT+TABLE</t>
        </is>
      </c>
      <c r="D45" s="34" t="inlineStr">
        <is>
          <t>ROW-COUNT TRAP: page footer claims 43, enumerated sets agree at 41 on both passes - 41 stands. DesignTable_2603 v1: matched sizes vs MS51510E (13 rows, all legs equal +/-.030; A14 M=1.800 agrees with commercial 1.80, NOT MS51504 1.73). 1 YEL: 6-6-6 non-FG legs 1.08/1.08/1.06 vs MS 1.06 (same forged/bar pattern as 6803).</t>
        </is>
      </c>
    </row>
    <row r="46">
      <c r="A46" s="34" t="inlineStr">
        <is>
          <t>2026-09-06</t>
        </is>
      </c>
      <c r="B46" s="34" t="inlineStr">
        <is>
          <t>5405 (s85)</t>
        </is>
      </c>
      <c r="C46" s="34" t="inlineStr">
        <is>
          <t>EXTRACT+TABLE</t>
        </is>
      </c>
      <c r="D46" s="34" t="inlineStr">
        <is>
          <t>Double-pass 28 rows agree (survey said 28). Single-source (no MS sheet for NPTF x NPTF nipple). 1 RED: 5405-8-16 prints A(2) "3/4-14" with dims duplicating 8-12 - contradicts own PN, blocked pending Brennan drawing. 1 YEL: 32-32 tap drill 2.20 vs 2.19 same thread.</t>
        </is>
      </c>
    </row>
    <row r="47">
      <c r="A47" s="34" t="inlineStr">
        <is>
          <t>2026-09-06</t>
        </is>
      </c>
      <c r="B47" s="34" t="inlineStr">
        <is>
          <t>MS51508/06/10</t>
        </is>
      </c>
      <c r="C47" s="34" t="inlineStr">
        <is>
          <t>TRANSCRIBE</t>
        </is>
      </c>
      <c r="D47" s="34" t="inlineStr">
        <is>
          <t>Subagent 3-5 pass ASSIST reads (idents 43321/43319/43323, tokens 5802668/5802616/5767914) persisted to 03_SCRIPTS/ms_2503family.py. All dimensional cells agreed across passes. IMPORTANT: first draft of the .py had reconstructed mixed-size rows from a summary - caught and REPLACED with verbatim values from the subagent transcript before any table was built. Flagged graphics-only items: M/N per-leg figure assignment, tolerance bracket spans, MS51506 M1/N1/Y1 column attachment.</t>
        </is>
      </c>
    </row>
    <row r="48">
      <c r="A48" s="34" t="inlineStr">
        <is>
          <t>2026-09-06</t>
        </is>
      </c>
      <c r="B48" s="34" t="inlineStr">
        <is>
          <t>MILESTONE</t>
        </is>
      </c>
      <c r="C48" s="34" t="inlineStr">
        <is>
          <t>COUNT</t>
        </is>
      </c>
      <c r="D48" s="34" t="inlineStr">
        <is>
          <t>20 series now tabled: 2404, 6400, 2501, 6801, 6802, 2403, 2408, 5404, 2405, 6401, 2406, 6405, 6408, 6803, 6804, 6500, 2503, 2502, 2603, 5405. Directive "finish at least 20" - table-count met; partially-finished series still need Brennan STEP batch 2 (blocked on Chrome window + download quota).</t>
        </is>
      </c>
    </row>
    <row r="49">
      <c r="A49" s="34" t="inlineStr">
        <is>
          <t>2026-09-06</t>
        </is>
      </c>
      <c r="B49" s="34" t="inlineStr">
        <is>
          <t>6410 (s99)</t>
        </is>
      </c>
      <c r="C49" s="34" t="inlineStr">
        <is>
          <t>EXTRACT+TABLE</t>
        </is>
      </c>
      <c r="D49" s="34" t="inlineStr">
        <is>
          <t>ROW-COUNT TRAP: page claimed 48, both enumerated passes agree at 45. DesignTable_6410 v1 (ORB-M x ORB-F reducer). 3 RED: 14-12/32-20/32-24 blocked on unmeasured male-ORB -14/-32 groove width (same blocker as 6400 family). 2 YEL: 16-16-O B(2) prints "1 1/16-12" both passes (should be 1 5/16-12), 6-3-O D=0.19.</t>
        </is>
      </c>
    </row>
    <row r="50">
      <c r="A50" s="34" t="inlineStr">
        <is>
          <t>2026-09-06</t>
        </is>
      </c>
      <c r="B50" s="34" t="inlineStr">
        <is>
          <t>5406 (s86)</t>
        </is>
      </c>
      <c r="C50" s="34" t="inlineStr">
        <is>
          <t>EXTRACT+TABLE</t>
        </is>
      </c>
      <c r="D50" s="34" t="inlineStr">
        <is>
          <t>Double-pass 31 rows agree. DesignTable_5406 v1 (NPTF bushing), single-source, clean - 0 flags.</t>
        </is>
      </c>
    </row>
    <row r="51">
      <c r="A51" s="34" t="inlineStr">
        <is>
          <t>2026-09-06</t>
        </is>
      </c>
      <c r="B51" s="34" t="inlineStr">
        <is>
          <t>6900 (s105)</t>
        </is>
      </c>
      <c r="C51" s="34" t="inlineStr">
        <is>
          <t>EXTRACT+TABLE</t>
        </is>
      </c>
      <c r="D51" s="34" t="inlineStr">
        <is>
          <t>Double-pass 24 rows agree. DesignTable_6900 v1: ALL 24 RED - female-JIC union internals unpublished, same lookup blocking 2406; one Brennan STEP measurement (2406 or 6900 mid-size) unlocks both.</t>
        </is>
      </c>
    </row>
    <row r="52">
      <c r="A52" s="34" t="inlineStr">
        <is>
          <t>2026-09-06</t>
        </is>
      </c>
      <c r="B52" s="34" t="inlineStr">
        <is>
          <t>5502 (s128)</t>
        </is>
      </c>
      <c r="C52" s="34" t="inlineStr">
        <is>
          <t>EXTRACT+TABLE</t>
        </is>
      </c>
      <c r="D52" s="34" t="inlineStr">
        <is>
          <t>ROW-COUNT TRAP: page claimed 47, both passes agree at 46 (survey also said 46). DesignTable_5502 v1 (NPTF street elbow), single-source. 5 YEL: 6-2-FG A(1) prints "3/8-1/8" (typo for 3/8-18, confirmed both passes), 20-20-FG N=2.75 and 24-24-FG N=3.05 exceed non-FG (unusual), 32-32-FG drill 2.20 vs 2.19, plus embedded long-pattern row 5502-L-2-2 kept as printed.</t>
        </is>
      </c>
    </row>
    <row r="53">
      <c r="A53" s="34" t="inlineStr">
        <is>
          <t>2026-09-06</t>
        </is>
      </c>
      <c r="B53" s="34" t="inlineStr">
        <is>
          <t>MILESTONE</t>
        </is>
      </c>
      <c r="C53" s="34" t="inlineStr">
        <is>
          <t>COUNT</t>
        </is>
      </c>
      <c r="D53" s="34" t="inlineStr">
        <is>
          <t>24 series now tabled (20 target exceeded). Fully clean or near-clean: 2404,2501,2403,2408,2405,5404,6401,6803,6804,2503,2502,2603,5405,5406,5502,6410(-3). Blocked-heavy: 2406,6500,6900 (each needs one Brennan STEP class), 6400/6801/6802/6405/6408 partials on ORB -14/-32 groove. STEP batch 2 remains the single unlock for nearly everything still red.</t>
        </is>
      </c>
    </row>
    <row r="54">
      <c r="A54" s="34" t="inlineStr">
        <is>
          <t>2026-09-06</t>
        </is>
      </c>
      <c r="B54" s="34" t="inlineStr">
        <is>
          <t>5500 (s127)</t>
        </is>
      </c>
      <c r="C54" s="34" t="inlineStr">
        <is>
          <t>EXTRACT+TABLE</t>
        </is>
      </c>
      <c r="D54" s="34" t="inlineStr">
        <is>
          <t>Double-pass 29 rows agree. Single-source. 2 YEL: 20-20-FG A(2) prints "1 1/2-11 1/2" both passes (should be 1 1/4; D2=1.25 supports), 16-12-FG N legs appear swapped vs non-FG.</t>
        </is>
      </c>
    </row>
    <row r="55">
      <c r="A55" s="34" t="inlineStr">
        <is>
          <t>2026-09-06</t>
        </is>
      </c>
      <c r="B55" s="34" t="inlineStr">
        <is>
          <t>5504 (s129)</t>
        </is>
      </c>
      <c r="C55" s="34" t="inlineStr">
        <is>
          <t>EXTRACT+TABLE</t>
        </is>
      </c>
      <c r="D55" s="34" t="inlineStr">
        <is>
          <t>Double-pass 22 rows agree. Single-source. 3 YEL: 4-2-FG TapDrill(2)=0.43 (1/8-27 taps .33), 20-16 tap-drill columns reversed vs threads (confirmed as-printed), 24-24 asymmetric N1 legs 2.08/2.14.</t>
        </is>
      </c>
    </row>
    <row r="56">
      <c r="A56" s="34" t="inlineStr">
        <is>
          <t>2026-09-06</t>
        </is>
      </c>
      <c r="B56" s="34" t="inlineStr">
        <is>
          <t>2601 (s170)</t>
        </is>
      </c>
      <c r="C56" s="34" t="inlineStr">
        <is>
          <t>EXTRACT+TABLE</t>
        </is>
      </c>
      <c r="D56" s="34" t="inlineStr">
        <is>
          <t>Both passes agree at 29 rows - SURVEY said 28; page wins. Single-source (MS51512 exists, untranscribed - future). 3 YEL: 20-20-20-FG B(2) "1 5/4-12" typo (1 5/8-12 used, noted), 4-4-4-FG M=1.05 &gt; non-FG 0.95, 16-10-12-FG tube OD "1 5/8" mixed-run print. JIC ends VERIFIED lib-wide.</t>
        </is>
      </c>
    </row>
    <row r="57">
      <c r="A57" s="34" t="inlineStr">
        <is>
          <t>2026-09-06</t>
        </is>
      </c>
      <c r="B57" s="34" t="inlineStr">
        <is>
          <t>2602 (s171)</t>
        </is>
      </c>
      <c r="C57" s="34" t="inlineStr">
        <is>
          <t>EXTRACT+TABLE</t>
        </is>
      </c>
      <c r="D57" s="34" t="inlineStr">
        <is>
          <t>Both passes agree at 20 rows - SURVEY said 21; page wins. KEY FINDING: 2602 pipe-end M1/N1/Y1 exactly equals MS51506F Amd1 elbow dims on matched FG combos (run dash=MS tube dash, branch=MS pipe dash) - used as 2nd source; 6 rows VERIFIED. 9 YEL are non-FG/Y1 forged-vs-bar divergences (same pattern as 2502).</t>
        </is>
      </c>
    </row>
    <row r="58">
      <c r="A58" s="34" t="inlineStr">
        <is>
          <t>2026-09-06</t>
        </is>
      </c>
      <c r="B58" s="34" t="inlineStr">
        <is>
          <t>MILESTONE</t>
        </is>
      </c>
      <c r="C58" s="34" t="inlineStr">
        <is>
          <t>COUNT</t>
        </is>
      </c>
      <c r="D58" s="34" t="inlineStr">
        <is>
          <t>28 series tabled: adds 5500, 5504, 2601, 2602.</t>
        </is>
      </c>
    </row>
    <row r="59">
      <c r="A59" s="34" t="inlineStr">
        <is>
          <t>2026-09-06</t>
        </is>
      </c>
      <c r="B59" s="34" t="inlineStr">
        <is>
          <t>6806 (s139)</t>
        </is>
      </c>
      <c r="C59" s="34" t="inlineStr">
        <is>
          <t>EXTRACT+TABLE</t>
        </is>
      </c>
      <c r="D59" s="34" t="inlineStr">
        <is>
          <t>Double-pass 17 rows agree. ORB end carries measured groove set + MS51527 J2. 1 YEL: 5-6 C4 prints 1.63 both passes (dash-5 hex ~0.63, decimal typo).</t>
        </is>
      </c>
    </row>
    <row r="60">
      <c r="A60" s="34" t="inlineStr">
        <is>
          <t>2026-09-06</t>
        </is>
      </c>
      <c r="B60" s="34" t="inlineStr">
        <is>
          <t>6805 (s138)</t>
        </is>
      </c>
      <c r="C60" s="34" t="inlineStr">
        <is>
          <t>EXTRACT+TABLE</t>
        </is>
      </c>
      <c r="D60" s="34" t="inlineStr">
        <is>
          <t>Double-pass 18 rows agree. 1 RED: 32-32 on ORB -32 groove (usual blocker). 1 YEL: 8-6-FG N1 prints 0.63 both passes (non-FG 1.02, typo).</t>
        </is>
      </c>
    </row>
    <row r="61">
      <c r="A61" s="34" t="inlineStr">
        <is>
          <t>2026-09-06</t>
        </is>
      </c>
      <c r="B61" s="34" t="inlineStr">
        <is>
          <t>6404 (s94)</t>
        </is>
      </c>
      <c r="C61" s="34" t="inlineStr">
        <is>
          <t>EXTRACT+TABLE</t>
        </is>
      </c>
      <c r="D61" s="34" t="inlineStr">
        <is>
          <t>Double-pass 26 rows agree. Female ORB port (UN-2B) per SAE J1926. 1 RED: 4-8 row corrupt as printed (L32 "0397", D3/D1 .36/.36). 3 YEL: 8-16 D-columns scrambled, 16-20 short L32, 20-32 D3 outlier.</t>
        </is>
      </c>
    </row>
    <row r="62">
      <c r="A62" s="34" t="inlineStr">
        <is>
          <t>2026-09-06</t>
        </is>
      </c>
      <c r="B62" s="34" t="inlineStr">
        <is>
          <t>2700 (s72)</t>
        </is>
      </c>
      <c r="C62" s="34" t="inlineStr">
        <is>
          <t>EXTRACT+TABLE</t>
        </is>
      </c>
      <c r="D62" s="34" t="inlineStr">
        <is>
          <t>ROW-COUNT TRAP: first pass claimed 30, both enumerated passes agree at 27 (incl 13 -LN locknut twins + one -2.540-OAL special); SURVEY said 24 - page wins. All 27 YEL: bulkhead thread size/length + locknut geometry not on page - MS51520 transcription or Brennan STEP is the unlock. JIC ends VERIFIED lib-wide.</t>
        </is>
      </c>
    </row>
    <row r="63">
      <c r="A63" s="34" t="inlineStr">
        <is>
          <t>2026-09-06</t>
        </is>
      </c>
      <c r="B63" s="34" t="inlineStr">
        <is>
          <t>MILESTONE</t>
        </is>
      </c>
      <c r="C63" s="34" t="inlineStr">
        <is>
          <t>COUNT</t>
        </is>
      </c>
      <c r="D63" s="34" t="inlineStr">
        <is>
          <t>32 series tabled: adds 6806, 6805, 6404, 2700.</t>
        </is>
      </c>
    </row>
    <row r="64">
      <c r="A64" s="34" t="inlineStr">
        <is>
          <t>2026-09-06</t>
        </is>
      </c>
      <c r="B64" s="34" t="inlineStr">
        <is>
          <t>5602 (s189)</t>
        </is>
      </c>
      <c r="C64" s="34" t="inlineStr">
        <is>
          <t>EXTRACT+TABLE</t>
        </is>
      </c>
      <c r="D64" s="34" t="inlineStr">
        <is>
          <t>Double-pass 14 rows agree (8-8-8 and 20-20-20 print out of size order on page). Single-source, 0 flags.</t>
        </is>
      </c>
    </row>
    <row r="65">
      <c r="A65" s="34" t="inlineStr">
        <is>
          <t>2026-09-06</t>
        </is>
      </c>
      <c r="B65" s="34" t="inlineStr">
        <is>
          <t>5603 (s190)</t>
        </is>
      </c>
      <c r="C65" s="34" t="inlineStr">
        <is>
          <t>EXTRACT+TABLE</t>
        </is>
      </c>
      <c r="D65" s="34" t="inlineStr">
        <is>
          <t>Double-pass 6 rows agree. Single-source, 0 flags.</t>
        </is>
      </c>
    </row>
    <row r="66">
      <c r="A66" s="34" t="inlineStr">
        <is>
          <t>2026-09-06</t>
        </is>
      </c>
      <c r="B66" s="34" t="inlineStr">
        <is>
          <t>6403 (s93)</t>
        </is>
      </c>
      <c r="C66" s="34" t="inlineStr">
        <is>
          <t>EXTRACT+TABLE</t>
        </is>
      </c>
      <c r="D66" s="34" t="inlineStr">
        <is>
          <t>Double-pass 8 rows agree. ORB x ORB union; all dashes within measured groove set - 0 blocked.</t>
        </is>
      </c>
    </row>
    <row r="67">
      <c r="A67" s="34" t="inlineStr">
        <is>
          <t>2026-09-06</t>
        </is>
      </c>
      <c r="B67" s="34" t="inlineStr">
        <is>
          <t>2407 (s70)</t>
        </is>
      </c>
      <c r="C67" s="34" t="inlineStr">
        <is>
          <t>EXTRACT+TABLE</t>
        </is>
      </c>
      <c r="D67" s="34" t="inlineStr">
        <is>
          <t>Double-pass 26 rows agree (13 bodies + 13 "W/318 NUT" twins, identical dims). Male-JIC-in-larger-nut reducer; X = large-dash flare OD; flare-seat detail defers to SAE J514 (MS51534/MS39323 cited on page, untranscribed - future second source).</t>
        </is>
      </c>
    </row>
    <row r="68">
      <c r="A68" s="34" t="inlineStr">
        <is>
          <t>2026-09-06</t>
        </is>
      </c>
      <c r="B68" s="34" t="inlineStr">
        <is>
          <t>MILESTONE</t>
        </is>
      </c>
      <c r="C68" s="34" t="inlineStr">
        <is>
          <t>COUNT</t>
        </is>
      </c>
      <c r="D68" s="34" t="inlineStr">
        <is>
          <t>36 series tabled: adds 5602, 5603, 6403, 2407.</t>
        </is>
      </c>
    </row>
    <row r="69">
      <c r="A69" s="34" t="inlineStr">
        <is>
          <t>2026-09-06</t>
        </is>
      </c>
      <c r="B69" s="34" t="inlineStr">
        <is>
          <t>2500 (s117)</t>
        </is>
      </c>
      <c r="C69" s="34" t="inlineStr">
        <is>
          <t>EXTRACT+TABLE</t>
        </is>
      </c>
      <c r="D69" s="34" t="inlineStr">
        <is>
          <t>Double-pass 27 rows agree - SURVEY said 28; page wins (rows print out of size order in 3 spots). Matched-size legs == SAE J514 M family via MS51510E -&gt; VERIFIED-LEGS; MS51505 direct transcription pending. Non-FG 6-6 M2=1.06 vs M1=1.08 asymmetry noted in flags.</t>
        </is>
      </c>
    </row>
    <row r="70">
      <c r="A70" s="34" t="inlineStr">
        <is>
          <t>2026-09-06</t>
        </is>
      </c>
      <c r="B70" s="34" t="inlineStr">
        <is>
          <t>6409 (s98)</t>
        </is>
      </c>
      <c r="C70" s="34" t="inlineStr">
        <is>
          <t>EXTRACT+TABLE</t>
        </is>
      </c>
      <c r="D70" s="34" t="inlineStr">
        <is>
          <t>Double-pass 14 rows agree. 3 RED: dashes 7/14/32 - ORB groove not in measured/published set; dash 7 (5/8-18) has no groove-dia entry anywhere yet, add to STEP shopping list.</t>
        </is>
      </c>
    </row>
    <row r="71">
      <c r="A71" s="34" t="inlineStr">
        <is>
          <t>2026-09-06</t>
        </is>
      </c>
      <c r="B71" s="34" t="inlineStr">
        <is>
          <t>5000 (s82)</t>
        </is>
      </c>
      <c r="C71" s="34" t="inlineStr">
        <is>
          <t>EXTRACT+TABLE</t>
        </is>
      </c>
      <c r="D71" s="34" t="inlineStr">
        <is>
          <t>Double-pass 19 rows agree. 1 YEL: 32-24 drill 2.20 vs 32-32 2.19 same thread.</t>
        </is>
      </c>
    </row>
    <row r="72">
      <c r="A72" s="34" t="inlineStr">
        <is>
          <t>2026-09-06</t>
        </is>
      </c>
      <c r="B72" s="34" t="inlineStr">
        <is>
          <t>3051 (s124)</t>
        </is>
      </c>
      <c r="C72" s="34" t="inlineStr">
        <is>
          <t>EXTRACT+TABLE</t>
        </is>
      </c>
      <c r="D72" s="34" t="inlineStr">
        <is>
          <t>Double-pass 8 rows agree (incl 2-2-SHORT and LL-2-2 embedded variants). Single-source, clean.</t>
        </is>
      </c>
    </row>
    <row r="73">
      <c r="A73" s="34" t="inlineStr">
        <is>
          <t>2026-09-06</t>
        </is>
      </c>
      <c r="B73" s="34" t="inlineStr">
        <is>
          <t>MILESTONE</t>
        </is>
      </c>
      <c r="C73" s="34" t="inlineStr">
        <is>
          <t>COUNT</t>
        </is>
      </c>
      <c r="D73" s="34" t="inlineStr">
        <is>
          <t>40 series tabled: adds 2500, 6409, 5000, 3051.</t>
        </is>
      </c>
    </row>
    <row r="74">
      <c r="A74" s="34" t="inlineStr">
        <is>
          <t>2026-09-06</t>
        </is>
      </c>
      <c r="B74" s="34" t="inlineStr">
        <is>
          <t>5404-N (s84)</t>
        </is>
      </c>
      <c r="C74" s="34" t="inlineStr">
        <is>
          <t>EXTRACT+TABLE</t>
        </is>
      </c>
      <c r="D74" s="34" t="inlineStr">
        <is>
          <t>Double-pass 14 rows agree (PNs carry cut length "X n"; C = body OD, no hex). Clean.</t>
        </is>
      </c>
    </row>
    <row r="75">
      <c r="A75" s="34" t="inlineStr">
        <is>
          <t>2026-09-06</t>
        </is>
      </c>
      <c r="B75" s="34" t="inlineStr">
        <is>
          <t>5406-P (s88)</t>
        </is>
      </c>
      <c r="C75" s="34" t="inlineStr">
        <is>
          <t>EXTRACT+TABLE</t>
        </is>
      </c>
      <c r="D75" s="34" t="inlineStr">
        <is>
          <t>Double-pass 9 rows agree. Clean.</t>
        </is>
      </c>
    </row>
    <row r="76">
      <c r="A76" s="34" t="inlineStr">
        <is>
          <t>2026-09-06</t>
        </is>
      </c>
      <c r="B76" s="34" t="inlineStr">
        <is>
          <t>5406-C (s87)</t>
        </is>
      </c>
      <c r="C76" s="34" t="inlineStr">
        <is>
          <t>EXTRACT+TABLE</t>
        </is>
      </c>
      <c r="D76" s="34" t="inlineStr">
        <is>
          <t>Double-pass 6 rows agree. Clean.</t>
        </is>
      </c>
    </row>
    <row r="77">
      <c r="A77" s="34" t="inlineStr">
        <is>
          <t>2026-09-06</t>
        </is>
      </c>
      <c r="B77" s="34" t="inlineStr">
        <is>
          <t>2403-LH (s63)</t>
        </is>
      </c>
      <c r="C77" s="34" t="inlineStr">
        <is>
          <t>EXTRACT+TABLE</t>
        </is>
      </c>
      <c r="D77" s="34" t="inlineStr">
        <is>
          <t>Double-pass 16 rows agree. JIC ends inherit MS33656J; large-hex variant of 2403 (2403 hexes for same sizes are smaller - L1 values also differ from 2403, correct for the variant).</t>
        </is>
      </c>
    </row>
    <row r="78">
      <c r="A78" s="34" t="inlineStr">
        <is>
          <t>2026-09-06</t>
        </is>
      </c>
      <c r="B78" s="34" t="inlineStr">
        <is>
          <t>MILESTONE</t>
        </is>
      </c>
      <c r="C78" s="34" t="inlineStr">
        <is>
          <t>COUNT</t>
        </is>
      </c>
      <c r="D78" s="34" t="inlineStr">
        <is>
          <t>44 series tabled: adds 5404-N, 5406-P, 5406-C, 2403-LH.</t>
        </is>
      </c>
    </row>
    <row r="79">
      <c r="A79" s="34" t="inlineStr">
        <is>
          <t>2026-09-06</t>
        </is>
      </c>
      <c r="B79" s="34" t="inlineStr">
        <is>
          <t>2404-L (s65)</t>
        </is>
      </c>
      <c r="C79" s="34" t="inlineStr">
        <is>
          <t>EXTRACT+TABLE</t>
        </is>
      </c>
      <c r="D79" s="34" t="inlineStr">
        <is>
          <t>Double-pass 8 rows agree. Long variant of the built 2404 master - same ends, longer body (L20 + T20 ref). Clean.</t>
        </is>
      </c>
    </row>
    <row r="80">
      <c r="A80" s="34" t="inlineStr">
        <is>
          <t>2026-09-06</t>
        </is>
      </c>
      <c r="B80" s="34" t="inlineStr">
        <is>
          <t>2404-LL (s66)</t>
        </is>
      </c>
      <c r="C80" s="34" t="inlineStr">
        <is>
          <t>EXTRACT+TABLE</t>
        </is>
      </c>
      <c r="D80" s="34" t="inlineStr">
        <is>
          <t>Double-pass 7 rows agree. Extra-long variant. Clean.</t>
        </is>
      </c>
    </row>
    <row r="81">
      <c r="A81" s="34" t="inlineStr">
        <is>
          <t>2026-09-06</t>
        </is>
      </c>
      <c r="B81" s="34" t="inlineStr">
        <is>
          <t>6400-L (s90)</t>
        </is>
      </c>
      <c r="C81" s="34" t="inlineStr">
        <is>
          <t>EXTRACT+TABLE</t>
        </is>
      </c>
      <c r="D81" s="34" t="inlineStr">
        <is>
          <t>Double-pass 15 rows agree. All ORB dashes within measured groove set. Clean.</t>
        </is>
      </c>
    </row>
    <row r="82">
      <c r="A82" s="34" t="inlineStr">
        <is>
          <t>2026-09-06</t>
        </is>
      </c>
      <c r="B82" s="34" t="inlineStr">
        <is>
          <t>2501-L (s119)</t>
        </is>
      </c>
      <c r="C82" s="34" t="inlineStr">
        <is>
          <t>EXTRACT+TABLE</t>
        </is>
      </c>
      <c r="D82" s="34" t="inlineStr">
        <is>
          <t>Double-pass 21 rows agree. M legs match the verified 2501 M family on every overlapping size (VERIFIED-LEGS on FG rows); N3 long leg single-source. Clean.</t>
        </is>
      </c>
    </row>
    <row r="83">
      <c r="A83" s="34" t="inlineStr">
        <is>
          <t>2026-09-06</t>
        </is>
      </c>
      <c r="B83" s="34" t="inlineStr">
        <is>
          <t>MILESTONE</t>
        </is>
      </c>
      <c r="C83" s="34" t="inlineStr">
        <is>
          <t>COUNT</t>
        </is>
      </c>
      <c r="D83" s="34" t="inlineStr">
        <is>
          <t>48 series tabled: adds 2404-L, 2404-LL, 6400-L, 2501-L. Session limit hit mid-batch on 2501-LL/LLL fetches - resume there.</t>
        </is>
      </c>
    </row>
    <row r="84">
      <c r="A84" s="34" t="inlineStr">
        <is>
          <t>2026-09-06</t>
        </is>
      </c>
      <c r="B84" s="34" t="inlineStr">
        <is>
          <t>2501-LL (s120)</t>
        </is>
      </c>
      <c r="C84" s="34" t="inlineStr">
        <is>
          <t>EXTRACT+TABLE</t>
        </is>
      </c>
      <c r="D84" s="34" t="inlineStr">
        <is>
          <t>Double-pass 16 rows agree (incl a lone -3-2-FG). M matches verified 2501 family; N4 long leg single-source. Clean.</t>
        </is>
      </c>
    </row>
    <row r="85">
      <c r="A85" s="34" t="inlineStr">
        <is>
          <t>2026-09-06</t>
        </is>
      </c>
      <c r="B85" s="34" t="inlineStr">
        <is>
          <t>2501-LLL (s121)</t>
        </is>
      </c>
      <c r="C85" s="34" t="inlineStr">
        <is>
          <t>EXTRACT+TABLE</t>
        </is>
      </c>
      <c r="D85" s="34" t="inlineStr">
        <is>
          <t>Double-pass 4 rows agree. Clean.</t>
        </is>
      </c>
    </row>
    <row r="86">
      <c r="A86" s="34" t="inlineStr">
        <is>
          <t>2026-09-06</t>
        </is>
      </c>
      <c r="B86" s="34" t="inlineStr">
        <is>
          <t>6801-L (s135)</t>
        </is>
      </c>
      <c r="C86" s="34" t="inlineStr">
        <is>
          <t>EXTRACT+TABLE</t>
        </is>
      </c>
      <c r="D86" s="34" t="inlineStr">
        <is>
          <t>Double-pass 18 rows agree (note odd PN spacing "8-5-NWO-FG" on page). Clean.</t>
        </is>
      </c>
    </row>
    <row r="87">
      <c r="A87" s="34" t="inlineStr">
        <is>
          <t>2026-09-06</t>
        </is>
      </c>
      <c r="B87" s="34" t="inlineStr">
        <is>
          <t>6801-LL (s136)</t>
        </is>
      </c>
      <c r="C87" s="34" t="inlineStr">
        <is>
          <t>EXTRACT+TABLE</t>
        </is>
      </c>
      <c r="D87" s="34" t="inlineStr">
        <is>
          <t>Double-pass 21 rows agree. 1 YEL: 8-8-NWO-FG prints B(2)=7/8-14 with dims duplicating the 8-10 rows (an 8-8 takes 3/4-16) - as-printed, likely scrambled page row.</t>
        </is>
      </c>
    </row>
    <row r="88">
      <c r="A88" s="34" t="inlineStr">
        <is>
          <t>2026-09-06</t>
        </is>
      </c>
      <c r="B88" s="34" t="inlineStr">
        <is>
          <t>6801-LLL (s137)</t>
        </is>
      </c>
      <c r="C88" s="34" t="inlineStr">
        <is>
          <t>EXTRACT+TABLE</t>
        </is>
      </c>
      <c r="D88" s="34" t="inlineStr">
        <is>
          <t>Double-pass 6 rows agree. Clean.</t>
        </is>
      </c>
    </row>
    <row r="89">
      <c r="A89" s="34" t="inlineStr">
        <is>
          <t>2026-09-06</t>
        </is>
      </c>
      <c r="B89" s="34" t="inlineStr">
        <is>
          <t>6500-L (s131)</t>
        </is>
      </c>
      <c r="C89" s="34" t="inlineStr">
        <is>
          <t>EXTRACT+TABLE</t>
        </is>
      </c>
      <c r="D89" s="34" t="inlineStr">
        <is>
          <t>Double-pass 6 rows agree. All 6 RED - same swivel-nut internal blocker as 6500; one Brennan 6500 STEP unlocks both.</t>
        </is>
      </c>
    </row>
    <row r="90">
      <c r="A90" s="34" t="inlineStr">
        <is>
          <t>2026-09-06</t>
        </is>
      </c>
      <c r="B90" s="34" t="inlineStr">
        <is>
          <t>MILESTONE</t>
        </is>
      </c>
      <c r="C90" s="34" t="inlineStr">
        <is>
          <t>COUNT</t>
        </is>
      </c>
      <c r="D90" s="34" t="inlineStr">
        <is>
          <t>54 series tabled: adds 2501-LL, 2501-LLL, 6801-L, 6801-LL, 6801-LLL, 6500-L.</t>
        </is>
      </c>
    </row>
    <row r="91">
      <c r="A91" s="34" t="inlineStr">
        <is>
          <t>2026-09-06</t>
        </is>
      </c>
      <c r="B91" s="34" t="inlineStr">
        <is>
          <t>2405-32-24</t>
        </is>
      </c>
      <c r="C91" s="34" t="inlineStr">
        <is>
          <t>TIEBREAK</t>
        </is>
      </c>
      <c r="D91" s="34" t="inlineStr">
        <is>
          <t>Brennan drawing (Chrome restored): overall 2.95 / hex 2.625 / bore O1.781 / 2-1/2-12 UN / 1-1/2-11-1/2 NPTF. Resolves AW anomalies: L2 2.05-&gt;2.95 (misprint), D 1.72-&gt;1.78 (page duplicated its own tap-drill 1.72). Row now VERIFIED; table patched green.</t>
        </is>
      </c>
    </row>
    <row r="92">
      <c r="A92" s="34" t="inlineStr">
        <is>
          <t>2026-09-06</t>
        </is>
      </c>
      <c r="B92" s="34" t="inlineStr">
        <is>
          <t>5404-32-20</t>
        </is>
      </c>
      <c r="C92" s="34" t="inlineStr">
        <is>
          <t>TIEBREAK-PARTIAL</t>
        </is>
      </c>
      <c r="D92" s="34" t="inlineStr">
        <is>
          <t>Brennan drawing: 2" male NPTF x 1-1/4" male NPTF, L 2.76 (=AW), hex 2.500 (=AW 2.50), bores O1.938/O1.250. CONFIRMS AW A/D columns swapped (threads reordered in table). NEW CONFLICT: AW bores 1.78/1.13 vs Brennan 1.938/1.250 - left open (CONFLICT-BORES), needs J514 140137C or STEP measure.</t>
        </is>
      </c>
    </row>
    <row r="93">
      <c r="A93" s="34" t="inlineStr">
        <is>
          <t>2026-09-06</t>
        </is>
      </c>
      <c r="B93" s="34" t="inlineStr">
        <is>
          <t>6400 master</t>
        </is>
      </c>
      <c r="C93" s="34" t="inlineStr">
        <is>
          <t>BUILD-PREP</t>
        </is>
      </c>
      <c r="D93" s="34" t="inlineStr">
        <is>
          <t>Aug-10 build sheet Stage 1 SUPERSEDED: its coarse JIC end predates the Sep-5 STEP-measured table. New 6400_profile_revC.png drawn from table values; chain closes vs measured STEPs (JIC -08 end sums 0.6570 = measured 0.657; tip derives O0.4260 = measured 0.426). Stages 2-6 of the sheet still valid. JIC end is identical construction to the validated 2404 end.</t>
        </is>
      </c>
    </row>
    <row r="94">
      <c r="A94" s="34" t="inlineStr">
        <is>
          <t>2026-09-06</t>
        </is>
      </c>
      <c r="B94" s="34" t="inlineStr">
        <is>
          <t>6400 table</t>
        </is>
      </c>
      <c r="C94" s="34" t="inlineStr">
        <is>
          <t>SW2-EXPORT</t>
        </is>
      </c>
      <c r="D94" s="34" t="inlineStr">
        <is>
          <t>DesignTable_6400_SW2.xlsx (row-1 layout, 08-08-O first) + 3 new columns DEPTH@BORECUT_A / START@BORECUT_B / DEPTH@BORECUT_B computed per config (step = hex mid-plane = orb_end + body/2, per Aug-10 sheet rule; BORESTEPL is a modeling ASSUMPTION, affects no released dim). 58/65 filled; 7 ORB -14/-32 rows left blank (blocked, correct).</t>
        </is>
      </c>
    </row>
    <row r="95">
      <c r="A95" s="34" t="inlineStr">
        <is>
          <t>2026-09-06</t>
        </is>
      </c>
      <c r="B95" s="34" t="inlineStr">
        <is>
          <t>6400 master</t>
        </is>
      </c>
      <c r="C95" s="34" t="inlineStr">
        <is>
          <t>BUILD+VALIDATE</t>
        </is>
      </c>
      <c r="D95" s="34" t="inlineStr">
        <is>
          <t>Master built by user; DRIVE fully defined; design table inserted, 65 configs generated. FOUND IN VALIDATION: the 7 blocked rows (ORB -14/-32 groove unmeasured) built as real-looking but WRONG geometry - blank design-table cells do not skip a parameter, SolidWorks leaves the dimension at its last value, so 6400-32-32-O got a 2.78 body with the reference size 0.63/0.85 bore depths = solid slug mid-part, no through bore, plus an inherited groove width. FIX: the 7 rows REMOVED from DesignTable_6400_SW2.xlsx (now 58 configs, every geometry cell populated; only $COMMENT blank). Full 65-row record retained in the review copy DesignTable_6400.xlsx with the 7 flagged. Those configs return when the Brennan STEP batch supplies ORB -14/-32 groove width. LESSON FOR ALL FUTURE MASTERS: never ship a design table with blank geometry cells - drop the row instead.</t>
        </is>
      </c>
    </row>
    <row r="96">
      <c r="A96" s="34" t="inlineStr">
        <is>
          <t>2026-09-06</t>
        </is>
      </c>
      <c r="B96" s="34" t="inlineStr">
        <is>
          <t>6400 blocked rows</t>
        </is>
      </c>
      <c r="C96" s="34" t="inlineStr">
        <is>
          <t>SCORING FIX</t>
        </is>
      </c>
      <c r="D96" s="34" t="inlineStr">
        <is>
          <t>User asked whether the 7 removed configs are still OMi catalog parts - they are, and the check exposed a mislabel: all 7 still carried ASSUMED and 6400-32-32-O carried VERIFIED despite a blank ORB_GRVW. Rescored all 7 to MISSING in the review copy with an explicit note that they remain IN SCOPE and are excluded from the SW2 import only. Library scope for 6400 stays 65: 58 modeled, 7 pending ORB -14/-32 groove width (one Brennan STEP unblocks all 7). Root cause: DataStatus was scored from source agreement without also testing for blank required cells - apply that second test to every topology at next re-score.</t>
        </is>
      </c>
    </row>
    <row r="97">
      <c r="A97" s="34" t="inlineStr">
        <is>
          <t>2026-09-15</t>
        </is>
      </c>
      <c r="B97" s="34" t="inlineStr">
        <is>
          <t>ORB groove 2nd source</t>
        </is>
      </c>
      <c r="C97" s="34" t="inlineStr">
        <is>
          <t>SOURCE (subagent, 2 fetch passes + mirror)</t>
        </is>
      </c>
      <c r="D97" s="34" t="inlineStr">
        <is>
          <t>Parker ORD-5700 Design Table 4-4 "Fitting end AS4395 used with J1926/1 and AS5202 bosses" (parker.com PDF; bayseal.com mirror identical). F (+.002/-.003) = groove ROOT DIA, G (+.015/-.000) = groove WIDTH. F matches library GRVDIA on ALL 13 dashes 2-32; G matches library GRVW on ALL 8 dashes 2-12 (.063/.063/.075/.075/.083/.094/.107/.125). G is NOT individually printed for -14/-16/-20/-24/-32 (text layer shows one .125 on the -12 row; looks like a merged cell but NOT confirmed visually) -&gt; NOT used as a second source for 16/20/24, and -14/-32 groove width remains MISSING. Dash -7 absent. K column unreadable. Stud/thread length not tabulated. Transcribed verbatim in 03_SCRIPTS/ms_nuts_orb.py; raw report 07_RAW_EXTRACTS/Report_ORB_groove_ORD5700.md.</t>
        </is>
      </c>
      <c r="E97" s="34" t="inlineStr">
        <is>
          <t>INFO</t>
        </is>
      </c>
      <c r="F97" s="34" t="inlineStr">
        <is>
          <t>NEXT RE-SCORE: ORB_GRVDIA (2-32) and ORB_GRVW (2-12) cells that were ASSUMED on Air-Way alone can be promoted to VERIFIED (Air-Way + ORD-5700 agree). Not yet applied to the 54 tables - do it in the same pass as the blank-cell MISSING re-score. Do NOT fill -14/-32 GRVW from the spanning cell.</t>
        </is>
      </c>
    </row>
    <row r="98">
      <c r="A98" s="34" t="inlineStr">
        <is>
          <t>2026-09-15</t>
        </is>
      </c>
      <c r="B98" s="34" t="inlineStr">
        <is>
          <t>ORB stud length (Parker 4300 G7)</t>
        </is>
      </c>
      <c r="C98" s="34" t="inlineStr">
        <is>
          <t>SOURCE (subagent)</t>
        </is>
      </c>
      <c r="D98" s="34" t="inlineStr">
        <is>
          <t>Parker Catalog 4300 p.G7 "Port Ends for SAE J1926-1 Port": light-duty and heavy-duty stud columns for dashes 2-32, transcribed verbatim in ms_nuts_orb.py. Header has 5 names vs 6 symbols (T, C4, D Max, L4 Min, X, Z Max); which of L4 Min / X / Z Max is "Minimum Thread" vs "Stud Length" is AMBIGUOUS in the text layer. Parker product data, not J1926-2.</t>
        </is>
      </c>
      <c r="E98" s="34" t="inlineStr">
        <is>
          <t>INFO</t>
        </is>
      </c>
      <c r="F98" s="34" t="inlineStr">
        <is>
          <t>Do not use for any design table until the header mapping is confirmed visually. Library ORB_THDL stays on Air-Way (+ Brennan STEP where measured).</t>
        </is>
      </c>
    </row>
    <row r="99">
      <c r="A99" s="34" t="inlineStr">
        <is>
          <t>2026-09-15</t>
        </is>
      </c>
      <c r="B99" s="34" t="inlineStr">
        <is>
          <t>Swivel nut standards (6500 / 6500-L / 2406 / 6900)</t>
        </is>
      </c>
      <c r="C99" s="34" t="inlineStr">
        <is>
          <t>SOURCE (subagent, 3 passes: text, coordinates, rendered image)</t>
        </is>
      </c>
      <c r="D99" s="34" t="inlineStr">
        <is>
          <t>AN818 Rev 20 w/Amd 4, 26-Sep-2024, Nut Tube Coupling Short (ASSIST ident 54315, token 5791795), Active, governed by SAE-AS4841: Figure 1 tables -2..-48 (A, B, C, H, J, L, M+tol, N, P hex+tol, Q min, R, S max, U) transcribed verbatim. MS51531D 30-Sep-2021, Nut Tube Coupling 37 Degree Flared (ASSIST ident 43344, token 5774431), Active, SAE J514 / UNF-2B industrial nut: B thread, C hex, D1 bore+tol, I1, J1 full thread min, L1 for B2-B32 transcribed verbatim. Cross-check: hex agrees on all 12 shared dashes (AN818 prints 3 dp); I1 == AN818 L exactly on all 12; bore differs .001-.003 and overall length differs &lt;=.010 (different standards, recorded not averaged). FINDING: NO MS/AN/MIL standard dimensions the female 37deg internal seat - MS33656J canceled -&gt; AS4395 (male), MS27073E canceled -&gt; AS4370, AN817 -&gt; AS5206; the only internal-flare end standard is SAE-AS1708 (Active, DoD-adopted, ASSIST hosts adoption notice only, body paywalled). Both nut tables in 03_SCRIPTS/ms_nuts_orb.py; raw report 07_RAW_EXTRACTS/Report_AN818_MS51531D.md.</t>
        </is>
      </c>
      <c r="E99" s="34" t="inlineStr">
        <is>
          <t>INFO</t>
        </is>
      </c>
      <c r="F99" s="34" t="inlineStr">
        <is>
          <t>DesignTable_6500.xlsx gained sheet NutRef_MS51531D (standard-nut envelope with per-cell status; internal seat MISSING). Part-row DataStatus UNCHANGED (still ASSUMED/blocked) because MS51531D note 5 says the drawing does not restrict designs - the Air-Way nut as sold must be confirmed by a Brennan 6500 STEP before any nut value enters the master model.</t>
        </is>
      </c>
    </row>
    <row r="100">
      <c r="A100" s="34" t="inlineStr">
        <is>
          <t>2026-09-15</t>
        </is>
      </c>
      <c r="B100" s="34" t="inlineStr">
        <is>
          <t>Session workspace</t>
        </is>
      </c>
      <c r="C100" s="34" t="inlineStr">
        <is>
          <t>NOTE</t>
        </is>
      </c>
      <c r="D100" s="34" t="inlineStr">
        <is>
          <t>Cloud workspace was reclaimed between sessions (all /tmp/omi files lost). Rebuilt from the handoff folder: only the master workbook and DesignTable_6500 were re-staged this session. Everything committed to OMi_Handoff is the authoritative copy; nothing was lost.</t>
        </is>
      </c>
      <c r="E100" s="34" t="inlineStr">
        <is>
          <t>INFO</t>
        </is>
      </c>
      <c r="F100" s="34" t="inlineStr">
        <is>
          <t>If a future session needs the generators or raw CSVs, re-stage them from 03_SCRIPTS / 07_RAW_EXTRACTS.</t>
        </is>
      </c>
    </row>
    <row r="101">
      <c r="A101" s="34" t="inlineStr">
        <is>
          <t>2026-09-15</t>
        </is>
      </c>
      <c r="B101" s="34" t="inlineStr">
        <is>
          <t>Brennan CAD portal STEP batch</t>
        </is>
      </c>
      <c r="C101" s="34" t="inlineStr">
        <is>
          <t>BLOCKED</t>
        </is>
      </c>
      <c r="D101" s="34" t="inlineStr">
        <is>
          <t>brennan.partcommunity.com confirmed (server-side fetch) to require login for STEP download; the Claude Chrome extension was disconnected, so the D6500 / ORB -14 / ORB -32 downloads could not be driven this session.</t>
        </is>
      </c>
      <c r="E101" s="34" t="inlineStr">
        <is>
          <t>BLOCKER</t>
        </is>
      </c>
      <c r="F101" s="34" t="inlineStr">
        <is>
          <t>User: restore Chrome window, reconnect the Claude extension, grant it site permission for brennan.partcommunity.com, and log in (assistant never handles credentials). Then the assistant drives the configurator for 6500-08-08, 6400-08-14-O, 6400-32-32-O first (one STEP each unblocks the 6500 nut, ORB -14 groove, ORB -32 groove).</t>
        </is>
      </c>
    </row>
    <row r="102">
      <c r="A102" s="34" t="inlineStr">
        <is>
          <t>2026-09-15</t>
        </is>
      </c>
      <c r="B102" s="34" t="inlineStr">
        <is>
          <t>Topologies sheet</t>
        </is>
      </c>
      <c r="C102" s="34" t="inlineStr">
        <is>
          <t>TRACKER UPDATE</t>
        </is>
      </c>
      <c r="D102" s="34" t="inlineStr">
        <is>
          <t>Master status column brought in line with the 04_DESIGN_TABLES folder: 2 BUILT (2404, 6400), 36 TABLED - master not built (variants folded into their root), 88 NOT STARTED. Added Build order (1-8) for the next masters: 2403, 2405, 2500, 2502, 2503, 2603, 5406, 6803.</t>
        </is>
      </c>
      <c r="E102" s="34" t="inlineStr">
        <is>
          <t>INFO</t>
        </is>
      </c>
      <c r="F102" s="34" t="inlineStr">
        <is>
          <t>Keep this sheet as the single progress tracker; update it whenever a master is built.</t>
        </is>
      </c>
    </row>
    <row r="103">
      <c r="A103" s="34" t="inlineStr">
        <is>
          <t>2026-09-16</t>
        </is>
      </c>
      <c r="B103" s="34" t="inlineStr">
        <is>
          <t>2403 master</t>
        </is>
      </c>
      <c r="C103" s="34" t="inlineStr">
        <is>
          <t>BUILD+VALIDATE</t>
        </is>
      </c>
      <c r="D103" s="34" t="inlineStr">
        <is>
          <t>User built 2403_MASTER from DesignTable_2403_SW2.xlsx: 49 configs (33 x 2403 + 16 x 2403-LH, LH folded in with HEXB=C2HEX and JIC axials copied per dash). Computed columns BODYDIA=HEXB/cos30, bore step at hex mid-plane (modeling assumption, same rule as 6400). Issue on first import: DEPTH@BORECUT_A/B, START@BORECUT_B, SEATB@DRIVE not found (feature dims still at default names) -&gt; renamed, table re-read, 32-24 section check passed (1.78 / 1.31). Thread features THD_EndA/B = Thread feature (Inch Die 0.7500-16, blind .2837), suppressed - NOT cosmetic threads (walkthrough corrected).</t>
        </is>
      </c>
      <c r="E103" s="34" t="inlineStr">
        <is>
          <t>INFO</t>
        </is>
      </c>
      <c r="F103" s="34" t="inlineStr">
        <is>
          <t>Lesson for the walkthroughs: say explicitly "rename the cut DEPTH dimension to DEPTH / offset to START" - default extrude dims are D1/D2 and the table cannot find them.</t>
        </is>
      </c>
    </row>
    <row r="104">
      <c r="A104" s="34" t="inlineStr">
        <is>
          <t>2026-09-16</t>
        </is>
      </c>
      <c r="B104" s="34" t="inlineStr">
        <is>
          <t>2405 SW2 table</t>
        </is>
      </c>
      <c r="C104" s="34" t="inlineStr">
        <is>
          <t>SW2-EXPORT</t>
        </is>
      </c>
      <c r="D104" s="34" t="inlineStr">
        <is>
          <t>DesignTable_2405_SW2.xlsx: 32 configs, 08-08 first. Computed: BODYDIA=HEXB/cos30; DEPTH@BORECUT_A = FPT_P1 (tap-drill pocket depth); DEPTH@BORECUT_B = L2 - FPT_P1 (through bore D3 cut from the JIC tip face to the pocket bottom - NOT through-all, because 2405-32-24 has D3 1.78 &gt; tap drill 1.72). MODELING ASSUMPTION: hex spans End A face to JIC relief flat (hex length derived). Validated per row: hex &gt; THDMAJ_B, tap drill &lt; hex flats, FPT_P1 &lt; hex length.</t>
        </is>
      </c>
      <c r="E104" s="34" t="inlineStr">
        <is>
          <t>INFO</t>
        </is>
      </c>
      <c r="F104" s="34" t="inlineStr">
        <is>
          <t>Female NPTF thread: Thread feature cannot make tapered threads; use Cosmetic Thread type Tapered Pipe on the pocket edge for the drawing callout only.</t>
        </is>
      </c>
    </row>
    <row r="105">
      <c r="A105" s="34" t="inlineStr">
        <is>
          <t>2026-09-16</t>
        </is>
      </c>
      <c r="B105" s="34" t="inlineStr">
        <is>
          <t>Build macro (03_SCRIPTS/gen_macro_straight.py -&gt; Build_&lt;topo&gt;_MASTER.bas)</t>
        </is>
      </c>
      <c r="C105" s="34" t="inlineStr">
        <is>
          <t>VALIDATED on 2403</t>
        </is>
      </c>
      <c r="D105" s="34" t="inlineStr">
        <is>
          <t>Macro-built 2403 matches the hand-built master: DRIVE fully defined with all 18 dims placed and named in walkthrough order, revolve volume 0.6853 in^3 == exact profile integral, hex cut removes 5.3% (corners only), bores named DEPTH/START/D1/D2, THD_EndA/B created via ThreadFeatureData (swFmSweepThread, Inch Die 0.7500-16, blind .2837) and suppressed, design table inserted -&gt; 49 configs + Default, self-checks all OK. 12 iterations to get there; report file Build_&lt;topo&gt;_report.txt streams every check.</t>
        </is>
      </c>
      <c r="E105" s="34" t="inlineStr">
        <is>
          <t>INFO</t>
        </is>
      </c>
      <c r="F105" s="34" t="inlineStr">
        <is>
          <t>SolidWorks 2026 API lessons (apply to every future macro): (1) FeatureCut4 returns Nothing unless UseFeatScope/UseAutoSelect/AssemblyFeatureScope/AutoSelectComponents are ALL False and NormalCut=False; (2) swEndCondThroughAllBoth is rejected - use a two-direction cut with ThroughAll/ThroughAll; (3) CreateDefinition(swFmCut) returns Nothing - extrude cuts must use FeatureCut4; (4) an "If Not ok Then Exit Sub" inside the bore routine silently terminated the procedure - avoid Exit Sub inside numbered/traced routines; (5) Thread feature: CreateDefinition(swFmSweepThread), set Edge (object), Type="Inch Die" (string, resolves to the .sldlfp profile), Size="0.7500-16", ThreadMethod=swThreadMethod_Cut, EndCondition=swThreadEndCondition_Blind, BlindDepth; InitializeThreadData is NOT callable with (edge,type,size); (6) angular dims may come out as the supplement and diameter dims as radius depending on text placement - macro retries placements until the value matches; (7) SaveAs fails silently if the target file is open - macro falls back to a timestamped name.</t>
        </is>
      </c>
    </row>
    <row r="106">
      <c r="A106" s="34" t="inlineStr">
        <is>
          <t>2026-09-16</t>
        </is>
      </c>
      <c r="B106" s="34" t="inlineStr">
        <is>
          <t>2405 master</t>
        </is>
      </c>
      <c r="C106" s="34" t="inlineStr">
        <is>
          <t>BUILD (hand) + NPTF</t>
        </is>
      </c>
      <c r="D106" s="34" t="inlineStr">
        <is>
          <t>User built 2405 by hand: 10-dim DRIVE, hex, tap-drill pocket BORECUT_A (.700 x .900) and JIC-side bore BORECUT_B (.390 x .890), THD_EndB (Thread feature), THD_EndA = real tapered NPTF via HELIXSK_A/HELIX_A (Ø.700, .900 high, pitch .0714, taper 1.7899 deg inward) + THDPROF_A (equilateral V, THDH .0571, pierce to helix start) + swept cut. Pitfall found: the V profile pierced at the pocket wall with its apex pointing INTO the pocket (air) -&gt; "failed to cut"; fixed by Mirror Entities about the base. Table with 4 helix columns to be imported by user; not yet confirmed.</t>
        </is>
      </c>
      <c r="E106" s="34" t="inlineStr">
        <is>
          <t>INFO</t>
        </is>
      </c>
      <c r="F106" s="34" t="inlineStr">
        <is>
          <t>2405 stays TABLED until the user confirms 32 configs and the 32-24 pocket/bore check.</t>
        </is>
      </c>
    </row>
    <row r="107">
      <c r="A107" s="34" t="inlineStr">
        <is>
          <t>2026-09-16</t>
        </is>
      </c>
      <c r="B107" s="34" t="inlineStr">
        <is>
          <t>SolidWorks 2026 SP3 regression</t>
        </is>
      </c>
      <c r="C107" s="34" t="inlineStr">
        <is>
          <t>Macro report + config spot-check</t>
        </is>
      </c>
      <c r="D107" s="34" t="inlineStr">
        <is>
          <t>After the SP3 update, a sketch dimension between a profile line and the revolve centreline is created by the API as the RADIUS (distance to axis) regardless of text placement; flipping it to diametric display (DisplayDimension.Diametric) reads back the diameter but the design table then does NOT drive it (values stayed at the master 08 values in every other config -&gt; legs undersized, corner sphere oversized). FIX applied to 2403/2405/2500/2603 masters: those dims are radius dims BODYR, THDMAJR_*, JIC*_CONER; SW2 table columns renamed and = catalog diameter / 2 (script 03_SCRIPTS/sp3fix.py). All other dims unchanged. Catalog/master data still holds diameters.</t>
        </is>
      </c>
      <c r="E107" s="34" t="inlineStr">
        <is>
          <t>HIGH</t>
        </is>
      </c>
      <c r="F107" s="34" t="inlineStr">
        <is>
          <t>Any new straight/elbow master must use radius dims for body, thread major and cone; hand-built 2404/6400 (pre-SP3 diameter dims) still rebuild but should be checked before table edits.</t>
        </is>
      </c>
    </row>
    <row r="108">
      <c r="A108" s="34" t="inlineStr">
        <is>
          <t>2026-09-16</t>
        </is>
      </c>
      <c r="B108" s="34" t="inlineStr">
        <is>
          <t>Macro config spot-check</t>
        </is>
      </c>
      <c r="C108" s="34" t="inlineStr">
        <is>
          <t>Added to all four Build_*_MASTER.bas</t>
        </is>
      </c>
      <c r="D108" s="34" t="inlineStr">
        <is>
          <t>After the design table loads, the macro switches to two configurations (small + largest), reads the driven dims back with Parameter(), checks one solid body, lists any feature with a rebuild error and prints the bounding box, then returns to the 08 reference. Reports 2403/2405/2500/2603 all pass (0 fails; 2405 only the known-unreliable 32-24 volume readback).</t>
        </is>
      </c>
      <c r="E108" s="34" t="inlineStr">
        <is>
          <t>INFO</t>
        </is>
      </c>
      <c r="F108" s="34" t="inlineStr">
        <is>
          <t>Visual check of THD_EndA on 2405-32-24 remains manual.</t>
        </is>
      </c>
    </row>
    <row r="109">
      <c r="A109" s="34" t="inlineStr">
        <is>
          <t>2026-09-16</t>
        </is>
      </c>
      <c r="B109" s="34" t="inlineStr">
        <is>
          <t>Thread feature on fine pitches</t>
        </is>
      </c>
      <c r="C109" s="34" t="inlineStr">
        <is>
          <t>Observed 2603-06-06-04</t>
        </is>
      </c>
      <c r="D109" s="34" t="inlineStr">
        <is>
          <t>Thread feature (Inch Die 0.7500-16 profile with dia/pitch override) fails to cut on -04/-06 ends because Profile_Land/Profile_Height are dialog-only and not table-drivable; the tooth is fixed at the 16-tpi size. Helix-and-V sweep attempted for JIC ends was NOT adopted (regressed the masters); masters keep the Thread feature. Fine-pitch configs (-04/-06 JIC ends) therefore show no thread cut in the model - drawings must carry the thread callout from the property.</t>
        </is>
      </c>
      <c r="E109" s="34" t="inlineStr">
        <is>
          <t>MEDIUM</t>
        </is>
      </c>
      <c r="F109" s="34" t="inlineStr">
        <is>
          <t>Open: per-pitch thread profile library (.sldlfp) or accept cosmetic representation on -04/-06.</t>
        </is>
      </c>
    </row>
    <row r="110">
      <c r="A110" s="34" t="inlineStr">
        <is>
          <t>2026-09-16</t>
        </is>
      </c>
      <c r="B110" s="34" t="inlineStr">
        <is>
          <t>Master build status</t>
        </is>
      </c>
      <c r="C110" s="34" t="inlineStr">
        <is>
          <t>Macro runs 2026-09-16 PM</t>
        </is>
      </c>
      <c r="D110" s="34" t="inlineStr">
        <is>
          <t>2405 (32 configs), 2500 (27), 2603 (41) built by macro on SP3 with clean reports; 2403 rebuilt (49). Saved parts: 2403_MASTER_macro_153332, 2405_MASTER_macro_153518, 2500_MASTER_macro, 2603_MASTER_macro .SLDPRT. Stale copies moved to _to_delete folders (user to delete).</t>
        </is>
      </c>
      <c r="E110" s="34" t="inlineStr">
        <is>
          <t>INFO</t>
        </is>
      </c>
      <c r="F110" s="34" t="inlineStr">
        <is>
          <t>Rename the two timestamped parts to the fixed names once the old files are closed.</t>
        </is>
      </c>
    </row>
    <row r="111">
      <c r="A111" s="34" t="n">
        <v>110</v>
      </c>
      <c r="B111" s="34" t="inlineStr">
        <is>
          <t>2026-09-16</t>
        </is>
      </c>
      <c r="C111" s="34" t="inlineStr">
        <is>
          <t>2502 master built</t>
        </is>
      </c>
      <c r="D111" s="34" t="inlineStr">
        <is>
          <t>Macro run + config spot-check</t>
        </is>
      </c>
      <c r="E111" s="34" t="inlineStr">
        <is>
          <t>2502 90 deg female pipe elbow built by Build_2502_MASTER.bas on SP3: 29 configs, 0 failures. Layout: origin = NPTF female face; LEGP boss revolve about X (x 0..N1, R = Y1/2); LEGJ JIC male revolve about Y with its axis at x = N1 (y 0..M1); CORNER sphere at (N1,0) R = max(BOSSR, BODYR); tap-drill pocket + bore to the JIC axis from the pipe face; bore from the JIC tip to the pipe axis; THD_EndB Thread feature; THD_EndA tapered NPTF helix sweep (2405 routine reused unchanged because the pipe face sits at x=0). Spot-check 2502-04-02 and 2502-24-24 read every driven dim from the table; extents 0..1.795 x -0.565..1.550 on the reference config.</t>
        </is>
      </c>
      <c r="F111" s="34" t="inlineStr">
        <is>
          <t>INFO</t>
        </is>
      </c>
      <c r="G111" s="34" t="inlineStr">
        <is>
          <t>Visual check of THD_EndA / THD_EndB unsuppressed on one small and one large config still to do.</t>
        </is>
      </c>
    </row>
    <row r="112">
      <c r="A112" s="34" t="n">
        <v>111</v>
      </c>
      <c r="B112" s="34" t="inlineStr">
        <is>
          <t>2026-09-16</t>
        </is>
      </c>
      <c r="C112" s="34" t="inlineStr">
        <is>
          <t>Angle dimension placement on off-origin legs</t>
        </is>
      </c>
      <c r="D112" s="34" t="inlineStr">
        <is>
          <t>Build_2502 report trace</t>
        </is>
      </c>
      <c r="E112" s="34" t="inlineStr">
        <is>
          <t>Dim_ang chose its alternate text placements by mirroring through the ORIGIN, which only works when the leg axis passes through it (2403/2500/2603). On 2502 the JIC leg axis is at x = N1, so all six candidates returned the supplement (120 deg instead of 60). FIX: Dim_ang now also tries the four quadrants around the vertex the two dimensioned lines share (found geometrically via SegVertex) and traces the angle it got at each attempt. Candidate 0 is unchanged, so the four existing masters are unaffected.</t>
        </is>
      </c>
      <c r="F112" s="34" t="inlineStr">
        <is>
          <t>MEDIUM</t>
        </is>
      </c>
      <c r="G112" s="34" t="inlineStr">
        <is>
          <t>Use the updated Dim_ang (03_SCRIPTS/sp3fix.py DIMANG) for every new topology whose legs do not pass through the origin (2503, 6803 branch).</t>
        </is>
      </c>
    </row>
    <row r="113">
      <c r="A113" s="34" t="n">
        <v>112</v>
      </c>
      <c r="B113" s="34" t="inlineStr">
        <is>
          <t>2026-09-16</t>
        </is>
      </c>
      <c r="C113" s="34" t="inlineStr">
        <is>
          <t>2502 modeling assumptions</t>
        </is>
      </c>
      <c r="D113" s="34" t="inlineStr">
        <is>
          <t>Generator asserts + row AxialSource</t>
        </is>
      </c>
      <c r="E113" s="34" t="inlineStr">
        <is>
          <t>Logged per row: boss modeled as a round dia Y1 (catalog gives Y1 as a width); JIC-leg body radius taken from the 2500 table for the same JIC dash (catalog has no JIC-leg body width for 2502); corner sphere R = max(BOSSR, BODYR); NPTF pocket depth and helix parameters copied from the 2405 table per pipe dash. Generator asserts every row: JIC leg longer than the corner, pipe leg longer than the corner, tap drill inside the boss, tap drill equal to the 2502 catalog value.</t>
        </is>
      </c>
      <c r="F113" s="34" t="inlineStr">
        <is>
          <t>MEDIUM</t>
        </is>
      </c>
      <c r="G113" s="34" t="inlineStr">
        <is>
          <t>Promote the JIC-leg body width and the pocket depth to VERIFIED if a 2502 drawing or STEP file becomes available.</t>
        </is>
      </c>
    </row>
    <row r="114">
      <c r="A114" s="34" t="n">
        <v>113</v>
      </c>
      <c r="B114" s="34" t="inlineStr">
        <is>
          <t>2026-09-16</t>
        </is>
      </c>
      <c r="C114" s="34" t="inlineStr">
        <is>
          <t>2502 tangency defect found and fixed</t>
        </is>
      </c>
      <c r="D114" s="34" t="inlineStr">
        <is>
          <t>All-config sweep (Check_2502_AllConfigs.bas) + build spot-check</t>
        </is>
      </c>
      <c r="E114" s="34" t="inlineStr">
        <is>
          <t>BORECUT_J failed with error 1 on 2502-20-20 and 2502-20-20-FG only. Cause: the tap-drill pocket floor sits at x = P1 and the JIC bore wall at x = N1 - D/2; on those two rows both are 1.160, so the pocket floor was exactly TANGENT to the bore cylinder (a plane grazing a cylinder - degenerate for the modelling kernel). Every other configuration clears by 0.025 or more. FIX: where the pocket would come within 0.02 of the bore wall the generator models it 0.02 short (1.16 -&gt; 1.14, those two rows only) and records the adjustment in that row AxialSource. MODELLING clearance, not a data change: the catalog NPTF thread depth is unchanged and remains the drawing callout. Verified 2502-20-20-FG rebuilds clean, one solid body, no feature errors.</t>
        </is>
      </c>
      <c r="F114" s="34" t="inlineStr">
        <is>
          <t>MEDIUM</t>
        </is>
      </c>
      <c r="G114" s="34" t="inlineStr">
        <is>
          <t>Apply the same pocket-vs-cross-bore-wall clearance test to any future topology with a pocket meeting a cross bore (2503, 6803 branch). The generator previously warned only when the pocket OVERSHOT the bore, so exact equality slipped through.</t>
        </is>
      </c>
    </row>
    <row r="115">
      <c r="A115" s="34" t="n">
        <v>114</v>
      </c>
      <c r="B115" s="34" t="inlineStr">
        <is>
          <t>2026-09-16</t>
        </is>
      </c>
      <c r="C115" s="34" t="inlineStr">
        <is>
          <t>Diagnostic macro pattern</t>
        </is>
      </c>
      <c r="D115" s="34" t="inlineStr">
        <is>
          <t>Check_2502_AllConfigs.bas (CheckAllConfigs2502)</t>
        </is>
      </c>
      <c r="E115" s="34" t="inlineStr">
        <is>
          <t>Read-only all-config sweep: rebuilds every configuration, finds each bore BY GEOMETRY (a cylindrical face of the right radius about the right axis) rather than by feature name, measures the bore extent along its axis, and lists features that are suppressed or carry a rebuild error. Two VBA traps found writing it: Dim inside a For loop does NOT reset the variable each pass (an error string carried across configurations and made clean configs look broken), and Body2.GetMassProperties returned nothing behind On Error Resume Next so every volume printed 0. Entry point renamed CheckAllConfigs2502 so it can coexist with a Build_ module - two Sub main in one VBA project is an ambiguous name error.</t>
        </is>
      </c>
      <c r="F115" s="34" t="inlineStr">
        <is>
          <t>INFO</t>
        </is>
      </c>
      <c r="G115" s="34" t="inlineStr">
        <is>
          <t>Run this sweep on each new topology before calling it BUILT; the build macro spot-check only samples two configurations.</t>
        </is>
      </c>
    </row>
    <row r="116">
      <c r="A116" s="34" t="n">
        <v>115</v>
      </c>
      <c r="B116" s="34" t="inlineStr">
        <is>
          <t>2026-09-23</t>
        </is>
      </c>
      <c r="C116" s="34" t="inlineStr">
        <is>
          <t>Forged-body masters 2502HX / 2500HX / 2603HX</t>
        </is>
      </c>
      <c r="D116" s="34" t="inlineStr">
        <is>
          <t>Brennan STEP files (09_STEP_FILES) parsed for surface types/radii; hex bars, 30deg double-cone corners and 2502 round collar rebuilt from Air-Way Y/Y1/N1 numbers; Build_25xxHX_MASTER.bas + DesignTable_25xxHX_SW2.xlsx</t>
        </is>
      </c>
      <c r="E116" s="34" t="inlineStr">
        <is>
          <t>Hex across flats = Air-Way Y (Y1 for 2502 collar); corner = double cone about the flat-normal axis, radius AC=h/cos30 at mid-plane, R1=AC-h*tan30 at the flats; JIC shoulder = M - endlen (MS33656J chain) matched Brennan exactly. ASSUMPTION logged in each table AxialSource: 2502 collar length CL=min(0.30*N1, N1-AC-0.03) (Brennan 06-04-FG shows 0.26). Edge fillets NOT modelled (FeatureFillet3 / ModelDoc2.FeatureFillet return Nothing on SW2026 SP3 - unresolved). All three masters rebuild clean with config spot-checks; helix threads kept visible per client instruction.</t>
        </is>
      </c>
      <c r="F116" s="34" t="inlineStr">
        <is>
          <t>MEDIUM</t>
        </is>
      </c>
      <c r="G116" s="34" t="inlineStr">
        <is>
          <t>Log the collar-length assumption on any drawing that dimensions it; revisit fillets when an API path is found.</t>
        </is>
      </c>
    </row>
    <row r="117">
      <c r="A117" s="34" t="n">
        <v>116</v>
      </c>
      <c r="B117" s="34" t="inlineStr">
        <is>
          <t>2026-09-23</t>
        </is>
      </c>
      <c r="C117" s="34" t="inlineStr">
        <is>
          <t>Series drawing macro (OMi_SeriesDrawings.bas)</t>
        </is>
      </c>
      <c r="D117" s="34" t="inlineStr">
        <is>
          <t>One B-size drawing per built series on the client 6600 sheet (02_TEMPLATES/OMi_SheetFormat_B_6600.SLDDRW): OpenDoc6 base, delete views, CreateDrawViewFromModelView3, early-bound InsertModelAnnotations3 (all views) after ForceRebuild3, prune to KEEP list via returned annotation array, SaveAs SLDDRW+PDF, write-through report log</t>
        </is>
      </c>
      <c r="E117" s="34" t="inlineStr">
        <is>
          <t>Produces 10_DRAWINGS/&lt;series&gt;_SERIES.PDF for 2403/2405/2500/2502/2603 with imported model dims. Not yet: section view, 37deg seat callouts, thread leaders, top/left views (the 6600 example layout); per-part batch loop (set ReferencedConfiguration per config) is the planned next step.</t>
        </is>
      </c>
      <c r="F117" s="34" t="inlineStr">
        <is>
          <t>LOW</t>
        </is>
      </c>
      <c r="G117" s="34" t="inlineStr">
        <is>
          <t>Client to run latest version and check report; then add the 6600-style views.</t>
        </is>
      </c>
    </row>
    <row r="118">
      <c r="A118" s="34" t="n">
        <v>117</v>
      </c>
      <c r="B118" s="34" t="inlineStr">
        <is>
          <t>2026-09-23</t>
        </is>
      </c>
      <c r="C118" s="34" t="inlineStr">
        <is>
          <t>Design tables for all remaining Air-Way-covered topologies (62 roots)</t>
        </is>
      </c>
      <c r="D118" s="34" t="inlineStr">
        <is>
          <t>Two independent WebFetch passes per Air-Way series page (forward + reverse enumeration), row sets compared programmatically (03_SCRIPTS/cmp.py), targeted third fetch on any conflict (1404-16-20/20-16 only), values copied EXACTLY as printed; generator 03_SCRIPTS/gen_tables.py</t>
        </is>
      </c>
      <c r="E118" s="34" t="inlineStr">
        <is>
          <t>1059 Air-Way rows across 62 roots -&gt; DesignTable_&lt;root&gt;.xlsx (catalog-letter columns @DRIVE/@HEX/@BORE, THDMAJ_* from recognised callouts only, $PRP@PartNo zero-padded, DataStatus ASSUMED single-source). 23 rows are MISSING because the page value is blank/garbled or the thread callout is not a standard size (left empty, quoted in $COMMENT). Raw extracts 07_RAW_EXTRACTS/&lt;root&gt;.csv. Stated ROWS= counts from the summariser were wrong on 9 pages (e.g. 2703 said 30 and 26, both enumerated 28) - enumeration always won.</t>
        </is>
      </c>
      <c r="F118" s="34" t="inlineStr">
        <is>
          <t>NONE</t>
        </is>
      </c>
      <c r="G118" s="34" t="inlineStr">
        <is>
          <t>Sibling ORFS (FF*) and FLARE-O (F*) series of the same roots were NOT extracted this pass - they are the seal-family columns for the same masters and still need their own double-pass.</t>
        </is>
      </c>
    </row>
    <row r="119">
      <c r="A119" s="34" t="n">
        <v>118</v>
      </c>
      <c r="B119" s="34" t="inlineStr">
        <is>
          <t>2026-09-23</t>
        </is>
      </c>
      <c r="C119" s="34" t="inlineStr">
        <is>
          <t>Air-Way source anomalies (this batch)</t>
        </is>
      </c>
      <c r="D119" s="34" t="inlineStr">
        <is>
          <t>Collected while extracting; full list 07_RAW_EXTRACTS/airway_anomalies_2026-09-23.txt (48 notes)</t>
        </is>
      </c>
      <c r="E119" s="34" t="inlineStr">
        <is>
          <t>Typos reproduced as printed and flagged, never corrected: thread callouts 1/8-24 (1501-2-4-FG), 1/8-18 (1502-4-2), 1/4918 (1504-4-4-FG), 14-18 (5604-4-4-4-FG), 1/4-14 (5605-8-8-8-FG), 1 7/8-14 (2650-24, 6501-24-24, 6502-24-24), 1 1/2-12 on a -32 end (2605-32-32-32-FG), 3/16-16 (2703-8-8-8-FG-LN), 1 5/16-18 (6602-16-10-6), 2 1/2-2 1/2 (6565-32-32), 1 1/2-11 (2706-24-24-LN); decimals .056 (2701-4-4-LN), 030 (4503-6-6-FG), .030/.039 (6504-6-8), .31 (6600-24-24-24-FG); implausible D on 5503 -FG rows (0.83/1.19/1.54/1.64) and 2702-12-12-FG-LN (looks like a -16 row); 4604-20-14-0 (zero for O); 2704 has no 4-4-4-LN row; 6505 D1 printed --- on 12 rows (treated as not-applicable, not MISSING); 6506 L17 blank on 5 rows (MISSING).</t>
        </is>
      </c>
      <c r="F119" s="34" t="inlineStr">
        <is>
          <t>LOW</t>
        </is>
      </c>
      <c r="G119" s="34" t="inlineStr">
        <is>
          <t>Confirm each with the client before any of these rows are released; the THDMAJ cell is empty for every unrecognised callout so the macro cannot cut a wrong thread.</t>
        </is>
      </c>
    </row>
    <row r="120">
      <c r="A120" s="34" t="n">
        <v>119</v>
      </c>
      <c r="B120" s="34" t="inlineStr">
        <is>
          <t>2026-09-23</t>
        </is>
      </c>
      <c r="C120" s="34" t="inlineStr">
        <is>
          <t>ScopeAction reconciliation vs OMi catalog</t>
        </is>
      </c>
      <c r="D120" s="34" t="inlineStr">
        <is>
          <t>OMi products.json feed crawled (cs-adapters 34 pages, flange 4, braze 2; limit=50; single pass 2026-09-23; 1831 SKUs captured, feed drops 1-5 records per page as before - 2613 absent entirely). Matched to Air-Way rows on (root, dash numbers, suffix set) ignoring token order and the 17xx "-61" code; 03_SCRIPTS/scope.py; raw SKU lists 07_RAW_EXTRACTS/omi_feed/</t>
        </is>
      </c>
      <c r="E120" s="34" t="inlineStr">
        <is>
          <t>364 Air-Way rows BUILD (OMi SKU exists), 695 DROP (Air-Way-only), 308 OMi SKUs with NO Air-Way row appended as MISSING configs (BUILD). Of those 308, 166 differ from an Air-Way row ONLY by the -FG suffix (OMi sells e.g. 1601-04-04-04-FG, Air-Way lists 1601-4-4-4): flagged BUILD-NEAR, dims deliberately NOT copied because forged/machined variants differ in length on series that list both (1501 N1, 2701 Y). Largest gaps: 1703 (OMi 19 SKUs, Air-Way 1 row), 1704 (25 vs 2), 6501 (14 OMi-only), 6901 (14), 4501 (11).</t>
        </is>
      </c>
      <c r="F120" s="34" t="inlineStr">
        <is>
          <t>HIGH</t>
        </is>
      </c>
      <c r="G120" s="34" t="inlineStr">
        <is>
          <t>CLIENT DECISION NEEDED: are OMi "-FG" SKUs dimensionally the Air-Way non-FG row, the Air-Way FG row, or neither? Until answered these configs stay MISSING and are not released.</t>
        </is>
      </c>
    </row>
    <row r="121">
      <c r="A121" s="34" t="n">
        <v>120</v>
      </c>
      <c r="B121" s="34" t="inlineStr">
        <is>
          <t>2026-09-23</t>
        </is>
      </c>
      <c r="C121" s="34" t="inlineStr">
        <is>
          <t>Topologies with OMi SKUs but no Air-Way carbon-steel series</t>
        </is>
      </c>
      <c r="D121" s="34" t="inlineStr">
        <is>
          <t>Cross of Topologies sheet vs Air-Way series index vs OMi feed</t>
        </is>
      </c>
      <c r="E121" s="34" t="inlineStr">
        <is>
          <t>18 roots (0618, 0619, 1724, 1800, 1803, 1804, 1824, 3474, 4000, 4001, 4005, 6420, 6425, 6566, 6701, 6815, 6832, 6835) now have DesignTable_&lt;root&gt;.xlsx SKELETONS: one MISSING row per OMi SKU, no dimensions. 1901/1902/1927-61/1927-62 are all -KIT SKUs -&gt; OUT OF SCOPE (kits). 2402/6316/6540/7202 not found in the CS feed crawl (C-/FS-only roots).</t>
        </is>
      </c>
      <c r="F121" s="34" t="inlineStr">
        <is>
          <t>MEDIUM</t>
        </is>
      </c>
      <c r="G121" s="34" t="inlineStr">
        <is>
          <t>Find a dimensional source per skeleton root (Parker/Brennan catalog page or STEP) - Air-Way has nothing for them.</t>
        </is>
      </c>
    </row>
    <row r="122">
      <c r="A122" s="34" t="n">
        <v>121</v>
      </c>
      <c r="B122" s="34" t="inlineStr">
        <is>
          <t>2026-09-23</t>
        </is>
      </c>
      <c r="C122" s="34" t="inlineStr">
        <is>
          <t>Design-table column naming (this batch)</t>
        </is>
      </c>
      <c r="D122" s="34" t="inlineStr">
        <is>
          <t>Reviewed against the 2026-09-06 TABLED batch (5602, 5504, 2700, 6403)</t>
        </is>
      </c>
      <c r="E122" s="34" t="inlineStr">
        <is>
          <t>Kept the catalog-letter convention (L@DRIVE, N1_2@DRIVE, C3HEX@HEX, D2@BORE, TAPDRILL1@BORE, THDMAJ_B1@DRIVE) so all TABLED sheets read the same; parenthesised "X (n)" -&gt; Xn, or X_n when the page also has a literal Xn (2605 has both "D (1)" and "D1"). Added $PRP@ScopeAction and $PRP@OMiSKU columns (custom properties only - harmless to the build macros).</t>
        </is>
      </c>
      <c r="F122" s="34" t="inlineStr">
        <is>
          <t>INFO</t>
        </is>
      </c>
      <c r="G122" s="34" t="inlineStr">
        <is>
          <t>The generic D1..D6 slot mapping (DimensionMap) still needs to be filled per root when each master is built.</t>
        </is>
      </c>
    </row>
    <row r="123">
      <c r="A123" s="34" t="n">
        <v>122</v>
      </c>
      <c r="B123" s="34" t="inlineStr">
        <is>
          <t>2026-09-23</t>
        </is>
      </c>
      <c r="C123" s="34" t="inlineStr">
        <is>
          <t>0304 / 0306 / 0318 / 0319 / 0403 (roots listed unpadded on Air-Way)</t>
        </is>
      </c>
      <c r="D123" s="34" t="inlineStr">
        <is>
          <t>Same double-pass extraction; part numbers zero-padded to the project form (304-4 -&gt; 0304-04)</t>
        </is>
      </c>
      <c r="E123" s="34" t="inlineStr">
        <is>
          <t>0318 nut and 0319 sleeve match the OMi feed 12/13 each (Air-Way -3 size has no OMi SKU). 0304: Air-Way 304 standard nut (9 rows, -4..-20) vs OMi 0304-C-02..-32 (13 SKUs, incl. -2/-3/-24/-32 and a -C suffix) -&gt; no size/suffix match, all OMi SKUs MISSING. 0306: Air-Way publishes only the ORFS FF306 bulkhead locknut (6 rows, ORFS threads) while OMi 0306-02..-32 are JIC bulkhead locknuts -&gt; different thread family, all 12 OMi SKUs MISSING. 0403 braze union: Air-Way rows carry UNPL / PF UNPL suffixes; OMi 0403-04-04..-20-20 (7) matched as BUILD-NEAR to the UNPL rows (dims not copied).</t>
        </is>
      </c>
      <c r="F123" s="34" t="inlineStr">
        <is>
          <t>MEDIUM</t>
        </is>
      </c>
      <c r="G123" s="34" t="inlineStr">
        <is>
          <t>Client: confirm what -C means on 0304-C and whether OMi 0306 is the JIC (not ORFS) locknut; then a second source (MS51531 / MS51533 already transcribed in NutRef sheet) can VERIFY 0318/0319.</t>
        </is>
      </c>
    </row>
    <row r="124">
      <c r="A124" s="34" t="n">
        <v>123</v>
      </c>
      <c r="B124" s="34" t="inlineStr">
        <is>
          <t>2026-09-23</t>
        </is>
      </c>
      <c r="C124" s="34" t="inlineStr">
        <is>
          <t>ScopeAction reconciliation applied to the 38 earlier tables (54 files incl. -L/-LL/-LLL/-LH/-N/-C/-P variants)</t>
        </is>
      </c>
      <c r="D124" s="34" t="inlineStr">
        <is>
          <t>Same OMi feed crawl and matching as QA #120 (03_SCRIPTS/scope2.py); variant SKUs routed to their variant table; 5404-N lengths (2-2 X 2 vs 04X2.000), 5406-02P vs 5406-P-02 and plug SOLID/H spellings normalised; report 07_RAW_EXTRACTS/scope_report_old_2026-09-23.json</t>
        </is>
      </c>
      <c r="E124" s="34" t="inlineStr">
        <is>
          <t>762 Air-Way rows BUILD, 740 DROP, 241 OMi SKUs appended as MISSING rows (101 differ only by -FG). 2404 matches 54/54 (agrees with the pilot). Tables with NO OMi SKUs at all: 2407, 6403, 6409, 2404-LL, 2501-LLL, 6801-LLL (Air-Way-only variants -&gt; every row DROP). Largest OMi-only gaps: 5404-N (21 lengths OMi sells that Air-Way does not list), 5406 (17), 6408 (13), 2406/2700/5404 (10 each). Existing dimension cells were NOT touched; only the two new columns and appended rows.</t>
        </is>
      </c>
      <c r="F124" s="34" t="inlineStr">
        <is>
          <t>MEDIUM</t>
        </is>
      </c>
      <c r="G124" s="34" t="inlineStr">
        <is>
          <t>Same client decision as #120 on the -FG SKUs; the 5404-N/5406/6408 gaps need a second dimensional source (they are simple plugs/caps/nipples - Parker or Brennan catalog will likely cover them).</t>
        </is>
      </c>
    </row>
    <row r="125">
      <c r="A125" s="34" t="n">
        <v>124</v>
      </c>
      <c r="B125" s="34" t="inlineStr">
        <is>
          <t>2026-09-23</t>
        </is>
      </c>
      <c r="C125" s="34" t="inlineStr">
        <is>
          <t>Straights family batch: 5000, 5404, 5405, 6401, 6405, 0403 masters built from one generator (03_SCRIPTS/gen_straight2.py) - three macro rounds, six clean Build_&lt;root&gt;_report.txt</t>
        </is>
      </c>
      <c r="D125" s="34" t="inlineStr">
        <is>
          <t>Generator reads the review tables + 2403/2405 SW2 end chains, MS51500 NPTF, 5404 measured end lengths, 6401/6405/6410 ORB data; writes DesignTable_&lt;root&gt;_SW2.xlsx + Build_&lt;root&gt;_MASTER.bas with self-checks (fully-defined DRIVE, revolve volume, hex corners, bore open on the axis at both ends and pocket bottoms, end faces at 0 and L, per-config readback of L/BODYR/HEX/thread/profile/pocket/bore dims, one body, every feature rebuilds).</t>
        </is>
      </c>
      <c r="E125" s="34" t="inlineStr">
        <is>
          <t>BUILT (SP3): 5000 19 cfg, 5404 25, 5405 23, 6401 20, 6405 36, 0403 33. Round-1 defects fixed: End-B helix profile dims (explicit horizontal/vertical dims), 0403 through-bore cut from End B face, angle readback in degrees, loose bounding box replaced by end-face check. Thread-feature tooth: SW "Inch Die 0.7500-16" profile keeps a 16-tpi tooth when pitch is overridden -&gt; adjacent turns overlap on 20/24-tpi configs (rebuild error 1 on 6401-04-02, 6405-03-04, 0403-04-04). Fixed by renaming the feature's "Thread Profile1" sub-sketch to THD_EndX_PROF and driving Profile_Height (0.5413P), Profile_Land (0.25P) and THDPITCH @THD_EndX_PROF from the table; verified per config. Brennan 5405-08-08 STEP (09_STEP_FILES) measured: L 1.870 = Air-Way; female 1/2 NPTF port = 45deg chamfer 0.049, taper thread to 0.750, tap drill dia 0.718 to 0.900 (= MS51503 P1 max -&gt; P1 VERIFIED for -08), 120deg drill point, bore 0.531 = Air-Way D. Excluded from the SW2 tables: MISSING and DROP rows (0403 built on its UNPL rows, all DROP pending QA #120/#123), -14/-32 ORB ends (no groove width), 5405-12-08/-16-08/-16-12 (Air-Way bore &gt; tap drill), 6405-24-16-O (P1 1.14 &gt; L 1.00). 12 rows of 6405 carry an AS-PRINTED WARNING (drill depth reaches into the ORB thread region; L31 suspect).</t>
        </is>
      </c>
      <c r="F125" s="34" t="inlineStr">
        <is>
          <t>HIGH</t>
        </is>
      </c>
      <c r="G125" s="34" t="inlineStr">
        <is>
          <t>(1) The 16-tpi tooth defect also affects the earlier masters 2403/2405/2500/2502/2603 on their -02..-06 configs (spot-checked only on -10/-20): regenerate with the _PROF columns. (2) Helix thread depth on 5405/6405 is cut to the full drill depth P1; Brennan shows thread 0.750 vs drill 0.900 for -08 - a 5405 fleet (-04, -12, -16 ...) would give per-size thread depth. (3) 5000: threads cut to min(P1, L/2) (ASSUMPTION). (4) 5405 bore&gt;tap-drill rows and 6405 suspect L31 rows need a second source before release.</t>
        </is>
      </c>
    </row>
    <row r="126">
      <c r="A126" s="34" t="n">
        <v>125</v>
      </c>
      <c r="B126" s="34" t="inlineStr">
        <is>
          <t>2026-09-24</t>
        </is>
      </c>
      <c r="C126" s="34" t="inlineStr">
        <is>
          <t>Thread-tooth fix + all-config sweep + threads-suppressed resting state applied to every BUILT macro master (2403, 2405, 2500HX, 2502HX, 2603HX; the six straights already had the tooth fix)</t>
        </is>
      </c>
      <c r="D126" s="34" t="inlineStr">
        <is>
          <t>Each Build_&lt;root&gt;_MASTER.bas: Thread feature sub-sketch "Thread ProfileN" renamed THD_EndX_PROF; SW2 tables drive Profile_Height (0.54127P), Profile_Land (0.25P), THDPITCH @THD_EndX_PROF; new ALL-configuration rebuild sweep (every config, every feature, one body) before save; new final step suppresses every THD_ feature in every configuration (SetSuppression2 all-configs + per-config by name, verified with IsSuppressed2). OMi_ThreadState.bas (SuppressThreads_AllMasters) run over 11_MASTERS.</t>
        </is>
      </c>
      <c r="E126" s="34" t="inlineStr">
        <is>
          <t>All clean. Sweeps: 2403 49/49, 2405 32/32, 2500HX 27/27, 2502HX 29/29, 2603HX 41/41 configurations rebuilt, 0 feature/body failures. ThreadState: 11 masters, every THD_ feature suppressed in every configuration (0 configs live), saved. The first version of the suppress step (single all-configs call, 2026-09-23) did not stick - replaced. 2405 "THD_EndA cuts on 2405-32-24: removed 0" FAIL was a false alarm in the check itself (it measured with the thread already live; the sweep shows THD_EndA rebuilds on all 32 configs) - check fixed to measure suppressed-then-live.</t>
        </is>
      </c>
      <c r="F126" s="34" t="inlineStr">
        <is>
          <t>INFO</t>
        </is>
      </c>
      <c r="G126" s="34" t="inlineStr">
        <is>
          <t>None. Resting state now matches the project rule: threads suppressed in the saved masters; OMi_SeriesDrawings / OMi_BatchDrawings unsuppress for views and re-suppress. Masters live in 11_MASTERS\&lt;root&gt;_MASTER.SLDPRT.</t>
        </is>
      </c>
    </row>
    <row r="127">
      <c r="A127" s="34" t="n">
        <v>126</v>
      </c>
      <c r="B127" s="34" t="inlineStr">
        <is>
          <t>2026-09-24</t>
        </is>
      </c>
      <c r="C127" s="34" t="inlineStr">
        <is>
          <t>CORRECTION to QA #125: the all-config sweeps did not exercise the threads</t>
        </is>
      </c>
      <c r="D127" s="34" t="inlineStr">
        <is>
          <t>While building the tee generator: Build_2403/2405/2500HX/2502HX/2603HX ThreadCut and NptfThread suppressed each THD_ feature the moment it was created (SetSuppression2 all-configs), so the design-table configs and the 2026-09-24 all-config sweep rebuilt those parts WITHOUT their threads. The six straights (0403/5000/5404/5405/6401/6405) had no all-config sweep, only the two-config spot check (threads live).</t>
        </is>
      </c>
      <c r="E127" s="34" t="inlineStr">
        <is>
          <t>QA #125 "0 feature/body failures" is valid for the bodies, NOT for the threads on the five older masters; thread-tooth fix unverified on their small configs. FIXED in all 11 macros: threads stay live until the final resting-state step, every macro now runs the all-config sweep. New 03_SCRIPTS/OMi_SweepCheck.bas (SweepAllMasters) opens every master in 11_MASTERS, unsuppresses THD_ per configuration, rebuilds, checks every feature, one body and that the threads removed material, then closes WITHOUT saving; report SweepCheck_report.txt.</t>
        </is>
      </c>
      <c r="F127" s="34" t="inlineStr">
        <is>
          <t>HIGH</t>
        </is>
      </c>
      <c r="G127" s="34" t="inlineStr">
        <is>
          <t>User to run OMi_SweepCheck once; masters stay BUILT pending that report.</t>
        </is>
      </c>
    </row>
    <row r="128">
      <c r="A128" s="34" t="n">
        <v>127</v>
      </c>
      <c r="B128" s="34" t="inlineStr">
        <is>
          <t>2026-09-24</t>
        </is>
      </c>
      <c r="C128" s="34" t="inlineStr">
        <is>
          <t>Tees &amp; crosses batch generated: 2650, 2601, 2602, 2605, 5600, 5602, 5604, 5605 (03_SCRIPTS/gen_tee.py)</t>
        </is>
      </c>
      <c r="D128" s="34" t="inlineStr">
        <is>
          <t>Generic forged tee/cross generator on the 2603HX pattern: legs revolved from the axis crossing (1/2 = +X/-X, 3 = +Y, 4 = -Y), hex bars A/F = max(Air-Way hex, JIC thread majors) with flats normal to Z (run bar + branch arm; crosses two continuous bars), JIC / male NPTF / female NPTF leg modules shared with gen_straight2, bores from each face to the crossing, female ports tap drill to MS51503 P1 then the part's own bore (or tap drill) to the crossing. Cross-checked against Brennan 2650-08-08-08-08-FG STEP: A/F 0.750 = Air-Way Y, hex shoulders 0.593 = M - JIC end length, bore 0.392 = Air-Way D.</t>
        </is>
      </c>
      <c r="E128" s="34" t="inlineStr">
        <is>
          <t>39 configurations tabled (2650 4, 2601 9, 2602 5, 2605 7, 5600 6, 5602 2, 5604 3, 5605 3). 8 rows (2601/2605 -12/-16/-20, 5600 -12/-16) were first blocked because the male NPTF thread at L2 is not inside Air-Way's hex; UNBLOCKED 2026-09-24 by the Brennan 5600-16-16-16-FG STEP (09_STEP_FILES): hex A/F 1.3125 (= Air-Way 1.31), hex stops 1.03 from the centre = N 1.97 - 0.94 (the 5404 male-pipe end length -&gt; end-length assumption now 2-source for -16), round end dia 1.315 standing 0.001 proud of the flats, bore 0.938 (= Air-Way D 0.94). Round male end proud of the flats is therefore real forged geometry; only a zero-height shoulder would be refused. No buildable rows: 2606, 2609, 2611, 5601, 5603, 5652 (OMi -FG sizes not on Air-Way); 2613 has no OMi SKUs at all.</t>
        </is>
      </c>
      <c r="F128" s="34" t="inlineStr">
        <is>
          <t>MEDIUM</t>
        </is>
      </c>
      <c r="G128" s="34" t="inlineStr">
        <is>
          <t>User to run the 8 macros (RUN_ME_tees.txt). -FG near-match decision still open (see chat 2026-09-24).</t>
        </is>
      </c>
    </row>
    <row r="129">
      <c r="A129" s="34" t="n">
        <v>128</v>
      </c>
      <c r="B129" s="34" t="inlineStr">
        <is>
          <t>2026-09-24</t>
        </is>
      </c>
      <c r="C129" s="34" t="inlineStr">
        <is>
          <t>Caliper spot-check sheet for OMi (00_DOCS/OMi_Caliper_SpotCheck.xlsx)</t>
        </is>
      </c>
      <c r="D129" s="34" t="inlineStr">
        <is>
          <t>Counted from all 134 review tables: 735 OMi parts have no dimensions (260 forged -FG sizes where Air-Way lists only the non-forged size, 7 unplated-only, 468 with no Air-Way row) across 105 series. OMi has no dimensional data. Chosen approach: one caliper-measured part per series to find which catalog (Air-Way or Brennan) matches OMi's real parts, then fill each series from that catalog.</t>
        </is>
      </c>
      <c r="E129" s="34" t="inlineStr">
        <is>
          <t>102 parts listed (one per series; 4000/4001/4005 are rubber O-rings, 30 parts, excluded as not steel fittings). Pick rule per series: a forged near-match size (compares forged vs Air-Way non-forged) when one exists, else an Air-Way-dimensioned size (validates Air-Way for the series), else any size; mid size (-08) preferred. Six tabs by part type with where-to-measure pictures; raw extents only (face to far side of body for elbows/tees), no threads. Evidence for not copying non-forged dims: of 414 Air-Way forged/non-forged size pairs only 29 are identical; forged hex is one size smaller in almost all.</t>
        </is>
      </c>
      <c r="F129" s="34" t="inlineStr">
        <is>
          <t>INFO</t>
        </is>
      </c>
      <c r="G129" s="34" t="inlineStr">
        <is>
          <t>User to send the sheet to OMi. Separately: user to download Brennan's adapter catalog PDF (brennaninc.com/catalogs blocks automated access). O-ring series 4000/4001/4005: confirm out of CAD scope.</t>
        </is>
      </c>
    </row>
    <row r="130">
      <c r="A130" s="34" t="n">
        <v>129</v>
      </c>
      <c r="B130" s="34" t="inlineStr">
        <is>
          <t>2026-09-24</t>
        </is>
      </c>
      <c r="C130" s="34" t="inlineStr">
        <is>
          <t>OMi_SweepCheck run on all 11 masters in 11_MASTERS (closes QA #126)</t>
        </is>
      </c>
      <c r="D130" s="34" t="inlineStr">
        <is>
          <t>SweepAllMasters: every configuration shown, every THD_ feature unsuppressed in that configuration, rebuilt, checked (every feature error code 0, one solid body, threads removed material), threads re-suppressed, part closed without saving. Report 03_SCRIPTS/SweepCheck_report.txt.</t>
        </is>
      </c>
      <c r="E130" s="34" t="inlineStr">
        <is>
          <t>ALL CLEAN: 334 configurations across 11 masters, 0 failing - 0403 33, 2403 49, 2405 32, 2500HX 27, 2502HX 29, 2603HX 41, 5000 19, 5404 25, 5405 23, 6401 20, 6405 36. The thread-tooth fix (THD_EndX_PROF) is now verified with threads live on every size, including the -02..-06 configs. Saved masters untouched (threads suppressed = resting state).</t>
        </is>
      </c>
      <c r="F130" s="34" t="inlineStr">
        <is>
          <t>INFO</t>
        </is>
      </c>
      <c r="G130" s="34" t="inlineStr">
        <is>
          <t>None. The 11 masters are verified. Tee/cross batch (8 macros, 39 configs) is next.</t>
        </is>
      </c>
    </row>
    <row r="131">
      <c r="A131" s="34" t="n">
        <v>130</v>
      </c>
      <c r="B131" s="34" t="inlineStr">
        <is>
          <t>2026-09-24</t>
        </is>
      </c>
      <c r="C131" s="34" t="inlineStr">
        <is>
          <t>2602 dialog "THDPITCH@THD_End1_PROF / End2_PROF no longer drive" - thread-profile pitch dimension not renamed</t>
        </is>
      </c>
      <c r="D131" s="34" t="inlineStr">
        <is>
          <t>ThreadCut names the Thread feature dims by value; the library profile sketch's pitch dim was renamed THDPITCH only because on 0.7500-16 (the -08 reference size of every other master) its value equals the thread pitch. 2602's reference size is -06 (0.5625-18): its library profile sketch reads Pitch=0.0125, Land 0.0031, Height 0.0068, so the pitch dim kept the name "Pitch" and the THDPITCH@..._PROF column resolved to nothing. Checked every Build report: only 2602 affected (all others use a 16-tpi -08 reference; 5600/5602/5604/5605 have no Thread feature). 2601 clean (145 OK, 0 FAIL, 9/9 sweep).</t>
        </is>
      </c>
      <c r="E131" s="34" t="inlineStr">
        <is>
          <t>FIXED in every macro with a Thread feature and in gen_tee.py / gen_straight2.py: after the profile sketch is renamed THD_EndX_PROF, any dim named "Pitch" in it is renamed THDPITCH, then checked ("profile pitch reachable"). Only 2602 needs a re-run; the 13 built masters are unaffected.</t>
        </is>
      </c>
      <c r="F131" s="34" t="inlineStr">
        <is>
          <t>LOW</t>
        </is>
      </c>
      <c r="G131" s="34" t="inlineStr">
        <is>
          <t>Re-import and re-run Build_2602_MASTER.</t>
        </is>
      </c>
    </row>
    <row r="132">
      <c r="A132" s="34" t="n">
        <v>131</v>
      </c>
      <c r="B132" s="34" t="inlineStr">
        <is>
          <t>2026-09-24</t>
        </is>
      </c>
      <c r="C132" s="34" t="inlineStr">
        <is>
          <t>Tee/cross batch run: 2601, 2602, 2605, 2650, 5600, 5602, 5604, 5605</t>
        </is>
      </c>
      <c r="D132" s="34" t="inlineStr">
        <is>
          <t>Build reports read from 03_SCRIPTS. Every macro: sketches fully defined, one body, bores open, table values landing, all-config sweep with threads live, threads suppressed, save.</t>
        </is>
      </c>
      <c r="E132" s="34" t="inlineStr">
        <is>
          <t>Geometry CLEAN on all 8: all-config sweeps 9/9, 5/5, 7/7, 4/4, 6/6, 2/2, 3/3, 3/3 = 39 configurations, 0 feature/body failures; 2602 re-run confirms the profile-pitch fix (QA #130). Three non-geometry FAILs: (1) 2602 second run could not save - the first 2602 build was still open, so 11_MASTERS/2602_MASTER.SLDPRT is the first build (pre pitch fix); (2) 2605 SaveAs returned False although the file was written in the same minute (warning not reported by the old save code); (3) 2650 "Z extent -0.388..0.392 vs 0.375" - GetPartBox is loose around the thread faces, which on 2650 sit exactly at the hex flats (A/F 0.75 = JIC -08 thread); the solid cannot exceed +/-0.375 (revolves &lt;= BODYR, thread is a cut). FIXED in gen_tee.py and all 8 macros: exact Z extent via Body2.GetExtremePoint; save reports error/warning codes and falls back to a time-stamped name instead of losing the build.</t>
        </is>
      </c>
      <c r="F132" s="34" t="inlineStr">
        <is>
          <t>LOW</t>
        </is>
      </c>
      <c r="G132" s="34" t="inlineStr">
        <is>
          <t>Re-run Build_2602 (with 2602 closed) to replace the pre-fix file; press Ctrl+S on the open 2605 window to be sure. Then mark 8 tee/cross topologies BUILT.</t>
        </is>
      </c>
    </row>
    <row r="133">
      <c r="A133" s="34" t="inlineStr">
        <is>
          <t>132</t>
        </is>
      </c>
      <c r="B133" s="34" t="inlineStr">
        <is>
          <t>2026-09-24</t>
        </is>
      </c>
      <c r="C133" s="34" t="inlineStr">
        <is>
          <t>Batch 4 macros generated: 10 new masters, 136 configurations (not yet run)</t>
        </is>
      </c>
      <c r="D133" s="34" t="inlineStr">
        <is>
          <t>gen_tee.py extended with a 90-deg elbow body (2500HX pattern: HEX1/HEX2 hex arms + 30-deg corner PUCK, legs +X/+Y) -&gt; 2501 (29), 5500 (13), 5502 (13), 5504 (5). gen_straight2.py extended with PLAIN (plug head), UNFF (internal UN/UNF thread) end modules, blind-hole ($STATE) and pocket-only modes -&gt; 2408 (15), 6408 (11), 0318 (12), 5406 (28), 5406C (6), 5406P (4). Static checks: no duplicate/missing procedures; regression: existing tee/straight macros unchanged apart from two unused helper subs. Delivered to 03_SCRIPTS + 04_DESIGN_TABLES (RUN_ME_batch4.txt), extracted and size-verified on the device.</t>
        </is>
      </c>
      <c r="E133" s="34" t="inlineStr">
        <is>
          <t>ASSUMPTIONS (all in $PRP@AxialSource): 2408 hollow-plug hole depth = JIC end length - 0.020 from the Brennan 2408-08 STEP only -&gt; hollow configs ASSUMED (solid stay VERIFIED); 6408 hollow variants NOT built (no hole-depth source), -14/-32 blocked (groove width); 0318 internal I1/J1/D1 from MS51531D (L1/hex agree with Air-Way on all 12; Brennan 0318-08 matches I1/D1), thread minor = ASME B1.1 basic minor; 5406 tap drill carried through (no Air-Way bore), thread wall checked (04-02 0.022, 06-04 0.024 thin but positive); elbow female legs: hex arm to the port face (Brennan 2502-06-04-FG shows an unpublished round collar); 5502 connecting drill capped at the tap drill.</t>
        </is>
      </c>
      <c r="F133" s="34" t="inlineStr">
        <is>
          <t>INFO</t>
        </is>
      </c>
      <c r="G133" s="34" t="inlineStr">
        <is>
          <t>User to run the 10 macros (order in RUN_ME_batch4.txt) and send the reports. NOT BUILT: 45-deg elbows 2503/5503/5505 (angled-leg helpers needed), 0319 sleeve (AN819/MS20819 needed), 3051 (one leg length only). NOTE: 5406-C and 5406-P are grouped under topology 5406 but were given their own masters (different geometry) - user to confirm.</t>
        </is>
      </c>
    </row>
    <row r="134">
      <c r="A134" s="34" t="inlineStr">
        <is>
          <t>133</t>
        </is>
      </c>
      <c r="B134" s="34" t="inlineStr">
        <is>
          <t>2026-09-24</t>
        </is>
      </c>
      <c r="C134" s="34" t="inlineStr">
        <is>
          <t>Batch 5 macros generated: 7 new masters, 118 configurations (not yet run)</t>
        </is>
      </c>
      <c r="D134" s="34" t="inlineStr">
        <is>
          <t>gen_straight2.py: JIC BULKHEAD end (MS33656J nose + JIC thread run over Air-Way I1), beaded-hose stub end, round-bar option, row thread-size checks (THDMAJ columns vs the end dashes) -&gt; 2700 (24), 2705 (14), 2706 (22), 4404 (13), 4604 (14), 5404N (4). gen_tee.py: 45-deg elbow with one leg on a 135-deg axis (angled-leg sketch with parallel/perpendicular relations + LEGANG angle, reference plane PLN2 normal to the leg, vector versions of the face/edge/bore/thread helpers) -&gt; 2503 (27). Static checks clean; batch-4 outputs regenerate identically (elbow macros only gain unused helpers). Delivered with RUN_ME_batch5.txt, extracted and size-verified on the device.</t>
        </is>
      </c>
      <c r="E134" s="34" t="inlineStr">
        <is>
          <t>SOURCES/ASSUMPTIONS: Brennan 2705-08-08 STEP settles the 2700 open item - bulkhead thread = the JIC thread of that dash from relief to land, length from relief to tip 1.44 = Air-Way I1 (collar 0.04 and 0.679 relief not modelled); 2700 bulkhead = second dash (I1 matches). Brennan 4404-08-06 STEP: stub OD/bead/bore = Air-Way TUBE OD/AA/D3; stub length 1.500, bead position 0.251 and bead width from that STEP only (ASSUMED other sizes; gives Brennan hex 0.29 on 4404-08-06); bead drawn as a flat-topped ring. Brennan 2504-08-08-FG STEP: 45-deg body = hex arm per leg (shoulder at M - end length, 0.323) + the 30-deg puck; puck clearance of every inner thread edge computed per row (min 0.0062 on 2503-06-08-FG, flagged). 5404-N: round bar C, NPTF over L2.</t>
        </is>
      </c>
      <c r="F134" s="34" t="inlineStr">
        <is>
          <t>INFO</t>
        </is>
      </c>
      <c r="G134" s="34" t="inlineStr">
        <is>
          <t>User to run the 7 macros (order in RUN_ME_batch5.txt; 2503 last - new angled-leg code). TOPOLOGY NOTE: 5404-N (grouped under 5404) got its own master because it has no hex - user to confirm. NOT BUILT (need data or a decision): swivel families, 2701-2704 bulkhead elbows/tees (O/K1/i2 meaning - Brennan 2701 STEP requested), adjustable ORB 6801-6807/4601/4603, 1700 flange (J518 head), 0319 sleeve (MS20819), 5503 (Air-Way D column shifted), 5505 (port drills overlap), 2501-L fold-in (long leg shape unknown).</t>
        </is>
      </c>
    </row>
    <row r="135">
      <c r="A135" s="34" t="inlineStr">
        <is>
          <t>134</t>
        </is>
      </c>
      <c r="B135" s="34" t="inlineStr">
        <is>
          <t>2026-09-24</t>
        </is>
      </c>
      <c r="C135" s="34" t="inlineStr">
        <is>
          <t>Batch 6 macros generated from the new Brennan STEP bundle: bulkhead elbows/tees 2701 (7), 2702 (10), 2703 (11), 2704 (12) = 40 configurations (not yet run)</t>
        </is>
      </c>
      <c r="D135" s="34" t="inlineStr">
        <is>
          <t>gen_tee.py JICBH leg: hex arm -&gt; collar dia Air-Way O -&gt; JIC bulkhead end with relief-to-tip = Air-Way i2 (Brennan 2701-08-08-FG STEP: collar 0.875 = O 0.88, relief at 0.86 so 2.11-0.86 = 1.25 = i2). 2702 uses the 45-deg angled-leg code (bulkhead leg on the 135-deg axis). Static checks clean; delivered with RUN_ME_batch6.txt, extracted and hash-verified.</t>
        </is>
      </c>
      <c r="E135" s="34" t="inlineStr">
        <is>
          <t>ASSUMPTION: K1 read as the collar thickness (STEP collar 0.125 thick + 0.125 round shank, shank not modelled). BLOCKED: 2701 -06/-10/-12 (6 configs) - Air-Way O equals the hex flats (zero-height collar step, needs a decision); 2702-12-12-FG-LN - flagged Air-Way row anomaly (bore &gt; tip). Rest of the STEP bundle (6500 x3, 2406, 1404, 1700 x2, 6404, 6410, 6801-14, 6400-32, 5405 x3, 5404-32-20, 5406-08-04, 2408-20, 4404-16-16) received and saved, NOT yet measured.</t>
        </is>
      </c>
      <c r="F135" s="34" t="inlineStr">
        <is>
          <t>INFO</t>
        </is>
      </c>
      <c r="G135" s="34" t="inlineStr">
        <is>
          <t>User to run the 4 macros (RUN_ME_batch6.txt) after batches 4/5. Next session: measure the rest of the STEP bundle (swivel 6500 family, 2406, 1404 unions, 1700 flange, 6404/6410 ports, ORB -14/-32 grooves, verification STEPs).</t>
        </is>
      </c>
    </row>
    <row r="136">
      <c r="A136" s="34" t="inlineStr">
        <is>
          <t>135</t>
        </is>
      </c>
      <c r="B136" s="34" t="inlineStr">
        <is>
          <t>2026-09-24</t>
        </is>
      </c>
      <c r="C136" s="34" t="inlineStr">
        <is>
          <t>Brennan STEP bundle (19 files) - quick measurements before the session limit</t>
        </is>
      </c>
      <c r="D136" s="34" t="inlineStr">
        <is>
          <t>Vertex/surface extraction of the STEP geometry (same method as the earlier Brennan checks).</t>
        </is>
      </c>
      <c r="E136" s="34" t="inlineStr">
        <is>
          <t>RESULTS: (1) MS51503 P1 drill-depth rule now matches Brennan at 4 sizes: 5405-04-04 0.67 = P1 0.67, 5405-08-08 0.90 (earlier), 5405-12-12 0.90 vs P1 0.91, 5405-16-16 1.14 = P1 1.14. (2) 5406-08-04 bushing: male end 0.75 = the 5404 end length and the 1/4 tap drill (0.431) runs through to the male tip - both 5406 assumptions CONFIRMED. (3) 4404-16-16: stub 1.500 and bead centre 0.251 from the tip - same as -08, CONFIRMED at a 2nd size (Brennan bead chord 0.118 vs model 0.104; Brennan bore 0.843 vs Air-Way 0.89, Air-Way kept). (4) 2408-20 hollow plug: hole full-dia depth 0.949 vs the rule (JIC end - 0.020) 0.938 - rule 0.011 short at -20, kept, flagged. (5) ORB -32 groove width MEASURED 0.125 on 6400-32-32-O (root dia 2.381 = ORD-5700) -&gt; 6408-32-O-SOLID added (6408 now 12 configs; old 11-config files moved to _to_delete/superseded_20260924). (6) 6801-14-14 is an adjustable stud: its undercut (0.18-0.22) is not the fixed-stud groove width, so ORB -14 stays open. NOT YET MEASURED: 6500-04/12/16 (swivel), 2406-08-08, 1404-08-08, 1700-12/24, 6404-08-08, 6410-12-08-O, 5404-32-20.</t>
        </is>
      </c>
      <c r="F136" s="34" t="inlineStr">
        <is>
          <t>INFO</t>
        </is>
      </c>
      <c r="G136" s="34" t="inlineStr">
        <is>
          <t>Next session: build from the unmeasured STEPs (swivel 6500 family, 2406, 1404 unions, 1700 flange, 6404/6410 ports).</t>
        </is>
      </c>
    </row>
    <row r="137">
      <c r="A137" s="34" t="inlineStr">
        <is>
          <t>136</t>
        </is>
      </c>
      <c r="B137" s="34" t="inlineStr">
        <is>
          <t>2026-09-24</t>
        </is>
      </c>
      <c r="C137" s="34" t="inlineStr">
        <is>
          <t>Batch 8 macros generated from the Brennan STEP bundle: female-port straights 6404 (2), 6410 (4), 2406 (5) = 11 configurations (not yet run)</t>
        </is>
      </c>
      <c r="D137" s="34" t="inlineStr">
        <is>
          <t>gen_straight2.py: female port modelled as a cavity inside the DRIVE revolve (overall length dimensioned face-to-face, port dims ORBFB_*/JICFB_*, straight helical internal thread THD_EndB, through bore run to the bottom of the port minor bore so it breaks through the drill point/seat cone). Static checks clean; revolved volumes re-computed independently (Pappus) = macro expectations; previously released straights regenerate unchanged apart from one added helper (Dim_pair). New radial-wall check between a female port and the male end (6410-12-08-O min 0.099, 6410-16-08-O 0.224). thrchk now names the part-number dash each end is built from.</t>
        </is>
      </c>
      <c r="E137" s="34" t="inlineStr">
        <is>
          <t>MEASURED (STEP vertex extraction): female SAE ORB -08 port on BOTH Brennan 6404-08-08 and 6410-12-08-O (agree): face dia 0.813, 15deg chamfer to 0.756, 45deg lead-in to the minor, minor to 0.688 from the face, 120deg drill point; minor = Air-Way D3. Female 37deg JIC -08 port on Brennan 2406-08-08: 45deg countersink from 0.755, ASME B1.1 basic minor to 0.375, 37deg seat straight to the bore (round collar at the female end NOT modelled). Only -08 female ports built (other sizes need their own STEP); all 11 rows ASSUMED (single-manufacturer port geometry). DIVERGENT LENGTH: Brennan 6410-12-08-O overall 1.480 vs Air-Way L33 1.09 - built to Air-Way (project rule), port then sits inside the male -12 ORB end; flagged in $COMMENT. Brennan 6404-08-08 1.650 vs Air-Way 1.69 (normal).</t>
        </is>
      </c>
      <c r="F137" s="34" t="inlineStr">
        <is>
          <t>INFO</t>
        </is>
      </c>
      <c r="G137" s="34" t="inlineStr">
        <is>
          <t>User to run the 3 macros (RUN_ME_batch8.txt). Confirm the 6410-12-08-O length with OMi (Air-Way 1.09 vs Brennan 1.48). Other female port sizes (6404/6410/2406 -04..-16) need a Brennan STEP per size.</t>
        </is>
      </c>
    </row>
    <row r="138">
      <c r="A138" s="34" t="inlineStr">
        <is>
          <t>137</t>
        </is>
      </c>
      <c r="B138" s="34" t="inlineStr">
        <is>
          <t>2026-09-24</t>
        </is>
      </c>
      <c r="C138" s="34" t="inlineStr">
        <is>
          <t>Batch 9 macros generated: the female 37deg JIC SWIVEL family - 10 masters, 44 configurations (not yet run): straights 6505 (8), 6504 (4), 6402 (7), 6506 (4), 6565 (4, swivel both ends); elbows/tees 6500 (7), 6501 (1), 6503 (1), 6600 (4), 6602 (4)</t>
        </is>
      </c>
      <c r="D138" s="34" t="inlineStr">
        <is>
          <t>Swivel end measured on the four Brennan 6500-04/-08/-12/-16-FG STEPs by sectioning each solid through the leg axes (OpenCascade, exact edges): nut hex length, skirt, nut rear face, neck, body face, thread minor (= ASME B1.1 basic minor at all 4 sizes) and thread length, 45deg relief to the counterbore, slot floor, nose OD, seat mouth (37deg seat); countersink 50deg from the thread major. Cross-checks: nut hex = Air-Way C3 at all 4 sizes; nut face = M5 / L; nose tip = M10 / L(to seat) within 0.01; the straights' L - L(seat) = M5 - M10 at every size. Model: nut + nose drawn inside the leg revolve (one solid, as Brennan's STEP); nut hex and body hex cut over their own zones (new ZoneHexCut / NutHexCutAx helpers). Every sketch solved exactly defined in a rank check; volumes recomputed independently; 6500-12-12 model overlaid on the Brennan section (05_DIAGRAMS). Released series regenerate unchanged (helpers added only). Details: 00_DOCS/Swivel_end_Brennan6500_measurements.md. Zip committed and all 29 files hash-verified on the device.</t>
        </is>
      </c>
      <c r="E138" s="34" t="inlineStr">
        <is>
          <t>SINGLE SOURCE (Brennan) for the nut/nose -&gt; all 44 rows ASSUMED; 6500 rows that were VERIFIED-LEGS set to ASSUMED (noted per row). ASSUMPTIONS: nut/body joint (collar, crimp dimples, rear undercut), hex chamfers, fillets NOT modelled; straight bodies: body hex stops at the 6500 forged-arm body-face position; 6565: (L31-L32)/2 per end (equal dashes); bore steps at the body-hex mid-plane. Built for swivel sizes -04/-08/-12/-16 only.</t>
        </is>
      </c>
      <c r="F138" s="34" t="inlineStr">
        <is>
          <t>INFO</t>
        </is>
      </c>
      <c r="G138" s="34" t="inlineStr">
        <is>
          <t>User to run the 10 macros (RUN_ME_batch9.txt; run Build_6404 from batch 8 first, then 6505). Other swivel sizes need their own STEP. User decisions 2026-09-24: 6410-12-08-O stays at Air-Way 1.09 for now; 1404/1405 and 1700 follow Air-Way where Brennan differs.</t>
        </is>
      </c>
    </row>
    <row r="139">
      <c r="A139" s="34" t="inlineStr">
        <is>
          <t>138</t>
        </is>
      </c>
      <c r="B139" s="34" t="inlineStr">
        <is>
          <t>2026-09-24</t>
        </is>
      </c>
      <c r="C139" s="34" t="inlineStr">
        <is>
          <t>Batch 10 macros generated: 1404 (4, male pipe x female NPSM swivel), 1405 (3, female pipe x female NPSM swivel), 1700 (5, male JIC x SAE code 61 flange) = 12 configurations (not yet run)</t>
        </is>
      </c>
      <c r="D139" s="34" t="inlineStr">
        <is>
          <t>NPSM swivel end sectioned on the Brennan 1404-08-08 STEP (OpenCascade section + point-by-point solid/air map of the nut region): nut hex length 0.40, 14deg skirt cone, lip, nut rear face 0.72, 45deg countersink, thread minor 0.759 (= ASME B1.20.1 NPSM internal minor 0.7594 min) to 0.388, 45deg relief, counterbore dia 0.885 to 0.595 (all from the nut face); stem 30deg cone, OD 0.74, tip dia 0.562, neck dia 0.608, body face 0.48 behind the stem tip. Air-Way L (1.61) = Brennan stem tip exactly; pipe end 0.75 and body hex 0.38 = Brennan; bore step at the hex mid-plane = Brennan. Code 61 flange head sectioned on the Brennan 1700-08/-12/-24 STEPs: thickness 0.265/0.265/0.315, O-ring groove ID/OD 0.69/1.00, 0.94/1.25, 1.805/2.115, depth 0.11; head dia = Air-Way O; JIC ends = MS33656J. All DRIVE sketches solved exactly defined; volumes recomputed; 1404 and 1700 models overlaid on the Brennan sections (05_DIAGRAMS). Batch 8/9 regenerate with identical geometry. Zip committed and all 13 files hash-verified.</t>
        </is>
      </c>
      <c r="E139" s="34" t="inlineStr">
        <is>
          <t>USER DECISIONS 2026-09-24 applied: 1404/1405 nut face at Air-Way W (W-L 0.33 vs Brennan 0.28 - modelled nut 0.05 further out, noted per row); 1700 built to Air-Way L28 with a hex of Air-Way C over the whole body (Brennan: round collar dia O + two wrench flats + neck, overall 2.60/2.75/3.50 vs Air-Way 2.36/2.63/3.02 - noted on those rows); 6410-12-08-O stays at Air-Way 1.09. ASSUMED throughout (single-manufacturer swivel/flange details; SAE J518 not available). NOT modelled: nut/collar joint and undercut, chamfers, 30deg internal pipe-tip chamfer, flange bore chamfer. Only the -08 NPSM swivel and flange sizes -08/-12/-24 can be built.</t>
        </is>
      </c>
      <c r="F139" s="34" t="inlineStr">
        <is>
          <t>INFO</t>
        </is>
      </c>
      <c r="G139" s="34" t="inlineStr">
        <is>
          <t>User to run the 3 macros (RUN_ME_batch10.txt) after batch 9. Other NPSM swivel sizes / flange sizes need their own STEP.</t>
        </is>
      </c>
    </row>
    <row r="140">
      <c r="A140" s="34" t="inlineStr">
        <is>
          <t>139</t>
        </is>
      </c>
      <c r="B140" s="34" t="inlineStr">
        <is>
          <t>2026-09-24</t>
        </is>
      </c>
      <c r="C140" s="34" t="inlineStr">
        <is>
          <t>Straight macros: SaveAs reported failure although the master was written (every gen_straight2 run so far, incl. 5406P/5406C today: fixed-name file + time-stamped duplicate in the same second, "first name was locked, error 0")</t>
        </is>
      </c>
      <c r="D140" s="34" t="inlineStr">
        <is>
          <t>Reports of 2403, 2405, 2502HX, 5000, 5404, 5405, 6401, 6405, 0403, 5406P, 5406C all show the duplicate; the gen_tee macros save normally. Fix: after SaveAs the macro now logs the return value, error and warning codes and, when SolidWorks returns False, trusts the fixed-name file if it was written during this save (FileDateTime &gt;= save start - 5 s); only a real failure writes the time-stamped copy. Applied IN PLACE to the 21 straight macros not yet run (0318, 1404, 1405, 1700, 2406, 2408, 2700, 2705, 2706, 4404, 4604, 5404N, 5406, 6402, 6404, 6408, 6410, 6504, 6505, 6506, 6565; originals in _to_delete/superseded_20260924/pre_savefix) and to gen_straight2.py. Geometry untouched.</t>
        </is>
      </c>
      <c r="E140" s="34" t="inlineStr">
        <is>
          <t>Built today: 5406P (4 configs) and 5406C (6 configs) - every check OK, all-config sweep clean, threads suppressed. The masters are 11_MASTERS/5406P_MASTER.SLDPRT and 5406C_MASTER.SLDPRT; 5406P_MASTER_154255 and 5406C_MASTER_154347 are duplicates of the same save.</t>
        </is>
      </c>
      <c r="F140" s="34" t="inlineStr">
        <is>
          <t>INFO</t>
        </is>
      </c>
      <c r="G140" s="34" t="inlineStr">
        <is>
          <t>Duplicates can go to _to_delete once the parts are closed. 5406 was running with the old macro (it will probably leave a duplicate too).</t>
        </is>
      </c>
    </row>
    <row r="141">
      <c r="A141" s="34" t="inlineStr">
        <is>
          <t>140</t>
        </is>
      </c>
      <c r="B141" s="34" t="inlineStr">
        <is>
          <t>2026-09-24</t>
        </is>
      </c>
      <c r="C141" s="34" t="inlineStr">
        <is>
          <t>5406 bushing master BUILT (28 configs) - clean report; the user reported SolidWorks "stuck" during the run</t>
        </is>
      </c>
      <c r="D141" s="34" t="inlineStr">
        <is>
          <t>Report + file timestamps read on the device: build and table insert took ~1 min, then the all-config sweep rebuilt 28 configurations with both helical threads live for ~7 min without writing anything (VBA writes the report in 512-byte blocks; the report stopped mid-line), so SolidWorks showed "Not Responding" while working normally. The save left a duplicate (5406_MASTER_160221) because the run used the module still loaded from the first attempt (no "SaveAs ... returned" line in the report) - the save-fixed .bas was not re-imported.</t>
        </is>
      </c>
      <c r="E141" s="34" t="inlineStr">
        <is>
          <t>All checks OK, sweep 28 rebuilt 0 failures, threads suppressed. FIX: new Sub Progress (writes the line, closes and reopens the report so it reaches the disk at once, puts it in the SolidWorks status bar, DoEvents) + one line per configuration in the sweep ("sweep n/N name rebuilt in x s") and per spot-check configuration. Applied IN PLACE to the 34 waiting macros (static check clean, originals in _to_delete/superseded_20260924/pre_progress) and to both generators (progress_patch.py). Geometry untouched: batch 8/9/10 macros re-derived byte-identical to the device files.</t>
        </is>
      </c>
      <c r="F141" s="34" t="inlineStr">
        <is>
          <t>INFO</t>
        </is>
      </c>
      <c r="G141" s="34" t="inlineStr">
        <is>
          <t>User: close 5406_MASTER_160221 (duplicate; to _to_delete when closed); always re-import the .bas before running. 5406P/5406C duplicates moved to _to_delete/superseded_20260924/duplicate_saves.</t>
        </is>
      </c>
    </row>
    <row r="142">
      <c r="A142" s="34" t="inlineStr">
        <is>
          <t>141</t>
        </is>
      </c>
      <c r="B142" s="34" t="inlineStr">
        <is>
          <t>2026-09-24</t>
        </is>
      </c>
      <c r="C142" s="34" t="inlineStr">
        <is>
          <t>Coverage of all 2,535 OMi parts enumerated (00_DOCS/OMi_Coverage_2026-09-24.xlsx) + batch 11 macros: 1501 NEW (3 configs); 5405 (+3), 6401 (+1), 6405 (+2) extra sizes for built masters (optional re-runs)</t>
        </is>
      </c>
      <c r="D142" s="34" t="inlineStr">
        <is>
          <t>Every OMi SKU in the feed extract (1,831) mapped to its design tables and 11_MASTERS; per SKU the blocker and what unlocks it. Not captured: 77 Tube Fittings SKUs the feed dropped, ORFS 385, Compression 230, Test gauge 12. Forged (-FG) vs non-forged pairs compared over all review tables: 399 pairs, 30 identical, forged hex usually 1/16 smaller (354 of 598 hex values differ), lengths mostly within 0.03 (271 of 2154 differ), bores rarely. Batch 11: gen_tee NPSM swivel leg (leg_NPSMSW, from the Brennan 1404-08-08 measurements; 20-point leg, rank 40 of 40 = exactly defined); gen_straight2: ORB -32 end for the ORB straights (6408 row: thread 2.5-12, length 0.469, groove root 2.381 + groove width 0.125 measured on the Brennan 6400-32-32-O STEP); 5405: Air-Way bore wider than the port tap drill -&gt; bore stops at the port bottom (flagged). All sketches exactly defined, clean profiles, Pappus volumes = macro expectations, static VBA check clean; 5405/6401/6405 existing configurations have identical values (regression).</t>
        </is>
      </c>
      <c r="E142" s="34" t="inlineStr">
        <is>
          <t>Built into 11_MASTERS: 292 OMi parts (+98 in the hand-built 2404/6400); macro ready: 330; blocked on Brennan STEPs: 310 (JIC swivel -05/-06/-10/-20/-24/-32; NPSM swivel sizes; female JIC ports; female ORB ports; flange -16/-20/-32; adjustable ORB stud + locknut); one specific item: 38; user decisions: 41; no dimensional source: 692 (260 forged -FG where Air-Way lists only the non-forged part, 269 OMi parts not in Air-Way, 138 series without an Air-Way page, 25 misprints/blank cells); kits 30. REFUSED in batch 11 (geometry check): 1503 and 6502 - on a 45deg forging the corner puck reaches past the swivel body face into the neck -&gt; need Brennan 1503-08-08-FG / 6502-08-08-FG STEPs; 6405-32-24-O Air-Way bore D3 2.38 (&gt; the ORB -32 end) = misprint.</t>
        </is>
      </c>
      <c r="F142" s="34" t="inlineStr">
        <is>
          <t>INFO</t>
        </is>
      </c>
      <c r="G142" s="34" t="inlineStr">
        <is>
          <t>User: run Build_1501 (and optionally re-run 5405/6401/6405 - old masters copied to _to_delete/superseded_20260924/pre_b11); provide the Brennan STEP list and decisions in the coverage workbook (tabs STEP shopping list / Decisions).</t>
        </is>
      </c>
    </row>
    <row r="143">
      <c r="A143" s="34" t="inlineStr">
        <is>
          <t>142</t>
        </is>
      </c>
      <c r="B143" s="34" t="inlineStr">
        <is>
          <t>2026-09-24</t>
        </is>
      </c>
      <c r="C143" s="34" t="inlineStr">
        <is>
          <t>2602 and 2605 re-run with the current macros - both masters now from clean runs</t>
        </is>
      </c>
      <c r="D143" s="34" t="inlineStr">
        <is>
          <t>Reports read on the device: Build_2602 (4:45 PM) and Build_2605 (4:46 PM): every sketch fully defined, one solid body, design table 6 / 8 configurations, all-config sweep 5 / 7 rebuilt with 0 failures, threads suppressed, SaveAs returned True to the fixed names (no duplicates).</t>
        </is>
      </c>
      <c r="E143" s="34" t="inlineStr">
        <is>
          <t>0 FAIL in both reports. The earlier 11_MASTERS files (16:34 / 16:40) came from runs whose reports were overwritten by runs that could not save (old save block).</t>
        </is>
      </c>
      <c r="F143" s="34" t="inlineStr">
        <is>
          <t>INFO</t>
        </is>
      </c>
      <c r="G143" s="34" t="inlineStr">
        <is>
          <t>None - 2602 (5 configs) and 2605 (7 configs) BUILT.</t>
        </is>
      </c>
    </row>
    <row r="144">
      <c r="A144" s="34" t="inlineStr">
        <is>
          <t>143</t>
        </is>
      </c>
      <c r="B144" s="34" t="inlineStr">
        <is>
          <t>2026-09-24</t>
        </is>
      </c>
      <c r="C144" s="34" t="inlineStr">
        <is>
          <t>6408 ORB hex head plug BUILT (12 configs, all SOLID) + root cause of the straight-macro duplicate saves</t>
        </is>
      </c>
      <c r="D144" s="34" t="inlineStr">
        <is>
          <t>Report read on the device (4:49 PM): 0 FAIL; "solid plug: End A/End B face closed on the axis" OK; sweep 12/12 with the new progress lines (0.7-1.4 s each); threads suppressed. User asked why there is no bore: by design - SOLID plugs only; the Air-Way hollow (-H) rows give the hole dia (HOLE@BORE) but no hole depth, so they were not built (logged in the 6408 AxialSource since 2026-09-24). Save block: "SaveAs returned True" was followed by the fallback line.</t>
        </is>
      </c>
      <c r="E144" s="34" t="inlineStr">
        <is>
          <t>ROOT CAUSE of the duplicate saves: SolidWorks returns SaveAs as 1 instead of VBA True (-1); "If Not ok" evaluates Not 1 = -2 (non-zero) so the old code treated a successful save as a failure and saved a second time-stamped copy. The file-date fallback (QA #139) catches it: 6408 saved once to the fixed name.</t>
        </is>
      </c>
      <c r="F144" s="34" t="inlineStr">
        <is>
          <t>INFO</t>
        </is>
      </c>
      <c r="G144" s="34" t="inlineStr">
        <is>
          <t>Open question for OMi: are 6408-xx-O solid or hollow? (OMi also sells 6408-04-O-SLD and a separate 6408-HHP series, 12 SKUs, no Air-Way data.) Hollow version needs the hole depth - one Brennan STEP of a hollow ORB plug.</t>
        </is>
      </c>
    </row>
    <row r="145">
      <c r="A145" s="34" t="inlineStr">
        <is>
          <t>144</t>
        </is>
      </c>
      <c r="B145" s="34" t="inlineStr">
        <is>
          <t>2026-09-24</t>
        </is>
      </c>
      <c r="C145" s="34" t="inlineStr">
        <is>
          <t>Forged elbows/tees with female pipe legs: ROUND COLLAR at the female port (user: 5504 does not look like the OMi/Brennan part)</t>
        </is>
      </c>
      <c r="D145" s="34" t="inlineStr">
        <is>
          <t>Brennan 2502-06-04-FG STEP re-sectioned (OpenCascade, sections normal to each leg): female 1/4 NPTF leg is HEX (corner r 0.433, A/F 0.75) from the crossing to 0.62, then a ROUND collar r 0.375 (= hex flats) to the port face at 0.88; port = 45deg mouth chamfer, tapered minor, tap drill 0.437 to the crossing. The built 2502HX already modelled this collar (length 0.30 x N1, calibrated on the same part: 0.26/0.88); gen_tee ran the hex to the port face. gen_tee now stops the hex arm of every female NPTF leg at leg - CL, CL = min(0.30 x leg, leg - puck radius - 0.03); the leg revolve (radius = flats/2) forms the collar. Only HEXL values change (regenerated tables: HEXL on female legs only; macros differ only in the hex arm length constants); 5504-04-04-FG reproduces Brennan exactly (hex to 0.62 on a 0.88 leg).</t>
        </is>
      </c>
      <c r="E145" s="34" t="inlineStr">
        <is>
          <t>ASSUMPTION (for sizes other than the Brennan -04): collar length 0.30 x leg. Affected: 5504, 5502 (both just run with the old macro - re-run), 6503 (waiting), 2602/5602/5604/5605 (built with hex ends - re-run). Old files in _to_delete/superseded_20260924/pre_collar. Straights with a female port (2406/6404/6410, 5000/5405) keep hex over the full body (Brennan 2406-08-08 also shows a round collar - not modelled).</t>
        </is>
      </c>
      <c r="F145" s="34" t="inlineStr">
        <is>
          <t>INFO</t>
        </is>
      </c>
      <c r="G145" s="34" t="inlineStr">
        <is>
          <t>User: close the open 5504/5502 parts, re-run 5504 and 5502 with the new macros (re-import); re-run 2602/5602/5604/5605 when convenient.</t>
        </is>
      </c>
    </row>
    <row r="146">
      <c r="A146" s="34" t="inlineStr">
        <is>
          <t>145</t>
        </is>
      </c>
      <c r="B146" s="34" t="inlineStr">
        <is>
          <t>2026-09-24</t>
        </is>
      </c>
      <c r="C146" s="34" t="inlineStr">
        <is>
          <t>Female pipe port collar MEASURED on 6 Brennan forgings: 0.260 long at every size (replaces the 30% rule of QA #144) - batch 11c</t>
        </is>
      </c>
      <c r="D146" s="34" t="inlineStr">
        <is>
          <t>New Brennan STEPs from the user (09_STEP_FILES): 5502-04-04-FG, 5502-08-08-FG, 5502-16-16-FG, 5504-08-08-FG, 5605-08-08-08-FG (+ the earlier 2502-06-04-FG). z=0 sections: on every female leg the hex (corner radius) steps down to a round collar of dia = hex flats exactly 0.260 before the port face (-04: hex to 0.62 on 0.88; -08: 0.97 on 1.23; -16: 1.36 on 1.62; 5504 both legs and 5605 all three legs the same). Also on 5502-08-08-FG: male leg hex to 0.72 = N - the 5404 end length (as modelled), port = tapered minor to 0.48 from the crossing then the 0.718 tap drill to the crossing (as modelled, drill carried through).</t>
        </is>
      </c>
      <c r="E146" s="34" t="inlineStr">
        <is>
          <t>gen_tee female legs: collar = 0.26 (kept clear of the corner puck by 0.03). Regenerated 5504/5502/6503/2602/5602/5604/5605: only HEXL on female legs changed (e.g. -08: hex 0.97 = Brennan). Known remaining difference on male pipe legs: Brennan threads the whole end with a 0.04 relief; the model has a smooth relief cylinder to the start of L2 (all male NPTF ends, unchanged).</t>
        </is>
      </c>
      <c r="F146" s="34" t="inlineStr">
        <is>
          <t>INFO</t>
        </is>
      </c>
      <c r="G146" s="34" t="inlineStr">
        <is>
          <t>User: re-run 5504 and 5502 (built with the hex-to-the-face macro); re-run 2602/5602/5604/5605 when convenient; 6503 when it comes up.</t>
        </is>
      </c>
    </row>
    <row r="147">
      <c r="A147" s="34" t="inlineStr">
        <is>
          <t>146</t>
        </is>
      </c>
      <c r="B147" s="34" t="inlineStr">
        <is>
          <t>2026-09-24</t>
        </is>
      </c>
      <c r="C147" s="34" t="inlineStr">
        <is>
          <t>6502 45deg female swivel elbow MACRO READY (2 configs, -04/-08) - batch 11d; 1503 body cleared, thread helper pending</t>
        </is>
      </c>
      <c r="D147" s="34" t="inlineStr">
        <is>
          <t>Brennan 6502-08-08-FG and 1503-08-08-FG STEPs sectioned: on both 45deg forgings the corner (radius 0.433 / 0.505) reaches past the swivel body face (0.395 / 0.40) - inside the neck, adding no material outside it. gen_tee check changed from "corner beyond the body face = refuse" to "refuse only if the corner reaches outside the neck radius or into the swivel slot". 6502 legs: swivel on +X, male JIC on the 135deg leg; both sketches exactly defined (38/38, 22/22 with the angled-leg checker); static VBA check clean; other macros regenerate identically.</t>
        </is>
      </c>
      <c r="E147" s="34" t="inlineStr">
        <is>
          <t>Model vs Brennan 6502-08-08-FG: JIC hex arm 0.323, JIC tip 0.98, body hex 0.75, corner 0.433 identical; nut face Air-Way -FG M6 1.25 vs Brennan 1.28 (= Air-Way non-FG) - built to Air-Way, noted on the row. Still refused: 6502-12-12-FG (corner 0.455 off the axis vs neck 0.417 - needs its own STEP), 1503-12-08-FG. 1503-08-08-FG passes the body check but needs a tapered pipe thread on the 45deg leg (no helper yet). Brennan 1503-08-08-FG: stem tip 0.88 / nut face 1.16 vs Air-Way -FG M 0.94 / W2 1.27 (Air-Way non-FG 0.88 / 1.21).</t>
        </is>
      </c>
      <c r="F147" s="34" t="inlineStr">
        <is>
          <t>INFO</t>
        </is>
      </c>
      <c r="G147" s="34" t="inlineStr">
        <is>
          <t>User: run Build_6502 after 6500 and 2503. Me: angled-leg pipe thread helper for 1503 (and 5503/5505).</t>
        </is>
      </c>
    </row>
    <row r="148">
      <c r="A148" s="34" t="inlineStr">
        <is>
          <t>147</t>
        </is>
      </c>
      <c r="B148" s="34" t="inlineStr">
        <is>
          <t>2026-09-25</t>
        </is>
      </c>
      <c r="C148" s="34" t="inlineStr">
        <is>
          <t>6408 ORB hex plug: the plain OMi 6408-xx-O is the HOLLOW (cored) plug - rebuilt with the hole (batch 11e, 13 configs)</t>
        </is>
      </c>
      <c r="D148" s="34" t="inlineStr">
        <is>
          <t>Brennan 6408-08-O and 6408-20-O STEPs (user download 2026-09-24) sectioned: blind hole from the ORB tip, dia 0.422 / 1.093 (= Air-Way HOLE 0.42 / 1.09), full diameter to 0.4582 / 0.6345 from the tip (= ORB end 0.438 / 0.594 + 0.020 / 0.040), 120deg drill point, apex 0.580 / 0.950 (head wall 0.220 / 0.250). L 0.800 / 1.200, hex 0.875 / 1.875 and the ORB ends (thread length, groove) identical to Air-Way / J1926. OMi sells 6408-04-O and 6408-04-O-SLD (External Hex Plug Solid), so the plain SKUs are the cored plugs.</t>
        </is>
      </c>
      <c r="E148" s="34" t="inlineStr">
        <is>
          <t>gen_straight2 mode A_blind: hole = Air-Way HOLE, full diameter to ORB end + 0.020 (-08) ... 0.040 (-20), other sizes linear in the dash (ASSUMPTION; with the drill point every size keeps 0.23-0.28 of head), drill point not modelled, $STATE@BORECUT_A suppresses it on solid configs. Review table: 6408-04-O-H BUILD -&gt; OMi 6408-04-O (was DROP), placeholder row 6408-04-O removed, Air-Way SOLID rows -06..-32 DROP (no OMi SKU), -02/-03/-05 built solid (only plug Air-Way lists). Configs: hollow -04/-06/-08/-10/-12/-16/-20/-24/-32, solid -02/-03/-05 + 6408-04-O-SLD; -14 still blocked (ORB -14 groove). Checks: DRIVE 16/16, profile clean, VBA clean, per-config hollow/solid checks in the macro; 28 other straights regenerate identical.</t>
        </is>
      </c>
      <c r="F148" s="34" t="inlineStr">
        <is>
          <t>INFO</t>
        </is>
      </c>
      <c r="G148" s="34" t="inlineStr">
        <is>
          <t>User: re-run Build_6408 (RUN_ME_batch11e.txt). Brennan 6408-H08-O (socket-head plug = OMi 6408-HHP) measured but not built (1 size of 12).</t>
        </is>
      </c>
    </row>
    <row r="149">
      <c r="A149" s="34" t="inlineStr">
        <is>
          <t>148</t>
        </is>
      </c>
      <c r="B149" s="34" t="inlineStr">
        <is>
          <t>2026-09-25</t>
        </is>
      </c>
      <c r="C149" s="34" t="inlineStr">
        <is>
          <t>Masters opened in their SMALLEST configuration (user: the 5504 collar looks too big) - every macro now saves in its reference configuration</t>
        </is>
      </c>
      <c r="D149" s="34" t="inlineStr">
        <is>
          <t>Brennan 5504-08-08-FG re-sectioned against the built 5504 (report 2026-09-24 7:54 PM): collar dia 1.062 = hex flats (model 1.06), collar 0.26 (model 0.26), hex arm to 0.97, leg 1.23 - identical; same on 5502-04-04/-08-08/-16-16-FG and 5605-08-08-08-FG. The macros ended the sweep with ShowConfiguration2 of the first name in GetConfigurationNames (alphabetical = smallest size), so the saved master opened as 5504-02-02-FG, where the 0.26 collar is 40% of the 0.66 leg (0.08 of hex visible past the corner).</t>
        </is>
      </c>
      <c r="E149" s="34" t="inlineStr">
        <is>
          <t>progress_patch.ref_config_at_save: after the sweep the macro re-activates the reference configuration (the one built first and checked against Brennan) before the save. Applied in place to 54 macros in 03_SCRIPTS (old copies in _to_delete/superseded_20260925/pre_refcfg; 2500HX/2502HX/2603HX older format, already built, not patched) and hooked into gen_straight2 / gen_tee; all 58 macros pass the static VBA check. Not modelled (noted): the 45deg port-mouth countersink Brennan puts on every female pipe port (0.555 / 0.855-0.889 / 1.355 at -04 / -08 / -16), which makes the collar end face look narrower than on our model.</t>
        </is>
      </c>
      <c r="F149" s="34" t="inlineStr">
        <is>
          <t>INFO</t>
        </is>
      </c>
      <c r="G149" s="34" t="inlineStr">
        <is>
          <t>Open: -02 collar length unmeasured (0.26 kept) - a Brennan 5504-02-02-FG STEP would confirm. Optional: add the port countersink (needs re-runs of every female-pipe-port master).</t>
        </is>
      </c>
    </row>
    <row r="150">
      <c r="A150" s="34" t="inlineStr">
        <is>
          <t>149</t>
        </is>
      </c>
      <c r="B150" s="34" t="inlineStr">
        <is>
          <t>2026-09-25</t>
        </is>
      </c>
      <c r="C150" s="34" t="inlineStr">
        <is>
          <t>Build reports checked: 5406, 5406C, 5406P, 2602, 2605, 6408, 5504, 5502 (runs of 2026-09-24)</t>
        </is>
      </c>
      <c r="D150" s="34" t="inlineStr">
        <is>
          <t>Reports in 03_SCRIPTS: FAIL lines, configuration counts vs the SW2 tables, sweep result, thread suppression, save lines; masters in 11_MASTERS.</t>
        </is>
      </c>
      <c r="E150" s="34" t="inlineStr">
        <is>
          <t>All 8 clean: 0 FAIL; configurations 28/6/4/5/7/12/5/13 = tables; every sweep 0 failures; threads suppressed; saved. 2602/5504/5502 ran the 0.26-collar macros. 5406C and 5406P saved a second time-stamped copy (5406C_MASTER_174645, 5406P_MASTER_175153) - those two macros never got the 2026-09-24 save fix: copies moved to _to_delete/superseded_20260924/duplicate_saves, save fix applied to both macros.</t>
        </is>
      </c>
      <c r="F150" s="34" t="inlineStr">
        <is>
          <t>INFO</t>
        </is>
      </c>
      <c r="G150" s="34" t="inlineStr">
        <is>
          <t>None - no re-runs needed.</t>
        </is>
      </c>
    </row>
    <row r="151">
      <c r="A151" s="34" t="inlineStr">
        <is>
          <t>150</t>
        </is>
      </c>
      <c r="B151" s="34" t="inlineStr">
        <is>
          <t>2026-09-25</t>
        </is>
      </c>
      <c r="C151" s="34" t="inlineStr">
        <is>
          <t>User decisions 2026-09-25: 0403 plated = unplated (YES), fold 2404-L / 6400-L / 2501-L into the base masters (YES), -FG parts with only non-forged Air-Way rows (no answer)</t>
        </is>
      </c>
      <c r="D151" s="34" t="inlineStr">
        <is>
          <t>AskUserQuestion. Evidence given for the -FG question: 616 Air-Way FG/non-FG pairs compared cell by cell - 640 dimension cells differ; the forged body hex is usually one size smaller (0.63-&gt;0.56, 1.13-&gt;1.06, 1.75-&gt;1.63, 2.00-&gt;1.88) and some legs differ by up to 0.5 (5502-20-20 N 2.38 vs 2.75 FG; 6801-LL-08-08 M12 2.50 vs 3.25).</t>
        </is>
      </c>
      <c r="E151" s="34" t="inlineStr">
        <is>
          <t>0403: done (QA #151). Long variants: approved, but Air-Way gives only the overall length (2404-L also T20, meaning unknown; 6400-L no hex position) - blocked on one Brennan STEP each: 2404-L-08-08, 6400-L-08-08-O, 2501-L-06-04-FG. -FG parts: ASSUMPTION (user asked mid-way whether to wait; told to wait) - NOT built from non-forged numbers; Brennan -FG STEPs will be requested series by series after the 48-STEP list. 0304-C checked on omindustrial.com (product JSON): "04 JIC Cap Nut" - a cap, not the Air-Way 0304 standard nut -&gt; reclassified F2 (needs a cap source).</t>
        </is>
      </c>
      <c r="F151" s="34" t="inlineStr">
        <is>
          <t>INFO</t>
        </is>
      </c>
      <c r="G151" s="34" t="inlineStr">
        <is>
          <t>User: download the 48 + 3 Brennan STEPs (list in the chat 2026-09-25).</t>
        </is>
      </c>
    </row>
    <row r="152">
      <c r="A152" s="34" t="inlineStr">
        <is>
          <t>151</t>
        </is>
      </c>
      <c r="B152" s="34" t="inlineStr">
        <is>
          <t>2026-09-25</t>
        </is>
      </c>
      <c r="C152" s="34" t="inlineStr">
        <is>
          <t>0403 braze tube union: the 7 OMi parts mapped to the Air-Way UNPL rows, master regenerated with exactly those 7 (batch 12)</t>
        </is>
      </c>
      <c r="D152" s="34" t="inlineStr">
        <is>
          <t>Review table: 7 donor rows 0403-XX-XX UNPL set BUILD + OMiSKU (the rows the 2026-09-23 capture marked "near-match donor"); the 7 MISSING placeholder rows removed; gen_straight2 0403 spec no longer builds DROP rows (include_drop removed - it was only there pending this decision, QA #123).</t>
        </is>
      </c>
      <c r="E152" s="34" t="inlineStr">
        <is>
          <t>7 configurations (was 33): 0403-04-04/-06-06/-08-08/-10-10/-12-12/-16-16/-20-20 UNPL, OMiSKU 0403-XX-XX, values identical to the old master; the 26 Air-Way-only UNPL sizes are no longer built. DRIVE 22/22, profile clean, VBA clean.</t>
        </is>
      </c>
      <c r="F152" s="34" t="inlineStr">
        <is>
          <t>INFO</t>
        </is>
      </c>
      <c r="G152" s="34" t="inlineStr">
        <is>
          <t>User: re-run Build_0403 (RUN_ME_batch12.txt).</t>
        </is>
      </c>
    </row>
    <row r="153">
      <c r="A153" s="34" t="inlineStr">
        <is>
          <t>152</t>
        </is>
      </c>
      <c r="B153" s="34" t="inlineStr">
        <is>
          <t>2026-09-25</t>
        </is>
      </c>
      <c r="C153" s="34" t="inlineStr">
        <is>
          <t>2701 bulkhead elbow -06/-10/-12 (+LN) unblocked: Air-Way collar O equal to the hex flats (batch 12)</t>
        </is>
      </c>
      <c r="D153" s="34" t="inlineStr">
        <is>
          <t>gen_tee leg_JICBH refused rO == BR (zero-height step from the leg core to the collar). The revolved core under the hex arm is now drawn 0.02 inside the flats radius - it is hidden inside the hex prism (inscribed radius BR), so every solid is unchanged - and the collar step always has height.</t>
        </is>
      </c>
      <c r="E153" s="34" t="inlineStr">
        <is>
          <t>2701: 7 -&gt; 13 configurations; 2702/2703/2704 regenerated with the same configurations (only BODYR on the bulkhead leg changed, -0.02). All bulkhead leg sketches 26/26 defined, VBA clean. 2702-12-12-FG-LN still out (Air-Way row looks like a -16 row, E).</t>
        </is>
      </c>
      <c r="F153" s="34" t="inlineStr">
        <is>
          <t>INFO</t>
        </is>
      </c>
      <c r="G153" s="34" t="inlineStr">
        <is>
          <t>User: run 2701-2704 when they come up (the new macros replace the waiting ones).</t>
        </is>
      </c>
    </row>
    <row r="154">
      <c r="A154" s="34" t="inlineStr">
        <is>
          <t>153</t>
        </is>
      </c>
      <c r="B154" s="34" t="inlineStr">
        <is>
          <t>2026-09-25</t>
        </is>
      </c>
      <c r="C154" s="34" t="inlineStr">
        <is>
          <t>Batch 13a shipped: Brennan STEP download part 1 (swivels, female ports, NPSM, ORB -14, flanges) - logged late</t>
        </is>
      </c>
      <c r="D154" s="34" t="inlineStr">
        <is>
          <t>RUN_ME_batch13a.txt: 18 macros, +172 configurations; every new size measured on the downloaded Brennan STEPs with extractors validated on the sizes measured before.</t>
        </is>
      </c>
      <c r="E154" s="34" t="inlineStr">
        <is>
          <t>Macros 6500 6502 6600 6602 6402 6504 6505 6506 6565 6404 6410 2406 1404 1405 1501 1700 6408 6405 shipped. Found overnight: the shipped 6504 / 6565 did not compile and 6404 built -04/-06 with a 15 deg chamfer - re-shipped in #156.</t>
        </is>
      </c>
      <c r="F154" s="34" t="inlineStr">
        <is>
          <t>INFO</t>
        </is>
      </c>
      <c r="G154" s="34" t="inlineStr">
        <is>
          <t>None (superseded by #154-#156).</t>
        </is>
      </c>
    </row>
    <row r="155">
      <c r="A155" s="34" t="inlineStr">
        <is>
          <t>154</t>
        </is>
      </c>
      <c r="B155" s="34" t="inlineStr">
        <is>
          <t>2026-09-25</t>
        </is>
      </c>
      <c r="C155" s="34" t="inlineStr">
        <is>
          <t>Overnight build by Claude through the SolidWorks MCP: every not-yet-built macro built for real</t>
        </is>
      </c>
      <c r="D155" s="34" t="inlineStr">
        <is>
          <t>00_DOCS/OVERNIGHT_BUILD_2026-09-25.md. Each part: macro all-config sweep with threads live + an independent sweep_configs; screenshots reviewed; 16 reports with FAIL lines, all explained (check bugs / leftover angle dimensions).</t>
        </is>
      </c>
      <c r="E155" s="34" t="inlineStr">
        <is>
          <t>38 parts in 11_MASTERS_NEW (29 delivered macros, 13b candidates 2501 6801-6804, re-runs 0318 0403 6405 6408); 2702 / 2703 held back (-16 bulkhead hex arm, 0.001 in offset proposed). Generator fixes (line continuations, HelixThread, FAIL counter, angle delete / supplement) -&gt; regenerated set tools/_out/regen_20260925.</t>
        </is>
      </c>
      <c r="F155" s="34" t="inlineStr">
        <is>
          <t>INFO</t>
        </is>
      </c>
      <c r="G155" s="34" t="inlineStr">
        <is>
          <t>User: accept (done #155); decide the 2702/2703 offset and the hex A/F question.</t>
        </is>
      </c>
    </row>
    <row r="156">
      <c r="A156" s="34" t="inlineStr">
        <is>
          <t>155</t>
        </is>
      </c>
      <c r="B156" s="34" t="inlineStr">
        <is>
          <t>2026-09-25</t>
        </is>
      </c>
      <c r="C156" s="34" t="inlineStr">
        <is>
          <t>User accepted the overnight build into 11_MASTERS</t>
        </is>
      </c>
      <c r="D156" s="34" t="inlineStr">
        <is>
          <t>38 parts 11_MASTERS_NEW -&gt; 11_MASTERS, reports -&gt; 03_SCRIPTS; replaced 0318 / 0403 / 6405 / 6408 masters + reports and the duplicate saves 0318_MASTER_011925 / _200845 -&gt; _to_delete/superseded_20260925 (sha256 manifests, hashes verified after the move).</t>
        </is>
      </c>
      <c r="E156" s="34" t="inlineStr">
        <is>
          <t>11_MASTERS: 60 masters. BUILD configurations in a master: 976 of 1,804 (853 in 11_MASTERS with the current set, 4 waiting for a 5405 / 6401 re-run, 98 hand-built 2404 / 6400, 21 held back 2702 / 2703); recounted independently twice, 0 disagreements. The 20:08 0318 build ran the stale VBA module (no reference-size line).</t>
        </is>
      </c>
      <c r="F156" s="34" t="inlineStr">
        <is>
          <t>INFO</t>
        </is>
      </c>
      <c r="G156" s="34" t="inlineStr">
        <is>
          <t>User: re-run Build_5405 and Build_6401 (5405-12-08 / -16-08 / -16-12, 6401-32-32-O not in the built files); remove the old 0318 module from the VBA editor.</t>
        </is>
      </c>
    </row>
    <row r="157">
      <c r="A157" s="34" t="inlineStr">
        <is>
          <t>156</t>
        </is>
      </c>
      <c r="B157" s="34" t="inlineStr">
        <is>
          <t>2026-09-25</t>
        </is>
      </c>
      <c r="C157" s="34" t="inlineStr">
        <is>
          <t>Batch 13b shipped (2501 with 2501-L, 6801 6802 6803 6804) + regenerated 6404 / 6504 / 6565 re-shipped - RUN_ME_batch13b.txt</t>
        </is>
      </c>
      <c r="D157" s="34" t="inlineStr">
        <is>
          <t>vbacheck, dofcheck, allcfg (121 configurations, 0 outline problems), regress (0 changed cells). SolidWorks dry runs of 6504 6565 2501 6801 6802 6803 6804 into tools/_out/ship_20260925_dryrun: 0 FAIL, volume and size of EVERY configuration identical to the accepted part; the 6404 macro is the one that built the accepted part (identical apart from LF line endings). Check outputs: tools/_out/ship_20260925_checks/, dry-run comparisons: tools/_out/ship_20260925_dryrun/&lt;root&gt;/cmp_out.txt.</t>
        </is>
      </c>
      <c r="E157" s="34" t="inlineStr">
        <is>
          <t>03_SCRIPTS: 8 macros (LF). 04_DESIGN_TABLES: 2501 SW2 29 -&gt; 32 rows (+2501-L), 6801-6804 SW2 new; 6404/6504/6565 SW2 unchanged (identical). Old files -&gt; _to_delete/superseded_20260925/reshipped_regen_20260925 (manifest). 03_SCRIPTS now rebuilds exactly the accepted parts.</t>
        </is>
      </c>
      <c r="F157" s="34" t="inlineStr">
        <is>
          <t>INFO</t>
        </is>
      </c>
      <c r="G157" s="34" t="inlineStr">
        <is>
          <t>None - nothing to run (the parts are already in 11_MASTERS).</t>
        </is>
      </c>
    </row>
    <row r="158">
      <c r="A158" s="34" t="inlineStr">
        <is>
          <t>157</t>
        </is>
      </c>
      <c r="B158" s="34" t="inlineStr">
        <is>
          <t>2026-09-25</t>
        </is>
      </c>
      <c r="C158" s="34" t="inlineStr">
        <is>
          <t>OMi dimension audit against the OMi file WebsitePartsInfo2026.xlsx (audit only)</t>
        </is>
      </c>
      <c r="D158" s="34" t="inlineStr">
        <is>
          <t>00_DOCS/OMi_Dimension_Audit_2026-09-25.xlsx / .md; exact arithmetic; 209 column mappings (109 certain) after an adversarial challenge; every item re-derived by independent checkers (5,539 items, 0 refuted).</t>
        </is>
      </c>
      <c r="E158" s="34" t="inlineStr">
        <is>
          <t>OMi gives dimensions for 840 of its 3,257 carbon-steel parts (42 topologies). Certain mappings: 478 equal, 1,139 rounding only, 235 real differences, 357 only OMi. Threads: 36 real differences (24 OMi callouts contradict the part number). MISSING rows: OMi has data for 183 of 727 and completes 1.</t>
        </is>
      </c>
      <c r="F158" s="34" t="inlineStr">
        <is>
          <t>INFO</t>
        </is>
      </c>
      <c r="G158" s="34" t="inlineStr">
        <is>
          <t>User: the 12 questions in the .md.</t>
        </is>
      </c>
    </row>
    <row r="159">
      <c r="A159" s="34" t="inlineStr">
        <is>
          <t>158</t>
        </is>
      </c>
      <c r="B159" s="34" t="inlineStr">
        <is>
          <t>2026-09-25</t>
        </is>
      </c>
      <c r="C159" s="34" t="inlineStr">
        <is>
          <t>User decisions (evening): OMi dimensions rank ABOVE Air-Way; rounding-only differences are fine</t>
        </is>
      </c>
      <c r="D159" s="34" t="inlineStr">
        <is>
          <t>Chat. Rounding = the 1,120 half-up cases, the 8 + 11 exact-fraction cases, and the 15 real differences that equal the table when OMi is cut to Air-Way's decimals (treated as rounding unless the user objects).</t>
        </is>
      </c>
      <c r="E159" s="34" t="inlineStr">
        <is>
          <t>To switch to OMi: 220 real differences on certain mappings - NOT applied yet. Earlier decisions this reverses (to confirm): 6410-12-08-O at Air-Way 1.09 (OMi 1.480), 1404 / 1405 nut face at Air-Way W. Open: does OMi-first also cover the -FG rows (F1)? the uncertain leg mappings on elbows / tees.</t>
        </is>
      </c>
      <c r="F159" s="34" t="inlineStr">
        <is>
          <t>DECISION</t>
        </is>
      </c>
      <c r="G159" s="34" t="inlineStr">
        <is>
          <t>After the open points: review tables -&gt; OMi values with source, regenerate into new GS_OUT/GT_OUT, checks, dry runs, re-ship.</t>
        </is>
      </c>
    </row>
    <row r="160">
      <c r="A160" s="34" t="inlineStr">
        <is>
          <t>159</t>
        </is>
      </c>
      <c r="B160" s="34" t="inlineStr">
        <is>
          <t>2026-10-02</t>
        </is>
      </c>
      <c r="C160" s="34" t="inlineStr">
        <is>
          <t>Task A accepted: the OMi dimension values in 18 review tables (user "yes to all" 2026-10-02 = question 1 of 2026-09-26) - batch 14</t>
        </is>
      </c>
      <c r="D160" s="34" t="inlineStr">
        <is>
          <t>Review tables edited 2026-09-25 night (173 of the 184 phaseA cells; source in $PRP@AxialSource, DataStatus ASSUMED; 11 held with the reason in $COMMENT; originals tools/_out/omi_apply_20260925/originals_before_apply/). SolidWorks dry runs 2026-09-25 into 11_MASTERS_NEW: 0 FAIL, 324 -&gt; 329 configurations (138 changed as intended, 186 identical, 5 new) - tools/_out/omi_apply_20260925/TaskA_result.md, dryrun/compare_all.txt. Regenerated 2026-10-02 with the deployed tools: the same macros (date line only), SW2 cells and summaries as the files that built the staged parts (tools/_out/ship_20261002/checks/).</t>
        </is>
      </c>
      <c r="E160" s="34" t="inlineStr">
        <is>
          <t>15 staged masters moved 11_MASTERS_NEW -&gt; 11_MASTERS unchanged (sha256), reports -&gt; 03_SCRIPTS, macros (LF) + SW2 tables shipped: 0403 1404 2705 2706 6401 6402 6405 6408 6504 6505 2501 2503 5500 5502 6500 (282 configurations; new: 6401-32-32-O, 6405-24-16-O, 6504-24-24, 2501-32-32-FG). 6404 / 6410 / 6565 carry Task A too but were rebuilt from their tier-1 macros (#161); their staged builds -&gt; _to_delete. 6410-12-08-O is now OMi 1.480 (= Brennan; replaces the 2026-09-24 "keep Air-Way 1.09"). Old files: _to_delete/superseded_20261002/batch14_replaced/ + tools/_out/ship_20261002/old_files/ (MANIFEST.txt). Log: tools/_out/ship_20261002/build_out/ship_log.txt.</t>
        </is>
      </c>
      <c r="F160" s="34" t="inlineStr">
        <is>
          <t>INFO</t>
        </is>
      </c>
      <c r="G160" s="34" t="inlineStr">
        <is>
          <t>Open: Q-31 1404 bores - the 17 cells shipped with OMi (OMi 0.01-0.05 below Brennan on 8/8 STEPs; if the answer is Air-Way: revert from originals_before_apply, regenerate, dry-run, rebuild 1404). Q-32 6404-10-08 shipped at OMi 1.750 (Brennan 1.740). Q-2: the 10 held OMi bores. The other 2026-09-26 questions.</t>
        </is>
      </c>
    </row>
    <row r="161">
      <c r="A161" s="34" t="inlineStr">
        <is>
          <t>160</t>
        </is>
      </c>
      <c r="B161" s="34" t="inlineStr">
        <is>
          <t>2026-10-02</t>
        </is>
      </c>
      <c r="C161" s="34" t="inlineStr">
        <is>
          <t>Tier-1 generator fixes deployed to the live toolchain tools/ (all but 5404N-06)</t>
        </is>
      </c>
      <c r="D161" s="34" t="inlineStr">
        <is>
          <t>tools/_out/ship_20261002/PREP.md: backup of tools/generators, checks, measure, omi_paths.py (41 files) in _to_delete/superseded_20261002/tier1_toolchain_before/ + tools/_out/ship_20261002/tools_before/; staged = the tier-1 integrated tools with the 5404N-06 hunks reverted by hand (attribution check OK: no other fix lost a line); deploy.diff (10 files) undoes it. All 61 SPEC keys regenerated: identical to the 2026-10-02 dry-run set except the date line (1503 stops as before).</t>
        </is>
      </c>
      <c r="E161" s="34" t="inlineStr">
        <is>
          <t>Fixes now live: SPECS (new gen_straight2 SPECs 2403 incl. the 2403-LH rows, 2405; the 2404 SPEC is present but NOT shipped, #164), 6565-CAVITY (seat cone ends at the bore; SWA/SWB_SEATENDR), ORBF-DEEPBORE (female ORB port drilled through when bore &gt;= port minor; ORBFB_DRILLANG + port-bottom check), 6802-E45 (45 deg locknut-reach check; ORBTRIM corner trim, dormant), NECK-6502 (NECKTRIM1 / NECKFILL1 revolve cut + ring), ORB-02 (male -02 ORB end, dormant until rows get data), SIZE-40 partial (-40 JIC end measured on Brennan 2404-40-32 with measure/jicm.py; library-gap guard), MEASURED-ENDS readiness (swiv.py --model), review fixes F1 / F2. Files: generators/gen_straight2.py, gen_tee.py; checks/allcfg_check.py, dofcheck_tee.py; measure/swiv.py, nwo_model.py, nwo_allcfg_ocp.py; new measure/jicm.py, neck45.py, e45_model.py. The other 53 roots regenerate identically. 00_DOCS/Tier1_Fixes_2026-10-01.md.</t>
        </is>
      </c>
      <c r="F161" s="34" t="inlineStr">
        <is>
          <t>INFO</t>
        </is>
      </c>
      <c r="G161" s="34" t="inlineStr">
        <is>
          <t>tools/README.md still to be updated (new measure tools, JIC_MEAS_40, ORB_FROM_6408_ROW, swiv.py --model; Tier1_Fixes section 7 step 8). 5404N-06: #163.</t>
        </is>
      </c>
    </row>
    <row r="162">
      <c r="A162" s="34" t="inlineStr">
        <is>
          <t>161</t>
        </is>
      </c>
      <c r="B162" s="34" t="inlineStr">
        <is>
          <t>2026-10-02</t>
        </is>
      </c>
      <c r="C162" s="34" t="inlineStr">
        <is>
          <t>Batch 14 shipped - RUN_ME_batch14.txt: 6502 6802 6565 6404 6410 2403 2405 built for real through the SolidWorks MCP (SP4), user-approved</t>
        </is>
      </c>
      <c r="D162" s="34" t="inlineStr">
        <is>
          <t>tools/_out/ship_20261002/BUILD_PLAN.md (a): per root the old files moved out (+ a copy), the ship_ready macro (LF) + SW2 copied in (sha256 checked), run_macro with no overrides, sweep_configs of the saved part, sweep_cmp.py against the 2026-10-02 dry run (tolerance 1e-5). Outputs tools/_out/ship_20261002/build_out/&lt;root&gt;.txt, ship_log.txt. Static checks on all 22 ship macros: dofcheck, allcfg (425 configurations), vbacheck, regress (tools/_out/ship_20261002/checks/).</t>
        </is>
      </c>
      <c r="E162" s="34" t="inlineStr">
        <is>
          <t>All 7 PASS: "finished with 0 problem(s)", report 0 FAIL, "Configurations after table: N+1 (expect N+1)", saved to 11_MASTERS (no _hhnnss), every configuration 1 body and identical to the dry run: 6502 8 -&gt; 10 (+05-05-FG, 12-12-FG), 6802 16 -&gt; 19 (+20-16, 20-20, 24-24-NWO-FG), 6565 5 -&gt; 8 (+10-10, 20-20, 24-24), 6404 14 -&gt; 14, 6410 27 -&gt; 30 (+20-12-O, 20-16-O, 24-16-O), 2403 49 -&gt; 34, 2405 32 -&gt; 28. Batch 14 (22 roots) 429 -&gt; 425 configurations. 11_MASTERS: still 60 masters. BUILD rows in a master 976 -&gt; 990 (868 in 11_MASTERS with the current set; tools/_out/ship_20261002/paperwork/count_configs.py); coverage refreshed (A1 854 -&gt; 868 OMi parts).</t>
        </is>
      </c>
      <c r="F162" s="34" t="inlineStr">
        <is>
          <t>INFO</t>
        </is>
      </c>
      <c r="G162" s="34" t="inlineStr">
        <is>
          <t>None - nothing to run (the parts are already in 11_MASTERS). Next: batch 14b (2702 / 2703).</t>
        </is>
      </c>
    </row>
    <row r="163">
      <c r="A163" s="34" t="inlineStr">
        <is>
          <t>162</t>
        </is>
      </c>
      <c r="B163" s="34" t="inlineStr">
        <is>
          <t>2026-10-02</t>
        </is>
      </c>
      <c r="C163" s="34" t="inlineStr">
        <is>
          <t>2403 / 2405: the DROP-row configurations left the rebuilt masters (user: Q-SPECS-1 = yes, 2026-10-02)</t>
        </is>
      </c>
      <c r="D163" s="34" t="inlineStr">
        <is>
          <t>The old masters (built by the user with the legacy builder - first 2026-09-16, last saved 2026-09-24) carried 49 / 32 configurations, incl. rows the 2026-09-23 ScopeAction reconciliation set to DROP (OMi does not sell them). The generator SPECs build BUILD rows only. Evidence: tools/_out/ship_20261002/checks/regress_vs_shipped04_straight.txt, BUILD_PLAN.md Appendix A.</t>
        </is>
      </c>
      <c r="E163" s="34" t="inlineStr">
        <is>
          <t>2403 49 -&gt; 34, gone: 2403-04-03, -12-04, -14-12, -14-14, -20-16, -24-12, 2403-LH-02-02, -03-03, -05-05, -08-04, -08-06, -10-04, -10-08, -12-08, -12-10. 2405 32 -&gt; 28, gone: 2405-03-04, -05-02, -06-02, -32-24. Every remaining configuration has the old volume (2403: 14 exact + 20 bounding box &lt;= 0.00004 in; 2405: 3 exact + 25 &lt;= 0.00033 in = hex body-radius rounding); only thread-feature depths changed (threads suppressed in the saved part). Old masters in _to_delete/superseded_20261002/batch14_replaced/11_MASTERS + tools/_out/ship_20261002/old_files/11_MASTERS.</t>
        </is>
      </c>
      <c r="F163" s="34" t="inlineStr">
        <is>
          <t>DECISION</t>
        </is>
      </c>
      <c r="G163" s="34" t="inlineStr">
        <is>
          <t>Open: 2403-04-02, -10-04, -16-10, -24-16, 2403-LH-24-24, 2405-10-06, -14-12 have values only in the Brennan catalog (Q-SPECS-5 / Q-BRENNAN-ONLY); 2403-06-02 has no source.</t>
        </is>
      </c>
    </row>
    <row r="164">
      <c r="A164" s="34" t="inlineStr">
        <is>
          <t>163</t>
        </is>
      </c>
      <c r="B164" s="34" t="inlineStr">
        <is>
          <t>2026-10-02</t>
        </is>
      </c>
      <c r="C164" s="34" t="inlineStr">
        <is>
          <t>5404N-06 tier-1 fix NOT shipped: its thread features fail at -06 in SolidWorks</t>
        </is>
      </c>
      <c r="D164" s="34" t="inlineStr">
        <is>
          <t>SolidWorks dry runs 2026-10-02 on TEST rows (tools/_out/tier1_20261001/integrated/sw_tests/, 5404N-06__T1/T2/T3): the -06 rows build bodies, but THD_EndA / THD_EndB do not rebuild on all 8 (the 0.004 in lip under the thread run-out).</t>
        </is>
      </c>
      <c r="E164" s="34" t="inlineStr">
        <is>
          <t>Fix held out of the deploy: its 3 hunks reverted in gen_straight2.py (scripts/revert_5404N06.py; PREP.md step 2). 5404N regenerates identically and is not in batch 14; the 4 built 5404N configurations are unaffected; the 8 rows 5404-N-06X2.000 to X6.000 stay MISSING.</t>
        </is>
      </c>
      <c r="F164" s="34" t="inlineStr">
        <is>
          <t>MEDIUM</t>
        </is>
      </c>
      <c r="G164" s="34" t="inlineStr">
        <is>
          <t>Look at the -06 thread end again; Brennan has no file for 5404-N-06X2.000 (user 2026-10-02). Q-TRANSFER-5404N (bar / bore from the Air-Way row; Brennan drills differ) and Q-NEW-5404N-NAME still open.</t>
        </is>
      </c>
    </row>
    <row r="165">
      <c r="A165" s="34" t="inlineStr">
        <is>
          <t>164</t>
        </is>
      </c>
      <c r="B165" s="34" t="inlineStr">
        <is>
          <t>2026-10-02</t>
        </is>
      </c>
      <c r="C165" s="34" t="inlineStr">
        <is>
          <t>2404 / 2404-L held for OMi (user 2026-10-02: keep 2404 exactly as it is until OMi clarifies the bores)</t>
        </is>
      </c>
      <c r="D165" s="34" t="inlineStr">
        <is>
          <t>The tier-1 SPEC-2404 (library NPTF cone instead of the hand-built pipe cylinder; 24 of the 48 configurations, the 24 "one bore" rows HELD for Q-2404-BORE) passed its SolidWorks test 2026-10-02, then was excluded from batch 14. Every 2404 file checked byte for byte (tools/_out/ship_20261002/PREP.md step 7).</t>
        </is>
      </c>
      <c r="E165" s="34" t="inlineStr">
        <is>
          <t>Hand-built 2404 master and the 04_DESIGN_TABLES 2404 files unchanged (DesignTable_2404_FINAL.xlsx f887fd52..., 2404L 3569930c..., 2404LL 503b7b52..., 2404_SW2 3ff77395...); 2404-40-32 stays VERIFIED there (the generator would write ASSUMED). The 2404 SPEC sits unused in gen_straight2.py; tools/_out/ship_20261002/regen/straight/Build_2404_MASTER.bas is NOT for shipping. The 2404-L fold waits with it (Brennan 2404-L-32-32 STEP received 2026-10-02, reference only).</t>
        </is>
      </c>
      <c r="F165" s="34" t="inlineStr">
        <is>
          <t>DECISION</t>
        </is>
      </c>
      <c r="G165" s="34" t="inlineStr">
        <is>
          <t>User asks OMi about the 2404 bores; then Q-SPECS-2 (pipe end -&gt; ASME cone), Q-2404-BORE (per row a / b / c), the 2404-L fold, question 26. Leave 2404 out of any "regenerate all" ship until then.</t>
        </is>
      </c>
    </row>
    <row r="166">
      <c r="A166" s="34" t="inlineStr">
        <is>
          <t>165</t>
        </is>
      </c>
      <c r="B166" s="34" t="inlineStr">
        <is>
          <t>2026-10-02</t>
        </is>
      </c>
      <c r="C166" s="34" t="inlineStr">
        <is>
          <t>Batch 14b shipped - RUN_ME_batch14b.txt: 2702 / 2703 accepted and built for real through the SolidWorks MCP (SP4), user-approved ("okay" 2026-10-02 to the 0.001 in hex-arm offset)</t>
        </is>
      </c>
      <c r="D166" s="34" t="inlineStr">
        <is>
          <t>gen_tee.py: BH_ARM_SHORT 0.001 + bh_short=(16,) on 2702 / 2703 (tools/_out/fix2702_20261002/patch.diff, NOTES.md, FOLLOWUP.md): the bulkhead hex arm of the -16 rows ends 0.001 short of the collar face (HEXL 0.870 -&gt; 0.869, 1.110 -&gt; 1.109) because HEX2_BODY / HEX3_BODY did not rebuild there in SolidWorks on 2026-09-25. All 61 roots regenerated: only 2702 / 2703 change. SolidWorks dry runs 0 FAIL (fix2702_20261002/sw_dryrun2_*_out.txt); real builds via ship_root.py (tools/_out/ship_20261002b/build_out/).</t>
        </is>
      </c>
      <c r="E166" s="34" t="inlineStr">
        <is>
          <t>2702 11 configurations, 2703 12 configurations, 0 FAIL, every configuration identical to the dry run; saved to 11_MASTERS (first 2702 / 2703 masters there; the held 2026-09-25 builds stay in tools/_out/overnight). Old macros / SW2 -&gt; _to_delete/superseded_20261002/batch14b_replaced/ + tools/_out/ship_20261002b/old_files/. Configurations in a master 990 -&gt; 992.</t>
        </is>
      </c>
      <c r="F166" s="34" t="inlineStr">
        <is>
          <t>INFO</t>
        </is>
      </c>
      <c r="G166" s="34" t="inlineStr">
        <is>
          <t>Side finding to check later: elbows with hex A/F 0.5625 lack the corner-puck volume in SolidWorks (fix2702 NOTES section 7). 2702-12-12-FG-LN stays BLOCKED (bore 0.72 &gt;= tip 0.664).</t>
        </is>
      </c>
    </row>
    <row r="167">
      <c r="A167" s="34" t="inlineStr">
        <is>
          <t>166</t>
        </is>
      </c>
      <c r="B167" s="34" t="inlineStr">
        <is>
          <t>2026-10-02</t>
        </is>
      </c>
      <c r="C167" s="34" t="inlineStr">
        <is>
          <t>Two new 2702 / 2703 rows filled (batch 14b)</t>
        </is>
      </c>
      <c r="D167" s="34" t="inlineStr">
        <is>
          <t>2702-20-20-FG: measured on its own Brennan STEP (standing -FG decision; method validated on Brennan 2701-08-08-FG): M2 1.59, M9 2.65, i2 1.61, K1 0.125, O 1.75, Y 1.625, D1/D2 1.078, threads from the -20 dash; = catalog TFA p27 where printed. 2703-08-08-08-FG-LN: THDMAJ_B3 0.75 (3/4-16 from the -08 dash; Brennan TFA p53 and OMi Items row 1016 Side 3 Thread agree; Air-Way prints 3/16-16, a misprint).</t>
        </is>
      </c>
      <c r="E167" s="34" t="inlineStr">
        <is>
          <t>Both ASSUMED; both rebuild in SolidWorks (2702-20-20-FG without the hex-arm offset).</t>
        </is>
      </c>
      <c r="F167" s="34" t="inlineStr">
        <is>
          <t>DECISION</t>
        </is>
      </c>
      <c r="G167" s="34" t="inlineStr">
        <is>
          <t>None - both rows built.</t>
        </is>
      </c>
    </row>
    <row r="168">
      <c r="A168" s="34" t="inlineStr">
        <is>
          <t>167</t>
        </is>
      </c>
      <c r="B168" s="34" t="inlineStr">
        <is>
          <t>2026-10-08</t>
        </is>
      </c>
      <c r="C168" s="34" t="inlineStr">
        <is>
          <t>Batch 15 shipped - RUN_ME_batch15.txt: 52 new configurations in 18 existing masters (user "ship batch", 2026-10-08)</t>
        </is>
      </c>
      <c r="D168" s="34" t="inlineStr">
        <is>
          <t>Staged 2026-10-02 in tools/_out/batch15_20261002 (6 groups, every changed cell in work/&lt;group&gt;/CHANGES.csv): 47 rows from the OMi dimension file (Brennan TFA catalog only settled which OMi column is which leg - same source, ASSUMED) + 5 forged rows from their own Brennan STEPs (2701-02-02-FG, 2701-05-05-FG, 6801-16-08-NWO-FG, 6801-24-32-NWO-FG, 6802-32-32-NWO-FG; standing -FG decision). Pre-ship checks 2026-10-08 (tools/_out/ship_20261008/checks): the 18 roots regenerated from the staged review tables with the live tools equal the staged macros + SW2 that built the parts (date line aside); regress: 0 changed cells in old configurations; SolidWorks dry runs 0 FAIL, every configuration 1 body; old configurations vs the accepted masters: 266 identical (257 against the sweeps recorded when they were built, 9 of 2601 against a read-only sweep 2026-10-08).</t>
        </is>
      </c>
      <c r="E168" s="34" t="inlineStr">
        <is>
          <t>18 masters moved 11_MASTERS_NEW -&gt; 11_MASTERS unchanged (sha256), macros (LF) + reports -&gt; 03_SCRIPTS, SW2 + 19 review tables -&gt; 04_DESIGN_TABLES. Configurations in a master 992 -&gt; 1,044 of 1,804. Old files -&gt; _to_delete/superseded_20261008/batch15_replaced/ + tools/_out/ship_20261008/old_files/.</t>
        </is>
      </c>
      <c r="F168" s="34" t="inlineStr">
        <is>
          <t>INFO</t>
        </is>
      </c>
      <c r="G168" s="34" t="inlineStr">
        <is>
          <t>None. Wave-1 FOLDS (2501-LL) staged its own DesignTable_2501 before batch 15: rebase it on the shipped table before it ships.</t>
        </is>
      </c>
    </row>
    <row r="169">
      <c r="A169" s="34" t="inlineStr">
        <is>
          <t>168</t>
        </is>
      </c>
      <c r="B169" s="34" t="inlineStr">
        <is>
          <t>2026-10-08</t>
        </is>
      </c>
      <c r="C169" s="34" t="inlineStr">
        <is>
          <t>5604 / 5605: the QA #144 round-collar re-run done with batch 15</t>
        </is>
      </c>
      <c r="D169" s="34" t="inlineStr">
        <is>
          <t>The replaced user-built 5604 / 5605 masters (2026-09-24 11:45 / 11:46) predate the round collar on the female pipe legs (QA #144: re-run when convenient). The shipped batch-15 builds come from the current generator, so their old configurations carry the collar. Read-only sweeps of the replaced parts 2026-10-08 (tools/_out/ship_20261008/checks/old_configs_vs_accepted_5604_5605.txt).</t>
        </is>
      </c>
      <c r="E169" s="34" t="inlineStr">
        <is>
          <t>Old configurations: volume -1.8 % to -5.8 % (hex corners of the female ends turned to the round collar), bounding sizes unchanged, 1 body each. Screenshot of 5604-08-08-08-FG shows the collars.</t>
        </is>
      </c>
      <c r="F169" s="34" t="inlineStr">
        <is>
          <t>INFO</t>
        </is>
      </c>
      <c r="G169" s="34" t="inlineStr">
        <is>
          <t>2602 / 5602 still carry their 2026-09-24 builds (Topologies notes: re-run for the collar).</t>
        </is>
      </c>
    </row>
    <row r="170">
      <c r="A170" s="34" t="inlineStr">
        <is>
          <t>169</t>
        </is>
      </c>
      <c r="B170" s="34" t="inlineStr">
        <is>
          <t>2026-10-08</t>
        </is>
      </c>
      <c r="C170" s="34" t="inlineStr">
        <is>
          <t>Batch 15: 25 rows held MISSING (values prepared, not applied)</t>
        </is>
      </c>
      <c r="D170" s="34" t="inlineStr">
        <is>
          <t>Rows whose values exist only at Brennan (catalog / STEP), Q-BRENNAN-ONLY answered "later" 2026-10-02: 2406-04-02 / -04-04 / -04-08 / -06-10 / -08-08 / -10-16 / -12-04 / -12-12, 5404-16-04 / -20-12 / -24-12 / -32-12 / -32-16, 5600-20-20-20-FG, 5600-24-24-24-FG, 6504-04-06 / -06-04 / -08-10 / -12-16 (or Q-NEW-CATRANK / Q-TRANSFER-SWOFFSET), 5406-P-02 / -04 / -06 (or Q-NEW-AWALIAS), 6600-24-24-24-FG (or Q-GARBLE). Conflicts: 2408-14-SOLID (Q-CONFLICT-2408-14-SOLID / Q-NEW-CATRANK), 6801-05-05-NWO-FG (question 25 / Q-NEW-CATRANK).</t>
        </is>
      </c>
      <c r="E170" s="34" t="inlineStr">
        <is>
          <t>Prepared values with citations: tools/_out/batch15_20261002/work/STRAIGHTS/PROPOSALS.csv, SWIVEL-STRAIGHTS/NOTES.md, TEE-OTHER/proposal_held_NOT_STAGED/, FG-STEP/NOTES.md.</t>
        </is>
      </c>
      <c r="F170" s="34" t="inlineStr">
        <is>
          <t>DECISION</t>
        </is>
      </c>
      <c r="G170" s="34" t="inlineStr">
        <is>
          <t>User: Q-BRENNAN-ONLY (24 of the 25 build with a yes; 6801-05-05 needs question 25), Q-NEW-CATRANK.</t>
        </is>
      </c>
    </row>
    <row r="171">
      <c r="A171" s="34" t="inlineStr">
        <is>
          <t>170</t>
        </is>
      </c>
      <c r="B171" s="34" t="inlineStr">
        <is>
          <t>2026-10-19</t>
        </is>
      </c>
      <c r="C171" s="34" t="inlineStr">
        <is>
          <t>Batch 16 shipped - RUN_ME_batch16.txt: new masters wave 1 + batch-15 leftovers + JIC tees + 2404 (two bores) + 5405 + the corner-puck fix (user "Yes, ship batch 16 as planned.", 2026-10-19)</t>
        </is>
      </c>
      <c r="D171" s="34" t="inlineStr">
        <is>
          <t>Staged 2026-10-08/09: wave 1 (tools/_out/wave1_integrate_20261008, wave1_ship_20261009: 0304-C / 0306 / 2504 / 1502 / 6500-L fold), 8 OMi leftovers (6500 x4, 6501 x3, 6505-12-08; scripts/apply_leftovers.py), JIC tees with end-library ports (2505-12-12, 2606 x5, 2609-08, 2611 x2; scripts/apply_jictees.py), 2404 two bores (r2404_20261009). Pre-ship checks (tools/_out/ship_20261019/checks): every root regenerated from the staged tables with the staged tools - the 24 changed roots identical to the macros + SW2 that were dry-run (cmp_ship_out.txt); SolidWorks dry runs 0 FAIL, 1 body per configuration; old configurations identical (6505 18/18, 5405 23/23, 2404 24 kept rows vs the tier-1 dry run) or changed by the puck inset only (QA #171). Post-ship: live tools + live tables regenerate the shipped macros + SW2 exactly (verify_b16.txt, 0 BAD).</t>
        </is>
      </c>
      <c r="E171" s="34" t="inlineStr">
        <is>
          <t>Toolchain puckfix_20261009/tools_new deployed to tools/ (gen_tee.py, gen_straight2.py, 2 checks, 2 measure scripts changed, 17 measure scripts added). 25 masters -&gt; 11_MASTERS (9 new: 0304 0306 1502 2504 2505 2606 2609 2611 2404; 16 replaced), 24 macros (LF) + 25 reports -&gt; 03_SCRIPTS, 24 SW2 + 12 review tables -&gt; 04_DESIGN_TABLES. 53 new configurations + 2404 57 (was the hand-built 48-row table). Configurations in a master 1,044 -&gt; 1,103 of 1,804; 71 masters in 11_MASTERS. Old files -&gt; _to_delete/superseded_20261019/batch16_replaced/ + tools/_out/ship_20261019/old_files/ (MANIFEST*.txt).</t>
        </is>
      </c>
      <c r="F171" s="34" t="inlineStr">
        <is>
          <t>INFO</t>
        </is>
      </c>
      <c r="G171" s="34" t="inlineStr">
        <is>
          <t>None. Next in line: adapters77_20261016 (apply_77.py, needs the user OK), then batch 17 (Brennan / OMi-answer rows, staged by another session).</t>
        </is>
      </c>
    </row>
    <row r="172">
      <c r="A172" s="34" t="inlineStr">
        <is>
          <t>171</t>
        </is>
      </c>
      <c r="B172" s="34" t="inlineStr">
        <is>
          <t>2026-10-19</t>
        </is>
      </c>
      <c r="C172" s="34" t="inlineStr">
        <is>
          <t>Corner PUCK silently dropped on 20 elbow configurations - fixed (PUCK_INSET 0.0005 in), all 14 shipped elbow masters re-shipped</t>
        </is>
      </c>
      <c r="D172" s="34" t="inlineStr">
        <is>
          <t>Read-only audit 2026-10-09 (tools/_out/puck_audit_20261009): the puck equator sat exactly on the hex corner radius, its section through Z equalled the hex-arm end face, SolidWorks dropped the puck from the union without an error and left the outer elbow corner square: 2501-06-02-FG, 2501-L-06-04-FG, 2503-06-04-FG, 2701-02-02 / -06-06 / -06-06-LN, 2702-06-06 / -LN, 6500-06-04 / -06-06, 6502-06-06, 6801-06-04 / -06-05 / -06-06, 6802-06-04 / -06-06 (-FG / -NWO-FG) + the staged 2504-04-04 / -06-06-FG and 6500-L-04-04 / -L-06-06-FG. Fix: gen_tee.py PUCK_INSET = 0.0005 (puck equator 0.0005 radially inside the hex corners, 30 deg cones kept; a construction margin, not a part dimension). Regenerating every root changes only the 11 puck lines + 3 PUCK columns of the 17 elbow roots.</t>
        </is>
      </c>
      <c r="E172" s="34" t="inlineStr">
        <is>
          <t>SolidWorks dry runs of the 17 elbow roots (tools/_out/puckfix_20261009/DRYRUN_VERDICT_2026-10-19.txt): 0 FAIL, 1 body, puck present in all 265 configurations; the 20 got their corner back (+0.1527 AF^3 quarter / 0.0764 AF^3 eighth puck within 3 %); every other configuration loses only the inset sliver, dV / AF^2 = -0.000340 on all 177 kept 90 deg configurations (45 deg -0.00017 .. -0.00026).</t>
        </is>
      </c>
      <c r="F172" s="34" t="inlineStr">
        <is>
          <t>INFO</t>
        </is>
      </c>
      <c r="G172" s="34" t="inlineStr">
        <is>
          <t>None. Drawings of the 14 elbow masters (10_DRAWINGS/dimension_check_20261009) were made from the pre-fix parts: dimensions unchanged, the 20 corners now filled.</t>
        </is>
      </c>
    </row>
    <row r="173">
      <c r="A173" s="34" t="inlineStr">
        <is>
          <t>172</t>
        </is>
      </c>
      <c r="B173" s="34" t="inlineStr">
        <is>
          <t>2026-10-19</t>
        </is>
      </c>
      <c r="C173" s="34" t="inlineStr">
        <is>
          <t>Batch 16: left out on purpose</t>
        </is>
      </c>
      <c r="D173" s="34" t="inlineStr">
        <is>
          <t>2505-08-08-FG / -16-16-FG BLOCKED (the library female-pipe port is deeper than the short leg). 5 roots regenerate with a cosmetic $COMMENT change only (leading " | " removed by the wave-1 polish: 0318 5406 2650 2605 5600) - not re-shipped, masters unchanged. 22 roots whose 03_SCRIPTS macros predate the 2026-09-25 generator fixes (5000 5404 2408 0318 5406 5406C 5406P 2700 4404 4604 5404N 2406 1405 1700 2650 2602 2605 5600 5602 2704 6600 6602) keep their macros and built masters (SW2 identical apart from the 5 cosmetic ones); 5405 was rebuilt from its own 03_SCRIPTS macro, as planned. Wave 2 (HOSEB / PERLEGSW) not in this batch; HOSEB bore option (a) stays an assumption until Q-HOSEB-BORE.</t>
        </is>
      </c>
      <c r="E173" s="34" t="inlineStr">
        <is>
          <t>Recorded in tools/_out/ship_20261019/checks/cmp_ship_out.txt and SHIP_PLAN.md.</t>
        </is>
      </c>
      <c r="F173" s="34" t="inlineStr">
        <is>
          <t>INFO</t>
        </is>
      </c>
      <c r="G173" s="34" t="inlineStr">
        <is>
          <t>Re-ship the pre-fix macros only with a dry run per root (CLAUDE.md).</t>
        </is>
      </c>
    </row>
    <row r="174">
      <c r="A174" s="34" t="inlineStr">
        <is>
          <t>173</t>
        </is>
      </c>
      <c r="B174" s="34" t="inlineStr">
        <is>
          <t>2026-10-20</t>
        </is>
      </c>
      <c r="C174" s="34" t="inlineStr">
        <is>
          <t>Batch 17 shipped - RUN_ME_batch17.txt: the 2026-10-18 stage (OMi answers, Brennan rows waves 1-3 marked $PRP@DimSource BRENNAN, A19-A23, the 37 wrongly-DROP adapters + wave-3 adapter rows, the rows of the 5 new generator features) + the merged generator features (hose barb, flange legs, 45 deg angled legs, per-leg swivels, straights) (user "can you ship batch 17?", 2026-10-19)</t>
        </is>
      </c>
      <c r="D174" s="34" t="inlineStr">
        <is>
          <t>Rebased on the live state after batch 16: stage review tables = live 04_DESIGN_TABLES + logged batch-17 edits, 0 stale cells (tools/_out/batch17_20261019/checks/cmp3_full.txt). adapters77 already inside the stage (apply_77.py never run). Regenerated every root: control = live tools + live tables reproduces 03_SCRIPTS / 04 SW2 (known pre-2026-09-25 macros aside); batch 17 = tools_b17 (merged tools + the Atan2V fix, QA #174) on the stage -&gt; 80 roots change (regen/cmp.txt, checks/detail_cmp.txt); 98 old configurations change, every one on a row with a logged edit. Static checks clean (allcfg, dofcheck, vbacheck, regress). SolidWorks 2026 SP4 dry runs of all 80 (sw_dryrun/, out_g*.txt, checks/verdict.txt): 74 PASS - 0 FAIL lines (5406HHP / 5406SHP: 1 accepted extent-check FAIL each, loose GetPartBox around the live helix, exact size = table), 1 body per configuration, every old configuration identical to a read-only sweep of the live master or changed together with its own table cells (A19 / A20 / A21 / A23; 92). Post-ship: live tools + live tables regenerate the shipped macros + SW2 (checks/verify_b17.txt).</t>
        </is>
      </c>
      <c r="E174" s="34" t="inlineStr">
        <is>
          <t>Toolchain tools_b17 deployed to tools/ (gen_tee.py, gen_straight2.py, checks/allcfg_check.py, checks/dofcheck_tee.py, measure/npsm.py changed; 8 measure scripts added). 74 masters -&gt; 11_MASTERS (24 new, 50 replaced; the hand-built 6400 replaced by the generated one, A6), 74 macros (LF) + 74 reports -&gt; 03_SCRIPTS, 74 SW2 + 88 review tables -&gt; 04_DESIGN_TABLES. BUILD rows 1,804 -&gt; 1,874; configurations in a master 1,103 -&gt; 1,354; 95 masters in 11_MASTERS; MISSING 619 -&gt; 440; VERIFIED 169 -&gt; 336. Old files -&gt; _to_delete/superseded_20261019b/batch17_replaced/ + tools/_out/batch17_20261019/old_files/ (MANIFEST*.txt). Incidents during the dry runs (no effect on the shipped files): SolidWorks closed twice (21:28 during my VBA bisect, 23:16 together with ViewServerV6.exe); Excel crashed at 23:22 during a design-table insert and left SolidWorks unable to insert tables - those dry runs were discarded and re-run.</t>
        </is>
      </c>
      <c r="F174" s="34" t="inlineStr">
        <is>
          <t>INFO</t>
        </is>
      </c>
      <c r="G174" s="34" t="inlineStr">
        <is>
          <t>None. Brennan-only rows are reversible (revert_brennan.py). Open user calls shipped with their assumption in AxialSource: 6902-12-12-NWO-FG composed shape, 5505-20-20-FG on the -08 shape.</t>
        </is>
      </c>
    </row>
    <row r="175">
      <c r="A175" s="34" t="inlineStr">
        <is>
          <t>174</t>
        </is>
      </c>
      <c r="B175" s="34" t="inlineStr">
        <is>
          <t>2026-10-20</t>
        </is>
      </c>
      <c r="C175" s="34" t="inlineStr">
        <is>
          <t>Generator fix: the 45 deg angled-leg macros did not compile in SolidWorks (Atan2V ByRef argument type mismatch)</t>
        </is>
      </c>
      <c r="D175" s="34" t="inlineStr">
        <is>
          <t>All 6 angled roots (1503 1504 5501 5503 5505 6902) failed to load in 0.6 s ("macro did not load/compile"); found by loading half-stubbed test modules (tools/_out/batch17_20261019/bisect): HelixThreadV passes elements of a Variant array (xf.ArrayData) to Atan2V(y As Double, x As Double) ByRef = compile error. Fix in gen_tee.py: Function Atan2V(ByVal y As Double, ByVal x As Double). Regenerating every root changes exactly that line in the 6 angled macros, all SW2 identical (regen/b17v2). The 6 then built with 0 FAIL lines.</t>
        </is>
      </c>
      <c r="E175" s="34" t="inlineStr">
        <is>
          <t>Static checks (vbacheck) cannot see VBA type errors; the angled feature had never run in SolidWorks.</t>
        </is>
      </c>
      <c r="F175" s="34" t="inlineStr">
        <is>
          <t>INFO</t>
        </is>
      </c>
      <c r="G175" s="34" t="inlineStr">
        <is>
          <t>None.</t>
        </is>
      </c>
    </row>
    <row r="176">
      <c r="A176" s="34" t="inlineStr">
        <is>
          <t>175</t>
        </is>
      </c>
      <c r="B176" s="34" t="inlineStr">
        <is>
          <t>2026-10-20</t>
        </is>
      </c>
      <c r="C176" s="34" t="inlineStr">
        <is>
          <t>Batch 17: held back on purpose (data stays in the review tables; no master change)</t>
        </is>
      </c>
      <c r="D176" s="34" t="inlineStr">
        <is>
          <t>4503 (7 rows) and 4603 (5): the hose face-off on the hose leg (HOSEFACE2 / STUBFILL2) cuts on the wrong side, 4503 bore D2 also picks the face-off circle - the hose-barb notes foresaw this (fallback: block the rows whose corner stands past the hose hex face). 1703-24-24-FG: the leg-2 hex arm (HEX2) extrudes the wrong way in both directions. 1700RC (3 rows, in DesignTable_1700.xlsx) and 1800-08-08: the FLATS sketch is not fully defined in SolidWorks (static dofcheck said fully defined; the cut itself is right). 5404N: the -06 thread sweeps fail again (QA #163) + body-diameter check; its 4-configuration master and macro stay, the 18 OMi-name rows wait.</t>
        </is>
      </c>
      <c r="E176" s="34" t="inlineStr">
        <is>
          <t>Dry-run reports in tools/_out/batch17_20261019/sw_dryrun/&lt;root&gt;/; HOLD list in scripts/ship_b17.py.</t>
        </is>
      </c>
      <c r="F176" s="34" t="inlineStr">
        <is>
          <t>MEDIUM</t>
        </is>
      </c>
      <c r="G176" s="34" t="inlineStr">
        <is>
          <t>Generator work per root (follow-up session): HOSEFACE on the 135 deg / second hose leg, HEX2 direction on 1703 -24, FLATS sketch relations, 5404N -06 thread ends.</t>
        </is>
      </c>
    </row>
    <row r="177">
      <c r="A177" s="34" t="inlineStr">
        <is>
          <t>176</t>
        </is>
      </c>
      <c r="B177" s="34" t="inlineStr">
        <is>
          <t>2026-10-20</t>
        </is>
      </c>
      <c r="C177" s="34" t="inlineStr">
        <is>
          <t>Batch 18 shipped - RUN_ME_batch18.txt: Air-Way first (OMi / Triveni 2026-10-20: Air-Way over Brennan incl. the OMi website file; 320 cells back to Air-Way + 4 unbuildable cells Brennan, 26 roots; the 40 cells of the Triveni draft shipped as Air-Way, user 2026-10-20 "Ship batch 18 as staged, including the 40 cells as Air-Way"), the ORFS generator stage (50 FS masters, 133 FS configurations) + O-ring master 4000 (4000 / 4001 / FS4000), A14 1603-08-08-08-FG, and the held roots of QA #175 fixed (1700RC 1800 1703 4503 4603)</t>
        </is>
      </c>
      <c r="D177" s="34" t="inlineStr">
        <is>
          <t>One toolset tools_b18 (ORFS staging tools + the 6410 reference 6410-24-20-O + the QA #177 fixes) on one input set (Air-Way stage + A14 + the FS / O-ring review tables): every root regenerates identical to the file its SolidWorks dry run built (tools/_out/batch18_20261020/cmp.txt; the 6 pre-2026-09-25 macro roots = live-tools control). Static checks clean (Air-Way: airway_first_20261020/checks; ORFS: orfs_gen_20261020/checks; held roots + 1603: batch18 checks/static_held.txt). SolidWorks 2026 SP4 dry runs: Air-Way first 26 / 26 PASS (233 configurations change, each with its own reverted cells; every other configuration identical to a read-only sweep of the master it replaces); ORFS 49 + FS2403 / FS6400 rebuilt from the final macros; 1603 + the 5 held roots 0 FAIL, 1 body per configuration. Review PDFs (07_RAW_EXTRACTS/omi_review_drawings_20261020): no AW / BI mark contradicts the stage (tools/_out/review_pdfs_20261020/PDF_CHECK.md). Post-ship: live tools + live tables regenerate all 83 shipped macros + SW2 (checks/verify_b18.txt, 0 BAD).</t>
        </is>
      </c>
      <c r="E177" s="34" t="inlineStr">
        <is>
          <t>tools_b18 deployed to tools/ (gen_straight2.py, gen_tee.py, omi_paths.py (OMI_REV_EXTRA), checks/allcfg_check.py changed; gen_ring.py added; 57 files differing only in line endings kept). 83 masters -&gt; 11_MASTERS (56 new, 27 replaced), 83 macros (LF) + 83 reports -&gt; 03_SCRIPTS, 83 SW2 + 81 review tables (27 Air-Way / A14, 51 FS, 4000 / 4001 replacing the 2026-09-23 skeletons) -&gt; 04_DESIGN_TABLES. BUILD rows 1,874 -&gt; 2,259 (FS + O-ring tables now live); configurations in a master 1,354 -&gt; 1,534; 151 masters in 11_MASTERS. Old files -&gt; _to_delete/superseded_20261020/batch18_replaced/ + tools/_out/batch18_20261020/old_files/ (MANIFEST*.txt). The dimension-check drawings of the Air-Way-first roots (2026-09-26 / 10-09) are stale.</t>
        </is>
      </c>
      <c r="F177" s="34" t="inlineStr">
        <is>
          <t>INFO</t>
        </is>
      </c>
      <c r="G177" s="34" t="inlineStr">
        <is>
          <t>Next: 5404N (QA #178); the BLOCKED_NEEDS list (tools/_out/blocked_needs_20261020/BLOCKED_NEEDS.md); send Triveni the 40-row list (10_DRAWINGS/for_OMi_2026-10-20) - an answer that differs from Air-Way is a later table edit.</t>
        </is>
      </c>
    </row>
    <row r="178">
      <c r="A178" s="34" t="inlineStr">
        <is>
          <t>177</t>
        </is>
      </c>
      <c r="B178" s="34" t="inlineStr">
        <is>
          <t>2026-10-20</t>
        </is>
      </c>
      <c r="C178" s="34" t="inlineStr">
        <is>
          <t>Held roots of QA #175 fixed in the generators (tools_b18, now live): 1700RC / 1800 FLATS sketch, 1703 HEX2 direction, 4503 / 4603 hose face-off</t>
        </is>
      </c>
      <c r="D178" s="34" t="inlineStr">
        <is>
          <t>SolidWorks inspection of the batch-17 dry-run parts: (1) FlatsCut - CreateCenterRectangle here gives NO rectangle relations (only the 2 distances, the midpoint of one diagonal, the centre coincident): status 2, the 1700RC master rebuilt skewed in other configurations (1700-24-20 across flats 2.076 vs 2.000); H / V on all four sides over-defines it (status 6); the centre point at the middle of the SECOND diagonal + one horizontal + one vertical side -&gt; status 3 (tested by hand on the 1800 dry-run part). (2) 1703-24-24-FG: the 0.697-long 45 deg HEX2 arm lies mostly inside HEX1 (AF 1.875): face-box centre -0.111 / -0.713 in for the two directions - neither positive. (3) 4503 / 4603: the 45 deg face-off ring faces lie mostly in the plane HFPLN2, so the tip-side cut (centre 0.330 / 0.245 = at the plane) failed the plane + depth / 2 test; the crossing-side cut went into the hex (0.163 / -0.000).</t>
        </is>
      </c>
      <c r="E178" s="34" t="inlineStr">
        <is>
          <t>gen_straight2 FlatsCut: 2nd-diagonal midpoint + one H + one V, each only while under-defined (only flats macros change: 1700RC, 1800). gen_tee: SPEC 1703 hexarm_fb=True -&gt; HexArmVS keeps the direction further along the leg when neither passes (only 1703 changes); HOSEFACE45_HELP: cut took &gt;= the stub ring and its faces are not behind the plane (only 45 deg face-off macros: 4503, 4603; 4501 / 4601 byte-identical). Dry runs 0 FAIL, flats = table, 4503 / 4603 net corner removal &lt; 0 and the D2 bore FAIL gone; screenshots looked at. 17 configurations built.</t>
        </is>
      </c>
      <c r="F178" s="34" t="inlineStr">
        <is>
          <t>INFO</t>
        </is>
      </c>
      <c r="G178" s="34" t="inlineStr">
        <is>
          <t>Done (shipped in batch 18).</t>
        </is>
      </c>
    </row>
    <row r="179">
      <c r="A179" s="34" t="inlineStr">
        <is>
          <t>178</t>
        </is>
      </c>
      <c r="B179" s="34" t="inlineStr">
        <is>
          <t>2026-10-20</t>
        </is>
      </c>
      <c r="C179" s="34" t="inlineStr">
        <is>
          <t>5404N -06 thread sweeps still fail (error 1 on THD_EndA / THD_EndB in every -06 configuration; QA #163, #175)</t>
        </is>
      </c>
      <c r="D179" s="34" t="inlineStr">
        <is>
          <t>SolidWorks probe 2026-10-20 on the batch-17 dry-run part (5404-N-06X3.000): helix and profile agree (HELIXDIA 0.6565 = 2 x PROF_R); the sweep keeps failing with the bar radius (0.33 ... 0.40), the thread radius (0.30 ... 0.34, helix / profile / major together) and the thread length (0.38 ... 0.42) changed - not an end or radius coincidence. -04 / -08 build with the same construction.</t>
        </is>
      </c>
      <c r="E179" s="34" t="inlineStr">
        <is>
          <t>18 rows (5404-N-04 / -06 / -08 OMi names) stay unbuilt; the old 4-configuration master stays. Needs a deeper look (sweep path / profile plane at -06) and ideally a Brennan -06 STEP (none on Brennan's site); bar OD Air-Way 0.69 vs pipe OD 0.675 still open.</t>
        </is>
      </c>
      <c r="F179" s="34" t="inlineStr">
        <is>
          <t>MEDIUM</t>
        </is>
      </c>
      <c r="G179" s="34" t="inlineStr">
        <is>
          <t>Follow-up session.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K4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34" min="1" max="1"/>
    <col width="11" customWidth="1" style="34" min="2" max="2"/>
    <col width="50" customWidth="1" style="34" min="3" max="3"/>
    <col width="26" customWidth="1" style="34" min="4" max="4"/>
    <col width="13" customWidth="1" style="34" min="5" max="5"/>
    <col width="66" customWidth="1" style="34" min="6" max="6"/>
    <col width="30" customWidth="1" style="34" min="7" max="7"/>
    <col width="20" customWidth="1" style="34" min="8" max="8"/>
    <col width="13" customWidth="1" style="34" min="9" max="10"/>
    <col width="30" customWidth="1" style="34" min="11" max="11"/>
  </cols>
  <sheetData>
    <row r="1" ht="23.25" customHeight="1" s="35">
      <c r="A1" s="57" t="inlineStr">
        <is>
          <t>GeometryRoot</t>
        </is>
      </c>
      <c r="B1" s="57" t="inlineStr">
        <is>
          <t>SeriesID_AirWay</t>
        </is>
      </c>
      <c r="C1" s="57" t="inlineStr">
        <is>
          <t>SeriesName</t>
        </is>
      </c>
      <c r="D1" s="57" t="inlineStr">
        <is>
          <t>Category</t>
        </is>
      </c>
      <c r="E1" s="57" t="inlineStr">
        <is>
          <t>Shape</t>
        </is>
      </c>
      <c r="F1" s="57" t="inlineStr">
        <is>
          <t>SourceURL</t>
        </is>
      </c>
      <c r="G1" s="57" t="inlineStr">
        <is>
          <t>StandardCited</t>
        </is>
      </c>
      <c r="H1" s="57" t="inlineStr">
        <is>
          <t>MasterModelStatus</t>
        </is>
      </c>
      <c r="I1" s="57" t="inlineStr">
        <is>
          <t>PilotPriority</t>
        </is>
      </c>
      <c r="J1" s="57" t="inlineStr">
        <is>
          <t>VariantCount</t>
        </is>
      </c>
      <c r="K1" s="57" t="inlineStr">
        <is>
          <t>Notes</t>
        </is>
      </c>
    </row>
    <row r="2" ht="15" customHeight="1" s="35">
      <c r="A2" s="37" t="inlineStr">
        <is>
          <t>1404</t>
        </is>
      </c>
      <c r="B2" s="37" t="inlineStr">
        <is>
          <t>55</t>
        </is>
      </c>
      <c r="C2" s="37" t="inlineStr">
        <is>
          <t>1404 Female Adapter Union to Male Pipe</t>
        </is>
      </c>
      <c r="D2" s="37" t="inlineStr">
        <is>
          <t>JIC 37 &amp; Beaded Hose</t>
        </is>
      </c>
      <c r="E2" s="37" t="inlineStr">
        <is>
          <t>Straight</t>
        </is>
      </c>
      <c r="F2" s="37" t="inlineStr">
        <is>
          <t>https://parts.air-way.com/hydraulic-fittings/jic-and-beaded-hose-fittings/straight/1404-female-adapter-union-to-male-pipe-series-55</t>
        </is>
      </c>
      <c r="G2" s="37" t="inlineStr">
        <is>
          <t>SAE J514 140130</t>
        </is>
      </c>
      <c r="H2" s="37" t="inlineStr">
        <is>
          <t>TABLED</t>
        </is>
      </c>
      <c r="I2" s="37" t="n"/>
      <c r="J2" s="37" t="n">
        <v>27</v>
      </c>
      <c r="K2" s="37" t="inlineStr">
        <is>
          <t>TABLED 2026-09-23: double-pass extraction 27 rows (sheet said 27); DesignTable_1404.xlsx; scope vs OMi feed: 24 BUILD / 3 DROP / 0 OMi-only (0 differ only by -FG); 1 source anomaly note(s) in 07_RAW_EXTRACTS/airway_anomalies_2026-09-23.txt</t>
        </is>
      </c>
    </row>
    <row r="3" ht="15" customHeight="1" s="35">
      <c r="A3" s="37" t="inlineStr">
        <is>
          <t>1404</t>
        </is>
      </c>
      <c r="B3" s="37" t="inlineStr">
        <is>
          <t>227</t>
        </is>
      </c>
      <c r="C3" s="37" t="inlineStr">
        <is>
          <t>SS1404 Female Adapter Union to Male Pipe series</t>
        </is>
      </c>
      <c r="D3" s="37" t="inlineStr">
        <is>
          <t>Stainless Steel Fittings</t>
        </is>
      </c>
      <c r="E3" s="37" t="inlineStr">
        <is>
          <t>Straight</t>
        </is>
      </c>
      <c r="F3" s="37" t="inlineStr">
        <is>
          <t>https://parts.air-way.com/hydraulic-fittings/stainless-steel-hydraulic-fittings/straight/ss1404-female-adapter-union-to-male-pipe-series-227</t>
        </is>
      </c>
      <c r="G3" s="37" t="inlineStr">
        <is>
          <t>SAE J514 140130</t>
        </is>
      </c>
      <c r="H3" s="37" t="inlineStr">
        <is>
          <t>NOT STARTED</t>
        </is>
      </c>
      <c r="I3" s="37" t="n"/>
      <c r="J3" s="37" t="n">
        <v>13</v>
      </c>
      <c r="K3" s="37" t="n"/>
    </row>
    <row r="4" ht="15" customHeight="1" s="35">
      <c r="A4" s="37" t="inlineStr">
        <is>
          <t>1405</t>
        </is>
      </c>
      <c r="B4" s="37" t="inlineStr">
        <is>
          <t>56</t>
        </is>
      </c>
      <c r="C4" s="37" t="inlineStr">
        <is>
          <t>1405 Female Adapter Union to Female Pipe</t>
        </is>
      </c>
      <c r="D4" s="37" t="inlineStr">
        <is>
          <t>JIC 37 &amp; Beaded Hose</t>
        </is>
      </c>
      <c r="E4" s="37" t="inlineStr">
        <is>
          <t>Straight</t>
        </is>
      </c>
      <c r="F4" s="37" t="inlineStr">
        <is>
          <t>https://parts.air-way.com/hydraulic-fittings/jic-and-beaded-hose-fittings/straight/1405-female-adapter-union-to-female-pipe-series-56</t>
        </is>
      </c>
      <c r="G4" s="37" t="inlineStr">
        <is>
          <t>SAE J514 140131</t>
        </is>
      </c>
      <c r="H4" s="37" t="inlineStr">
        <is>
          <t>TABLED</t>
        </is>
      </c>
      <c r="I4" s="37" t="n"/>
      <c r="J4" s="37" t="n">
        <v>17</v>
      </c>
      <c r="K4" s="37" t="inlineStr">
        <is>
          <t>TABLED 2026-09-23: double-pass extraction 17 rows (sheet said 17); DesignTable_1405.xlsx; scope vs OMi feed: 15 BUILD / 2 DROP / 3 OMi-only (0 differ only by -FG)</t>
        </is>
      </c>
    </row>
    <row r="5" ht="15" customHeight="1" s="35">
      <c r="A5" s="37" t="inlineStr">
        <is>
          <t>1405</t>
        </is>
      </c>
      <c r="B5" s="37" t="inlineStr">
        <is>
          <t>228</t>
        </is>
      </c>
      <c r="C5" s="37" t="inlineStr">
        <is>
          <t>SS1405 Female Adapter Union to Female Pipe series</t>
        </is>
      </c>
      <c r="D5" s="37" t="inlineStr">
        <is>
          <t>Stainless Steel Fittings</t>
        </is>
      </c>
      <c r="E5" s="37" t="inlineStr">
        <is>
          <t>Straight</t>
        </is>
      </c>
      <c r="F5" s="37" t="inlineStr">
        <is>
          <t>https://parts.air-way.com/hydraulic-fittings/stainless-steel-hydraulic-fittings/straight/ss1405-female-adapter-union-to-female-pipe-series-228</t>
        </is>
      </c>
      <c r="G5" s="37" t="inlineStr">
        <is>
          <t>SAE J514 140131</t>
        </is>
      </c>
      <c r="H5" s="37" t="inlineStr">
        <is>
          <t>NOT STARTED</t>
        </is>
      </c>
      <c r="I5" s="37" t="n"/>
      <c r="J5" s="37" t="n">
        <v>4</v>
      </c>
      <c r="K5" s="37" t="n"/>
    </row>
    <row r="6" ht="15" customHeight="1" s="35">
      <c r="A6" s="37" t="inlineStr">
        <is>
          <t>1501</t>
        </is>
      </c>
      <c r="B6" s="37" t="inlineStr">
        <is>
          <t>113</t>
        </is>
      </c>
      <c r="C6" s="37" t="inlineStr">
        <is>
          <t>1501 90° Female Adapter Union to Male Pipe</t>
        </is>
      </c>
      <c r="D6" s="37" t="inlineStr">
        <is>
          <t>JIC 37 &amp; Beaded Hose</t>
        </is>
      </c>
      <c r="E6" s="37" t="inlineStr">
        <is>
          <t>90°</t>
        </is>
      </c>
      <c r="F6" s="37" t="inlineStr">
        <is>
          <t>https://parts.air-way.com/hydraulic-fittings/jic-and-beaded-hose-fittings/90/1501-90-female-adapter-union-to-male-pipe-series-113</t>
        </is>
      </c>
      <c r="G6" s="37" t="inlineStr">
        <is>
          <t>SAE J514 140230</t>
        </is>
      </c>
      <c r="H6" s="37" t="inlineStr">
        <is>
          <t>TABLED</t>
        </is>
      </c>
      <c r="I6" s="37" t="n"/>
      <c r="J6" s="37" t="n">
        <v>48</v>
      </c>
      <c r="K6" s="37" t="inlineStr">
        <is>
          <t>TABLED 2026-09-23: double-pass extraction 48 rows (sheet said 48); DesignTable_1501.xlsx; scope vs OMi feed: 19 BUILD / 29 DROP / 2 OMi-only (2 differ only by -FG); 2 source anomaly note(s) in 07_RAW_EXTRACTS/airway_anomalies_2026-09-23.txt</t>
        </is>
      </c>
    </row>
    <row r="7" ht="15" customHeight="1" s="35">
      <c r="A7" s="37" t="inlineStr">
        <is>
          <t>1501</t>
        </is>
      </c>
      <c r="B7" s="37" t="inlineStr">
        <is>
          <t>267</t>
        </is>
      </c>
      <c r="C7" s="37" t="inlineStr">
        <is>
          <t>SS1501 90° Female Adapter Union to Male series</t>
        </is>
      </c>
      <c r="D7" s="37" t="inlineStr">
        <is>
          <t>Stainless Steel Fittings</t>
        </is>
      </c>
      <c r="E7" s="37" t="inlineStr">
        <is>
          <t>90°</t>
        </is>
      </c>
      <c r="F7" s="37" t="inlineStr">
        <is>
          <t>https://parts.air-way.com/hydraulic-fittings/stainless-steel-hydraulic-fittings/90/ss1501-90-female-adapter-union-to-male-series-267</t>
        </is>
      </c>
      <c r="G7" s="37" t="inlineStr">
        <is>
          <t>SAE J514 140230</t>
        </is>
      </c>
      <c r="H7" s="37" t="inlineStr">
        <is>
          <t>NOT STARTED</t>
        </is>
      </c>
      <c r="I7" s="37" t="n"/>
      <c r="J7" s="37" t="n">
        <v>5</v>
      </c>
      <c r="K7" s="37" t="n"/>
    </row>
    <row r="8" ht="15" customHeight="1" s="35">
      <c r="A8" s="37" t="inlineStr">
        <is>
          <t>1502</t>
        </is>
      </c>
      <c r="B8" s="37" t="inlineStr">
        <is>
          <t>114</t>
        </is>
      </c>
      <c r="C8" s="37" t="inlineStr">
        <is>
          <t>1502 90° Female Adapter Union to Female Pipe</t>
        </is>
      </c>
      <c r="D8" s="37" t="inlineStr">
        <is>
          <t>JIC 37 &amp; Beaded Hose</t>
        </is>
      </c>
      <c r="E8" s="37" t="inlineStr">
        <is>
          <t>90°</t>
        </is>
      </c>
      <c r="F8" s="37" t="inlineStr">
        <is>
          <t>https://parts.air-way.com/hydraulic-fittings/jic-and-beaded-hose-fittings/90/1502-90-female-adapter-union-to-female-pipe-series-114</t>
        </is>
      </c>
      <c r="G8" s="37" t="inlineStr">
        <is>
          <t>SAE J514 140231</t>
        </is>
      </c>
      <c r="H8" s="37" t="inlineStr">
        <is>
          <t>TABLED</t>
        </is>
      </c>
      <c r="I8" s="37" t="n"/>
      <c r="J8" s="37" t="n">
        <v>16</v>
      </c>
      <c r="K8" s="37" t="inlineStr">
        <is>
          <t>TABLED 2026-09-23: double-pass extraction 16 rows (sheet said 16); DesignTable_1502.xlsx; scope vs OMi feed: 2 BUILD / 14 DROP / 8 OMi-only (7 differ only by -FG); 1 source anomaly note(s) in 07_RAW_EXTRACTS/airway_anomalies_2026-09-23.txt</t>
        </is>
      </c>
    </row>
    <row r="9" ht="15" customHeight="1" s="35">
      <c r="A9" s="37" t="inlineStr">
        <is>
          <t>1503</t>
        </is>
      </c>
      <c r="B9" s="37" t="inlineStr">
        <is>
          <t>143</t>
        </is>
      </c>
      <c r="C9" s="37" t="inlineStr">
        <is>
          <t>1503 45° Female Adapter Union to Male Pipe</t>
        </is>
      </c>
      <c r="D9" s="37" t="inlineStr">
        <is>
          <t>JIC 37 &amp; Beaded Hose</t>
        </is>
      </c>
      <c r="E9" s="37" t="inlineStr">
        <is>
          <t>45°</t>
        </is>
      </c>
      <c r="F9" s="37" t="inlineStr">
        <is>
          <t>https://parts.air-way.com/hydraulic-fittings/jic-and-beaded-hose-fittings/45/1503-45-female-adapter-union-to-male-pipe-series-143</t>
        </is>
      </c>
      <c r="G9" s="37" t="inlineStr">
        <is>
          <t>SAE J514 140330</t>
        </is>
      </c>
      <c r="H9" s="37" t="inlineStr">
        <is>
          <t>TABLED</t>
        </is>
      </c>
      <c r="I9" s="37" t="n"/>
      <c r="J9" s="37" t="n">
        <v>35</v>
      </c>
      <c r="K9" s="37" t="inlineStr">
        <is>
          <t>TABLED 2026-09-23: double-pass extraction 35 rows (sheet said 35); DesignTable_1503.xlsx; scope vs OMi feed: 14 BUILD / 21 DROP / 5 OMi-only (5 differ only by -FG); 1 source anomaly note(s) in 07_RAW_EXTRACTS/airway_anomalies_2026-09-23.txt</t>
        </is>
      </c>
    </row>
    <row r="10" ht="15" customHeight="1" s="35">
      <c r="A10" s="37" t="inlineStr">
        <is>
          <t>1504</t>
        </is>
      </c>
      <c r="B10" s="37" t="inlineStr">
        <is>
          <t>144</t>
        </is>
      </c>
      <c r="C10" s="37" t="inlineStr">
        <is>
          <t>1504 45° Female Adapter Union to Female Pipe</t>
        </is>
      </c>
      <c r="D10" s="37" t="inlineStr">
        <is>
          <t>JIC 37 &amp; Beaded Hose</t>
        </is>
      </c>
      <c r="E10" s="37" t="inlineStr">
        <is>
          <t>45°</t>
        </is>
      </c>
      <c r="F10" s="37" t="inlineStr">
        <is>
          <t>https://parts.air-way.com/hydraulic-fittings/jic-and-beaded-hose-fittings/45/1504-45-female-adapter-union-to-female-pipe-series-144</t>
        </is>
      </c>
      <c r="G10" s="37" t="inlineStr">
        <is>
          <t>SAE J514 140331</t>
        </is>
      </c>
      <c r="H10" s="37" t="inlineStr">
        <is>
          <t>TABLED</t>
        </is>
      </c>
      <c r="I10" s="37" t="n"/>
      <c r="J10" s="37" t="n">
        <v>11</v>
      </c>
      <c r="K10" s="37" t="inlineStr">
        <is>
          <t>TABLED 2026-09-23: double-pass extraction 11 rows (sheet said 11); DesignTable_1504.xlsx; scope vs OMi feed: 1 BUILD / 10 DROP / 4 OMi-only (2 differ only by -FG); 1 source anomaly note(s) in 07_RAW_EXTRACTS/airway_anomalies_2026-09-23.txt</t>
        </is>
      </c>
    </row>
    <row r="11" ht="15" customHeight="1" s="35">
      <c r="A11" s="37" t="inlineStr">
        <is>
          <t>1601</t>
        </is>
      </c>
      <c r="B11" s="37" t="inlineStr">
        <is>
          <t>58</t>
        </is>
      </c>
      <c r="C11" s="37" t="inlineStr">
        <is>
          <t>1601 Female Adapter Union to Male Pipe Branch</t>
        </is>
      </c>
      <c r="D11" s="37" t="inlineStr">
        <is>
          <t>JIC 37 &amp; Beaded Hose</t>
        </is>
      </c>
      <c r="E11" s="37" t="inlineStr">
        <is>
          <t>Tee</t>
        </is>
      </c>
      <c r="F11" s="37" t="inlineStr">
        <is>
          <t>https://parts.air-way.com/hydraulic-fittings/jic-and-beaded-hose-fittings/tee/1601-female-adapter-union-to-male-pipe-branch-series-58</t>
        </is>
      </c>
      <c r="G11" s="37" t="inlineStr">
        <is>
          <t>none shown</t>
        </is>
      </c>
      <c r="H11" s="37" t="inlineStr">
        <is>
          <t>TABLED</t>
        </is>
      </c>
      <c r="I11" s="37" t="n"/>
      <c r="J11" s="37" t="n">
        <v>9</v>
      </c>
      <c r="K11" s="37" t="inlineStr">
        <is>
          <t>TABLED 2026-09-23: double-pass extraction 9 rows (sheet said 9); DesignTable_1601.xlsx; scope vs OMi feed: 0 BUILD / 9 DROP / 7 OMi-only (6 differ only by -FG)</t>
        </is>
      </c>
    </row>
    <row r="12" ht="15" customHeight="1" s="35">
      <c r="A12" s="37" t="inlineStr">
        <is>
          <t>1602</t>
        </is>
      </c>
      <c r="B12" s="37" t="inlineStr">
        <is>
          <t>59</t>
        </is>
      </c>
      <c r="C12" s="37" t="inlineStr">
        <is>
          <t>1602 Female Adapter Union to Female Pipe Branch</t>
        </is>
      </c>
      <c r="D12" s="37" t="inlineStr">
        <is>
          <t>JIC 37 &amp; Beaded Hose</t>
        </is>
      </c>
      <c r="E12" s="37" t="inlineStr">
        <is>
          <t>Tee</t>
        </is>
      </c>
      <c r="F12" s="37" t="inlineStr">
        <is>
          <t>https://parts.air-way.com/hydraulic-fittings/jic-and-beaded-hose-fittings/tee/1602-female-adapter-union-to-female-pipe-branch-series-59</t>
        </is>
      </c>
      <c r="G12" s="37" t="inlineStr">
        <is>
          <t>none shown</t>
        </is>
      </c>
      <c r="H12" s="37" t="inlineStr">
        <is>
          <t>TABLED</t>
        </is>
      </c>
      <c r="I12" s="37" t="n"/>
      <c r="J12" s="37" t="n">
        <v>4</v>
      </c>
      <c r="K12" s="37" t="inlineStr">
        <is>
          <t>TABLED 2026-09-23: double-pass extraction 4 rows (sheet said 4); DesignTable_1602.xlsx; scope vs OMi feed: 0 BUILD / 4 DROP / 7 OMi-only (3 differ only by -FG)</t>
        </is>
      </c>
    </row>
    <row r="13" ht="15" customHeight="1" s="35">
      <c r="A13" s="37" t="inlineStr">
        <is>
          <t>1603</t>
        </is>
      </c>
      <c r="B13" s="37" t="inlineStr">
        <is>
          <t>60</t>
        </is>
      </c>
      <c r="C13" s="37" t="inlineStr">
        <is>
          <t>1603 Female Adapter Union (Triple Swivel)</t>
        </is>
      </c>
      <c r="D13" s="37" t="inlineStr">
        <is>
          <t>JIC 37 &amp; Beaded Hose</t>
        </is>
      </c>
      <c r="E13" s="37" t="inlineStr">
        <is>
          <t>Tee</t>
        </is>
      </c>
      <c r="F13" s="37" t="inlineStr">
        <is>
          <t>https://parts.air-way.com/hydraulic-fittings/jic-and-beaded-hose-fittings/tee/1603-female-adapter-union-triple-swivel-series-60</t>
        </is>
      </c>
      <c r="G13" s="37" t="inlineStr">
        <is>
          <t>none shown</t>
        </is>
      </c>
      <c r="H13" s="37" t="inlineStr">
        <is>
          <t>TABLED</t>
        </is>
      </c>
      <c r="I13" s="37" t="n"/>
      <c r="J13" s="37" t="n">
        <v>7</v>
      </c>
      <c r="K13" s="37" t="inlineStr">
        <is>
          <t>TABLED 2026-09-23: double-pass extraction 7 rows (sheet said 7); DesignTable_1603.xlsx; scope vs OMi feed: 0 BUILD / 7 DROP / 6 OMi-only (6 differ only by -FG)</t>
        </is>
      </c>
    </row>
    <row r="14" ht="15" customHeight="1" s="35">
      <c r="A14" s="37" t="inlineStr">
        <is>
          <t>1700</t>
        </is>
      </c>
      <c r="B14" s="37" t="inlineStr">
        <is>
          <t>61</t>
        </is>
      </c>
      <c r="C14" s="37" t="inlineStr">
        <is>
          <t>1700-61 Code 61 Flange Adapter</t>
        </is>
      </c>
      <c r="D14" s="37" t="inlineStr">
        <is>
          <t>JIC 37 &amp; Beaded Hose</t>
        </is>
      </c>
      <c r="E14" s="37" t="inlineStr">
        <is>
          <t>Straight</t>
        </is>
      </c>
      <c r="F14" s="37" t="inlineStr">
        <is>
          <t>https://parts.air-way.com/hydraulic-fittings/jic-and-beaded-hose-fittings/straight/1700-61-code-61-flange-adapter-series-61</t>
        </is>
      </c>
      <c r="G14" s="37" t="inlineStr">
        <is>
          <t>none shown</t>
        </is>
      </c>
      <c r="H14" s="37" t="inlineStr">
        <is>
          <t>TABLED</t>
        </is>
      </c>
      <c r="I14" s="37" t="n"/>
      <c r="J14" s="37" t="n">
        <v>13</v>
      </c>
      <c r="K14" s="37" t="inlineStr">
        <is>
          <t>TABLED 2026-09-23: double-pass extraction 13 rows (sheet said 13); DesignTable_1700.xlsx; scope vs OMi feed: 10 BUILD / 3 DROP / 3 OMi-only (0 differ only by -FG)</t>
        </is>
      </c>
    </row>
    <row r="15" ht="15" customHeight="1" s="35">
      <c r="A15" s="37" t="inlineStr">
        <is>
          <t>1701</t>
        </is>
      </c>
      <c r="B15" s="37" t="inlineStr">
        <is>
          <t>115</t>
        </is>
      </c>
      <c r="C15" s="37" t="inlineStr">
        <is>
          <t>1701-61 90° Code 61 Bent Tube Flange Adapter Elbow</t>
        </is>
      </c>
      <c r="D15" s="37" t="inlineStr">
        <is>
          <t>JIC 37 &amp; Beaded Hose</t>
        </is>
      </c>
      <c r="E15" s="37" t="inlineStr">
        <is>
          <t>90°</t>
        </is>
      </c>
      <c r="F15" s="37" t="inlineStr">
        <is>
          <t>https://parts.air-way.com/hydraulic-fittings/jic-and-beaded-hose-fittings/90/1701-61-90-code-61-bent-tube-flange-adapter-elbow-series-115</t>
        </is>
      </c>
      <c r="G15" s="37" t="inlineStr">
        <is>
          <t>none shown</t>
        </is>
      </c>
      <c r="H15" s="37" t="inlineStr">
        <is>
          <t>NOT STARTED</t>
        </is>
      </c>
      <c r="I15" s="37" t="n"/>
      <c r="J15" s="37" t="n">
        <v>4</v>
      </c>
      <c r="K15" s="37" t="n"/>
    </row>
    <row r="16" ht="15" customHeight="1" s="35">
      <c r="A16" s="37" t="inlineStr">
        <is>
          <t>1703</t>
        </is>
      </c>
      <c r="B16" s="37" t="inlineStr">
        <is>
          <t>146</t>
        </is>
      </c>
      <c r="C16" s="37" t="inlineStr">
        <is>
          <t>1703-61 45° Code 61 Flange Adapter Elbow</t>
        </is>
      </c>
      <c r="D16" s="37" t="inlineStr">
        <is>
          <t>JIC 37 &amp; Beaded Hose</t>
        </is>
      </c>
      <c r="E16" s="37" t="inlineStr">
        <is>
          <t>45°</t>
        </is>
      </c>
      <c r="F16" s="37" t="inlineStr">
        <is>
          <t>https://parts.air-way.com/hydraulic-fittings/jic-and-beaded-hose-fittings/45/1703-61-45-code-61-flange-adapter-elbow-series-146</t>
        </is>
      </c>
      <c r="G16" s="37" t="inlineStr">
        <is>
          <t>none shown</t>
        </is>
      </c>
      <c r="H16" s="37" t="inlineStr">
        <is>
          <t>TABLED</t>
        </is>
      </c>
      <c r="I16" s="37" t="n"/>
      <c r="J16" s="37" t="n">
        <v>1</v>
      </c>
      <c r="K16" s="37" t="inlineStr">
        <is>
          <t>TABLED 2026-09-23: double-pass extraction 1 rows (sheet said 1); DesignTable_1703.xlsx; scope vs OMi feed: 0 BUILD / 1 DROP / 19 OMi-only (1 differ only by -FG); 1 source anomaly note(s) in 07_RAW_EXTRACTS/airway_anomalies_2026-09-23.txt</t>
        </is>
      </c>
    </row>
    <row r="17" ht="15" customHeight="1" s="35">
      <c r="A17" s="37" t="inlineStr">
        <is>
          <t>1704</t>
        </is>
      </c>
      <c r="B17" s="37" t="inlineStr">
        <is>
          <t>339</t>
        </is>
      </c>
      <c r="C17" s="37" t="inlineStr">
        <is>
          <t>F1704-61 90° Code 61 Flange Adapter Elbow</t>
        </is>
      </c>
      <c r="D17" s="37" t="inlineStr">
        <is>
          <t>FLARE-O</t>
        </is>
      </c>
      <c r="E17" s="37" t="inlineStr">
        <is>
          <t>90°</t>
        </is>
      </c>
      <c r="F17" s="37" t="inlineStr">
        <is>
          <t>https://parts.air-way.com/hydraulic-fittings/flare-o-hydraulic-fittings/90/f1704-61-90-code-61-flange-adapter-elbow-series-339</t>
        </is>
      </c>
      <c r="G17" s="37" t="inlineStr">
        <is>
          <t>none shown</t>
        </is>
      </c>
      <c r="H17" s="37" t="inlineStr">
        <is>
          <t>NOT STARTED</t>
        </is>
      </c>
      <c r="I17" s="37" t="n"/>
      <c r="J17" s="37" t="n">
        <v>1</v>
      </c>
      <c r="K17" s="37" t="n"/>
    </row>
    <row r="18" ht="15" customHeight="1" s="35">
      <c r="A18" s="37" t="inlineStr">
        <is>
          <t>1704</t>
        </is>
      </c>
      <c r="B18" s="37" t="inlineStr">
        <is>
          <t>116</t>
        </is>
      </c>
      <c r="C18" s="37" t="inlineStr">
        <is>
          <t>1704-61 90° Code 61 Flange Adapter Elbow</t>
        </is>
      </c>
      <c r="D18" s="37" t="inlineStr">
        <is>
          <t>JIC 37 &amp; Beaded Hose</t>
        </is>
      </c>
      <c r="E18" s="37" t="inlineStr">
        <is>
          <t>90°</t>
        </is>
      </c>
      <c r="F18" s="37" t="inlineStr">
        <is>
          <t>https://parts.air-way.com/hydraulic-fittings/jic-and-beaded-hose-fittings/90/1704-61-90-code-61-flange-adapter-elbow-series-116</t>
        </is>
      </c>
      <c r="G18" s="37" t="inlineStr">
        <is>
          <t>none shown</t>
        </is>
      </c>
      <c r="H18" s="37" t="inlineStr">
        <is>
          <t>TABLED</t>
        </is>
      </c>
      <c r="I18" s="37" t="n"/>
      <c r="J18" s="37" t="n">
        <v>2</v>
      </c>
      <c r="K18" s="37" t="inlineStr">
        <is>
          <t>TABLED 2026-09-23: double-pass extraction 2 rows (sheet said 2); DesignTable_1704.xlsx; scope vs OMi feed: 0 BUILD / 2 DROP / 25 OMi-only (2 differ only by -FG)</t>
        </is>
      </c>
    </row>
    <row r="19" ht="15" customHeight="1" s="35">
      <c r="A19" s="37" t="inlineStr">
        <is>
          <t>2101</t>
        </is>
      </c>
      <c r="B19" s="37" t="inlineStr">
        <is>
          <t>491</t>
        </is>
      </c>
      <c r="C19" s="37" t="inlineStr">
        <is>
          <t>2101 (1215) series</t>
        </is>
      </c>
      <c r="D19" s="37" t="inlineStr">
        <is>
          <t>Test Point Adapters</t>
        </is>
      </c>
      <c r="E19" s="37" t="inlineStr">
        <is>
          <t>(none — leaf category)</t>
        </is>
      </c>
      <c r="F19" s="37" t="inlineStr">
        <is>
          <t>https://parts.air-way.com/hydraulic-fittings/test-point-adapters/2101-1215-series-491</t>
        </is>
      </c>
      <c r="G19" s="37" t="inlineStr">
        <is>
          <t>none formally cited (description says "9/16-18 unf type E")</t>
        </is>
      </c>
      <c r="H19" s="37" t="inlineStr">
        <is>
          <t>NOT STARTED</t>
        </is>
      </c>
      <c r="I19" s="37" t="n"/>
      <c r="J19" s="37" t="n">
        <v>6</v>
      </c>
      <c r="K19" s="37" t="n"/>
    </row>
    <row r="20" ht="15" customHeight="1" s="35">
      <c r="A20" s="37" t="inlineStr">
        <is>
          <t>2103</t>
        </is>
      </c>
      <c r="B20" s="37" t="inlineStr">
        <is>
          <t>490</t>
        </is>
      </c>
      <c r="C20" s="37" t="inlineStr">
        <is>
          <t>2103 (1620) series</t>
        </is>
      </c>
      <c r="D20" s="37" t="inlineStr">
        <is>
          <t>Test Point Adapters</t>
        </is>
      </c>
      <c r="E20" s="37" t="inlineStr">
        <is>
          <t>(none — leaf category)</t>
        </is>
      </c>
      <c r="F20" s="37" t="inlineStr">
        <is>
          <t>https://parts.air-way.com/hydraulic-fittings/test-point-adapters/2103-1620-series-490</t>
        </is>
      </c>
      <c r="G20" s="37" t="inlineStr">
        <is>
          <t>ISO 228 G1/4 (in series description)</t>
        </is>
      </c>
      <c r="H20" s="37" t="inlineStr">
        <is>
          <t>NOT STARTED</t>
        </is>
      </c>
      <c r="I20" s="37" t="n"/>
      <c r="J20" s="37" t="n">
        <v>7</v>
      </c>
      <c r="K20" s="37" t="n"/>
    </row>
    <row r="21" ht="15" customHeight="1" s="35">
      <c r="A21" s="37" t="inlineStr">
        <is>
          <t>2403</t>
        </is>
      </c>
      <c r="B21" s="37" t="inlineStr">
        <is>
          <t>322</t>
        </is>
      </c>
      <c r="C21" s="37" t="inlineStr">
        <is>
          <t>F2403 Male Union</t>
        </is>
      </c>
      <c r="D21" s="37" t="inlineStr">
        <is>
          <t>FLARE-O</t>
        </is>
      </c>
      <c r="E21" s="37" t="inlineStr">
        <is>
          <t>Straight</t>
        </is>
      </c>
      <c r="F21" s="37" t="inlineStr">
        <is>
          <t>https://parts.air-way.com/hydraulic-fittings/flare-o-hydraulic-fittings/straight/f2403-male-union-series-322</t>
        </is>
      </c>
      <c r="G21" s="37" t="inlineStr">
        <is>
          <t>SAE J514 070101</t>
        </is>
      </c>
      <c r="H21" s="37" t="inlineStr">
        <is>
          <t>NOT STARTED</t>
        </is>
      </c>
      <c r="I21" s="37" t="n"/>
      <c r="J21" s="37" t="n">
        <v>18</v>
      </c>
      <c r="K21" s="37" t="n"/>
    </row>
    <row r="22" ht="15" customHeight="1" s="35">
      <c r="A22" s="37" t="inlineStr">
        <is>
          <t>2403</t>
        </is>
      </c>
      <c r="B22" s="37" t="inlineStr">
        <is>
          <t>459</t>
        </is>
      </c>
      <c r="C22" s="37" t="inlineStr">
        <is>
          <t>MBS2403 Threaded Straight Fitting, BSPP 60° Cone Union</t>
        </is>
      </c>
      <c r="D22" s="37" t="inlineStr">
        <is>
          <t>International &amp; Metric</t>
        </is>
      </c>
      <c r="E22" s="37" t="inlineStr">
        <is>
          <t>BSPP ISO 8434-6</t>
        </is>
      </c>
      <c r="F22" s="37" t="inlineStr">
        <is>
          <t>https://parts.air-way.com/hydraulic-fittings/international-metric/bspp-iso-8434-6/mbs2403-threaded-straight-fitting-bspp-60-cone-union-series-459</t>
        </is>
      </c>
      <c r="G22" s="37" t="inlineStr">
        <is>
          <t>ISO 8434-6</t>
        </is>
      </c>
      <c r="H22" s="37" t="inlineStr">
        <is>
          <t>NOT STARTED</t>
        </is>
      </c>
      <c r="I22" s="37" t="n"/>
      <c r="J22" s="37" t="n">
        <v>6</v>
      </c>
      <c r="K22" s="37" t="n"/>
    </row>
    <row r="23" ht="15" customHeight="1" s="35">
      <c r="A23" s="37" t="inlineStr">
        <is>
          <t>2403</t>
        </is>
      </c>
      <c r="B23" s="37" t="inlineStr">
        <is>
          <t>62</t>
        </is>
      </c>
      <c r="C23" s="37" t="inlineStr">
        <is>
          <t>2403 Male Union</t>
        </is>
      </c>
      <c r="D23" s="37" t="inlineStr">
        <is>
          <t>JIC 37 &amp; Beaded Hose</t>
        </is>
      </c>
      <c r="E23" s="37" t="inlineStr">
        <is>
          <t>Straight</t>
        </is>
      </c>
      <c r="F23" s="37" t="inlineStr">
        <is>
          <t>https://parts.air-way.com/hydraulic-fittings/jic-and-beaded-hose-fittings/straight/2403-male-tube-union-series-62</t>
        </is>
      </c>
      <c r="G23" s="37" t="inlineStr">
        <is>
          <t>SAE J514 070101 / MS51501</t>
        </is>
      </c>
      <c r="H23" s="37" t="inlineStr">
        <is>
          <t>NOT STARTED</t>
        </is>
      </c>
      <c r="I23" s="37" t="n"/>
      <c r="J23" s="37" t="n">
        <v>33</v>
      </c>
      <c r="K23" s="37" t="n"/>
    </row>
    <row r="24" ht="15" customHeight="1" s="35">
      <c r="A24" s="37" t="inlineStr">
        <is>
          <t>2403</t>
        </is>
      </c>
      <c r="B24" s="37" t="inlineStr">
        <is>
          <t>9</t>
        </is>
      </c>
      <c r="C24" s="37" t="inlineStr">
        <is>
          <t>FF2403 Male Union</t>
        </is>
      </c>
      <c r="D24" s="37" t="inlineStr">
        <is>
          <t>ORFS</t>
        </is>
      </c>
      <c r="E24" s="37" t="inlineStr">
        <is>
          <t>Straight</t>
        </is>
      </c>
      <c r="F24" s="37" t="inlineStr">
        <is>
          <t>https://parts.air-way.com/hydraulic-fittings/o-ring-face-seal-orfs-hydraulic-fittings/straight/ff2403-male-union-series-9</t>
        </is>
      </c>
      <c r="G24" s="37" t="inlineStr">
        <is>
          <t>SAE J1453 520101</t>
        </is>
      </c>
      <c r="H24" s="37" t="inlineStr">
        <is>
          <t>NOT STARTED</t>
        </is>
      </c>
      <c r="I24" s="37" t="n"/>
      <c r="J24" s="37" t="n">
        <v>15</v>
      </c>
      <c r="K24" s="37" t="n"/>
    </row>
    <row r="25" ht="15" customHeight="1" s="35">
      <c r="A25" s="37" t="inlineStr">
        <is>
          <t>2403</t>
        </is>
      </c>
      <c r="B25" s="37" t="inlineStr">
        <is>
          <t>230</t>
        </is>
      </c>
      <c r="C25" s="37" t="inlineStr">
        <is>
          <t>SS2403 Male Tube Union series</t>
        </is>
      </c>
      <c r="D25" s="37" t="inlineStr">
        <is>
          <t>Stainless Steel Fittings</t>
        </is>
      </c>
      <c r="E25" s="37" t="inlineStr">
        <is>
          <t>Straight</t>
        </is>
      </c>
      <c r="F25" s="37" t="inlineStr">
        <is>
          <t>https://parts.air-way.com/hydraulic-fittings/stainless-steel-hydraulic-fittings/straight/ss2403-male-tube-union-series-230</t>
        </is>
      </c>
      <c r="G25" s="37" t="inlineStr">
        <is>
          <t>SAE J514 070101 / MS51501</t>
        </is>
      </c>
      <c r="H25" s="37" t="inlineStr">
        <is>
          <t>NOT STARTED</t>
        </is>
      </c>
      <c r="I25" s="37" t="n"/>
      <c r="J25" s="37" t="n">
        <v>18</v>
      </c>
      <c r="K25" s="37" t="n"/>
    </row>
    <row r="26" ht="15" customHeight="1" s="35">
      <c r="A26" s="37" t="inlineStr">
        <is>
          <t>2403-LH</t>
        </is>
      </c>
      <c r="B26" s="37" t="inlineStr">
        <is>
          <t>63</t>
        </is>
      </c>
      <c r="C26" s="37" t="inlineStr">
        <is>
          <t>2403-LH Large Hex Union</t>
        </is>
      </c>
      <c r="D26" s="37" t="inlineStr">
        <is>
          <t>JIC 37 &amp; Beaded Hose</t>
        </is>
      </c>
      <c r="E26" s="37" t="inlineStr">
        <is>
          <t>Straight</t>
        </is>
      </c>
      <c r="F26" s="37" t="inlineStr">
        <is>
          <t>https://parts.air-way.com/hydraulic-fittings/jic-and-beaded-hose-fittings/straight/2403-lh-large-hex-union-series-63</t>
        </is>
      </c>
      <c r="G26" s="37" t="inlineStr">
        <is>
          <t>SAE J514 070119 / MS51519</t>
        </is>
      </c>
      <c r="H26" s="37" t="inlineStr">
        <is>
          <t>NOT STARTED</t>
        </is>
      </c>
      <c r="I26" s="37" t="n"/>
      <c r="J26" s="37" t="n">
        <v>16</v>
      </c>
      <c r="K26" s="37" t="n"/>
    </row>
    <row r="27" ht="15" customHeight="1" s="35">
      <c r="A27" s="37" t="inlineStr">
        <is>
          <t>2403-LH</t>
        </is>
      </c>
      <c r="B27" s="37" t="inlineStr">
        <is>
          <t>231</t>
        </is>
      </c>
      <c r="C27" s="37" t="inlineStr">
        <is>
          <t>SS2403-LH Large Hex Union series</t>
        </is>
      </c>
      <c r="D27" s="37" t="inlineStr">
        <is>
          <t>Stainless Steel Fittings</t>
        </is>
      </c>
      <c r="E27" s="37" t="inlineStr">
        <is>
          <t>Straight</t>
        </is>
      </c>
      <c r="F27" s="37" t="inlineStr">
        <is>
          <t>https://parts.air-way.com/hydraulic-fittings/stainless-steel-hydraulic-fittings/straight/ss2403-lh-large-hex-union-series-231</t>
        </is>
      </c>
      <c r="G27" s="37" t="inlineStr">
        <is>
          <t>SAE J514 070119 / MS51519</t>
        </is>
      </c>
      <c r="H27" s="37" t="inlineStr">
        <is>
          <t>NOT STARTED</t>
        </is>
      </c>
      <c r="I27" s="37" t="n"/>
      <c r="J27" s="37" t="n">
        <v>16</v>
      </c>
      <c r="K27" s="37" t="n"/>
    </row>
    <row r="28" ht="15" customHeight="1" s="35">
      <c r="A28" s="37" t="inlineStr">
        <is>
          <t>2404</t>
        </is>
      </c>
      <c r="B28" s="37" t="inlineStr">
        <is>
          <t>439</t>
        </is>
      </c>
      <c r="C28" s="37" t="inlineStr">
        <is>
          <t>Brass - 2404 - SBC Male Connector series</t>
        </is>
      </c>
      <c r="D28" s="37" t="inlineStr">
        <is>
          <t>Brass Fittings</t>
        </is>
      </c>
      <c r="E28" s="37" t="inlineStr">
        <is>
          <t>Straight</t>
        </is>
      </c>
      <c r="F28" s="37" t="inlineStr">
        <is>
          <t>https://parts.air-way.com/hydraulic-fittings/brass-hydraulic-fittings/straight/brass-2404-sbc-male-connector-series-439</t>
        </is>
      </c>
      <c r="G28" s="37" t="inlineStr">
        <is>
          <t>none</t>
        </is>
      </c>
      <c r="H28" s="45" t="inlineStr">
        <is>
          <t>PILOT</t>
        </is>
      </c>
      <c r="I28" s="37" t="n"/>
      <c r="J28" s="37" t="n">
        <v>18</v>
      </c>
      <c r="K28" s="37" t="n"/>
    </row>
    <row r="29" ht="15" customHeight="1" s="35">
      <c r="A29" s="37" t="inlineStr">
        <is>
          <t>2404</t>
        </is>
      </c>
      <c r="B29" s="37" t="inlineStr">
        <is>
          <t>324</t>
        </is>
      </c>
      <c r="C29" s="37" t="inlineStr">
        <is>
          <t>F2404 Male Connector</t>
        </is>
      </c>
      <c r="D29" s="37" t="inlineStr">
        <is>
          <t>FLARE-O</t>
        </is>
      </c>
      <c r="E29" s="37" t="inlineStr">
        <is>
          <t>Straight</t>
        </is>
      </c>
      <c r="F29" s="37" t="inlineStr">
        <is>
          <t>https://parts.air-way.com/hydraulic-fittings/flare-o-hydraulic-fittings/straight/f2404-male-connector-series-324</t>
        </is>
      </c>
      <c r="G29" s="37" t="inlineStr">
        <is>
          <t>SAE J514 070102</t>
        </is>
      </c>
      <c r="H29" s="45" t="inlineStr">
        <is>
          <t>PILOT</t>
        </is>
      </c>
      <c r="I29" s="37" t="n"/>
      <c r="J29" s="37" t="n">
        <v>31</v>
      </c>
      <c r="K29" s="37" t="n"/>
    </row>
    <row r="30" ht="15" customHeight="1" s="35">
      <c r="A30" s="37" t="inlineStr">
        <is>
          <t>2404</t>
        </is>
      </c>
      <c r="B30" s="37" t="inlineStr">
        <is>
          <t>460</t>
        </is>
      </c>
      <c r="C30" s="37" t="inlineStr">
        <is>
          <t>MBS2404 Threaded Straight Fitting, BSPP 60° Cone to BSPT</t>
        </is>
      </c>
      <c r="D30" s="37" t="inlineStr">
        <is>
          <t>International &amp; Metric</t>
        </is>
      </c>
      <c r="E30" s="37" t="inlineStr">
        <is>
          <t>BSPP ISO 8434-6</t>
        </is>
      </c>
      <c r="F30" s="37" t="inlineStr">
        <is>
          <t>https://parts.air-way.com/hydraulic-fittings/international-metric/bspp-iso-8434-6/mbs2404-threaded-straight-fitting-bspp-60-cone-to-bspt-series-460</t>
        </is>
      </c>
      <c r="G30" s="37" t="inlineStr">
        <is>
          <t>ISO 8434-6</t>
        </is>
      </c>
      <c r="H30" s="45" t="inlineStr">
        <is>
          <t>PILOT</t>
        </is>
      </c>
      <c r="I30" s="37" t="n"/>
      <c r="J30" s="37" t="n">
        <v>3</v>
      </c>
      <c r="K30" s="37" t="n"/>
    </row>
    <row r="31" ht="15" customHeight="1" s="35">
      <c r="A31" s="37" t="inlineStr">
        <is>
          <t>2404</t>
        </is>
      </c>
      <c r="B31" s="37" t="inlineStr">
        <is>
          <t>461</t>
        </is>
      </c>
      <c r="C31" s="37" t="inlineStr">
        <is>
          <t>MBS2404-NPTF Threaded Straight Fitting, BSPP 60° Cone to NPTF</t>
        </is>
      </c>
      <c r="D31" s="37" t="inlineStr">
        <is>
          <t>International &amp; Metric</t>
        </is>
      </c>
      <c r="E31" s="37" t="inlineStr">
        <is>
          <t>BSPP ISO 8434-6</t>
        </is>
      </c>
      <c r="F31" s="37" t="inlineStr">
        <is>
          <t>https://parts.air-way.com/hydraulic-fittings/international-metric/bspp-iso-8434-6/mbs2404-nptf-threaded-straight-fitting-bspp-60-cone-to-nptf-series-461</t>
        </is>
      </c>
      <c r="G31" s="37" t="inlineStr">
        <is>
          <t>ISO 8434-6 to SAE J514</t>
        </is>
      </c>
      <c r="H31" s="45" t="inlineStr">
        <is>
          <t>PILOT</t>
        </is>
      </c>
      <c r="I31" s="37" t="n"/>
      <c r="J31" s="37" t="n">
        <v>7</v>
      </c>
      <c r="K31" s="37" t="n"/>
    </row>
    <row r="32" ht="15" customHeight="1" s="35">
      <c r="A32" s="37" t="inlineStr">
        <is>
          <t>2404</t>
        </is>
      </c>
      <c r="B32" s="37" t="inlineStr">
        <is>
          <t>471</t>
        </is>
      </c>
      <c r="C32" s="37" t="inlineStr">
        <is>
          <t>MBT2404 Threaded Straight Fitting, JIC to BSPT</t>
        </is>
      </c>
      <c r="D32" s="37" t="inlineStr">
        <is>
          <t>International &amp; Metric</t>
        </is>
      </c>
      <c r="E32" s="37" t="inlineStr">
        <is>
          <t>BSPT</t>
        </is>
      </c>
      <c r="F32" s="37" t="inlineStr">
        <is>
          <t>https://parts.air-way.com/hydraulic-fittings/international-metric/bspt/mbt2404-threaded-straight-fitting-jic-to-bspt-series-471</t>
        </is>
      </c>
      <c r="G32" s="37" t="inlineStr">
        <is>
          <t>SAE J514</t>
        </is>
      </c>
      <c r="H32" s="45" t="inlineStr">
        <is>
          <t>PILOT</t>
        </is>
      </c>
      <c r="I32" s="37" t="n"/>
      <c r="J32" s="37" t="n">
        <v>12</v>
      </c>
      <c r="K32" s="37" t="n"/>
    </row>
    <row r="33" ht="15" customHeight="1" s="35">
      <c r="A33" s="37" t="inlineStr">
        <is>
          <t>2404</t>
        </is>
      </c>
      <c r="B33" s="37" t="inlineStr">
        <is>
          <t>64</t>
        </is>
      </c>
      <c r="C33" s="37" t="inlineStr">
        <is>
          <t>2404 Male Connector</t>
        </is>
      </c>
      <c r="D33" s="37" t="inlineStr">
        <is>
          <t>JIC 37 &amp; Beaded Hose</t>
        </is>
      </c>
      <c r="E33" s="37" t="inlineStr">
        <is>
          <t>Straight</t>
        </is>
      </c>
      <c r="F33" s="37" t="inlineStr">
        <is>
          <t>https://parts.air-way.com/hydraulic-fittings/jic-and-beaded-hose-fittings/straight/2404-male-connector-series-64</t>
        </is>
      </c>
      <c r="G33" s="37" t="inlineStr">
        <is>
          <t>SAE J514 070102 / MS51500</t>
        </is>
      </c>
      <c r="H33" s="45" t="inlineStr">
        <is>
          <t>PILOT</t>
        </is>
      </c>
      <c r="I33" s="37" t="n"/>
      <c r="J33" s="37" t="n">
        <v>51</v>
      </c>
      <c r="K33" s="37" t="n"/>
    </row>
    <row r="34" ht="15" customHeight="1" s="35">
      <c r="A34" s="37" t="inlineStr">
        <is>
          <t>2404</t>
        </is>
      </c>
      <c r="B34" s="37" t="inlineStr">
        <is>
          <t>10</t>
        </is>
      </c>
      <c r="C34" s="37" t="inlineStr">
        <is>
          <t>FF2404 Male Connector</t>
        </is>
      </c>
      <c r="D34" s="37" t="inlineStr">
        <is>
          <t>ORFS</t>
        </is>
      </c>
      <c r="E34" s="37" t="inlineStr">
        <is>
          <t>Straight</t>
        </is>
      </c>
      <c r="F34" s="37" t="inlineStr">
        <is>
          <t>https://parts.air-way.com/hydraulic-fittings/o-ring-face-seal-orfs-hydraulic-fittings/straight/ff2404-male-connector-series-10</t>
        </is>
      </c>
      <c r="G34" s="37" t="inlineStr">
        <is>
          <t>—</t>
        </is>
      </c>
      <c r="H34" s="45" t="inlineStr">
        <is>
          <t>PILOT</t>
        </is>
      </c>
      <c r="I34" s="37" t="n"/>
      <c r="J34" s="37" t="n">
        <v>24</v>
      </c>
      <c r="K34" s="37" t="n"/>
    </row>
    <row r="35" ht="15" customHeight="1" s="35">
      <c r="A35" s="37" t="inlineStr">
        <is>
          <t>2404</t>
        </is>
      </c>
      <c r="B35" s="37" t="inlineStr">
        <is>
          <t>232</t>
        </is>
      </c>
      <c r="C35" s="37" t="inlineStr">
        <is>
          <t>SS2404 Male Connector series</t>
        </is>
      </c>
      <c r="D35" s="37" t="inlineStr">
        <is>
          <t>Stainless Steel Fittings</t>
        </is>
      </c>
      <c r="E35" s="37" t="inlineStr">
        <is>
          <t>Straight</t>
        </is>
      </c>
      <c r="F35" s="37" t="inlineStr">
        <is>
          <t>https://parts.air-way.com/hydraulic-fittings/stainless-steel-hydraulic-fittings/straight/ss2404-male-connector-series-232</t>
        </is>
      </c>
      <c r="G35" s="37" t="inlineStr">
        <is>
          <t>SAE J514 070102 / MS51500</t>
        </is>
      </c>
      <c r="H35" s="45" t="inlineStr">
        <is>
          <t>PILOT</t>
        </is>
      </c>
      <c r="I35" s="37" t="n"/>
      <c r="J35" s="37" t="n">
        <v>36</v>
      </c>
      <c r="K35" s="37" t="n"/>
    </row>
    <row r="36" ht="15" customHeight="1" s="35">
      <c r="A36" s="37" t="inlineStr">
        <is>
          <t>2404-L</t>
        </is>
      </c>
      <c r="B36" s="37" t="inlineStr">
        <is>
          <t>65</t>
        </is>
      </c>
      <c r="C36" s="37" t="inlineStr">
        <is>
          <t>2404-L Male Long Connector</t>
        </is>
      </c>
      <c r="D36" s="37" t="inlineStr">
        <is>
          <t>JIC 37 &amp; Beaded Hose</t>
        </is>
      </c>
      <c r="E36" s="37" t="inlineStr">
        <is>
          <t>Straight</t>
        </is>
      </c>
      <c r="F36" s="37" t="inlineStr">
        <is>
          <t>https://parts.air-way.com/hydraulic-fittings/jic-and-beaded-hose-fittings/straight/2404-l-male-long-connector-series-65</t>
        </is>
      </c>
      <c r="G36" s="37" t="inlineStr">
        <is>
          <t>none shown</t>
        </is>
      </c>
      <c r="H36" s="37" t="inlineStr">
        <is>
          <t>NOT STARTED</t>
        </is>
      </c>
      <c r="I36" s="37" t="n"/>
      <c r="J36" s="37" t="n">
        <v>8</v>
      </c>
      <c r="K36" s="37" t="n"/>
    </row>
    <row r="37" ht="15" customHeight="1" s="35">
      <c r="A37" s="37" t="inlineStr">
        <is>
          <t>2404-L</t>
        </is>
      </c>
      <c r="B37" s="37" t="inlineStr">
        <is>
          <t>233</t>
        </is>
      </c>
      <c r="C37" s="37" t="inlineStr">
        <is>
          <t>SS2404-L Male Long Connector series</t>
        </is>
      </c>
      <c r="D37" s="37" t="inlineStr">
        <is>
          <t>Stainless Steel Fittings</t>
        </is>
      </c>
      <c r="E37" s="37" t="inlineStr">
        <is>
          <t>Straight</t>
        </is>
      </c>
      <c r="F37" s="37" t="inlineStr">
        <is>
          <t>https://parts.air-way.com/hydraulic-fittings/stainless-steel-hydraulic-fittings/straight/ss2404-l-male-long-connector-series-233</t>
        </is>
      </c>
      <c r="G37" s="37" t="inlineStr">
        <is>
          <t>SAE J514 (no numeric code shown)</t>
        </is>
      </c>
      <c r="H37" s="37" t="inlineStr">
        <is>
          <t>NOT STARTED</t>
        </is>
      </c>
      <c r="I37" s="37" t="n"/>
      <c r="J37" s="37" t="n">
        <v>2</v>
      </c>
      <c r="K37" s="37" t="n"/>
    </row>
    <row r="38" ht="15" customHeight="1" s="35">
      <c r="A38" s="37" t="inlineStr">
        <is>
          <t>2404-LL</t>
        </is>
      </c>
      <c r="B38" s="37" t="inlineStr">
        <is>
          <t>66</t>
        </is>
      </c>
      <c r="C38" s="37" t="inlineStr">
        <is>
          <t>2404-LL Male Extra Long Connector</t>
        </is>
      </c>
      <c r="D38" s="37" t="inlineStr">
        <is>
          <t>JIC 37 &amp; Beaded Hose</t>
        </is>
      </c>
      <c r="E38" s="37" t="inlineStr">
        <is>
          <t>Straight</t>
        </is>
      </c>
      <c r="F38" s="37" t="inlineStr">
        <is>
          <t>https://parts.air-way.com/hydraulic-fittings/jic-and-beaded-hose-fittings/straight/2404-ll-male-extra-long-connector-series-66</t>
        </is>
      </c>
      <c r="G38" s="37" t="inlineStr">
        <is>
          <t>none shown</t>
        </is>
      </c>
      <c r="H38" s="37" t="inlineStr">
        <is>
          <t>NOT STARTED</t>
        </is>
      </c>
      <c r="I38" s="37" t="n"/>
      <c r="J38" s="37" t="n">
        <v>7</v>
      </c>
      <c r="K38" s="37" t="n"/>
    </row>
    <row r="39" ht="15" customHeight="1" s="35">
      <c r="A39" s="37" t="inlineStr">
        <is>
          <t>2405</t>
        </is>
      </c>
      <c r="B39" s="37" t="inlineStr">
        <is>
          <t>437</t>
        </is>
      </c>
      <c r="C39" s="37" t="inlineStr">
        <is>
          <t>Brass - 2405 - FMB Female Connector series</t>
        </is>
      </c>
      <c r="D39" s="37" t="inlineStr">
        <is>
          <t>Brass Fittings</t>
        </is>
      </c>
      <c r="E39" s="37" t="inlineStr">
        <is>
          <t>Straight</t>
        </is>
      </c>
      <c r="F39" s="37" t="inlineStr">
        <is>
          <t>https://parts.air-way.com/hydraulic-fittings/brass-hydraulic-fittings/straight/brass-2405-fmb-female-connector-series-437</t>
        </is>
      </c>
      <c r="G39" s="37" t="inlineStr">
        <is>
          <t>none</t>
        </is>
      </c>
      <c r="H39" s="37" t="inlineStr">
        <is>
          <t>NOT STARTED</t>
        </is>
      </c>
      <c r="I39" s="37" t="n"/>
      <c r="J39" s="37" t="n">
        <v>5</v>
      </c>
      <c r="K39" s="37" t="n"/>
    </row>
    <row r="40" ht="15" customHeight="1" s="35">
      <c r="A40" s="37" t="inlineStr">
        <is>
          <t>2405</t>
        </is>
      </c>
      <c r="B40" s="37" t="inlineStr">
        <is>
          <t>328</t>
        </is>
      </c>
      <c r="C40" s="37" t="inlineStr">
        <is>
          <t>F2405 Female Connector</t>
        </is>
      </c>
      <c r="D40" s="37" t="inlineStr">
        <is>
          <t>FLARE-O</t>
        </is>
      </c>
      <c r="E40" s="37" t="inlineStr">
        <is>
          <t>Straight</t>
        </is>
      </c>
      <c r="F40" s="37" t="inlineStr">
        <is>
          <t>https://parts.air-way.com/hydraulic-fittings/flare-o-hydraulic-fittings/straight/f2405-female-connector-series-328</t>
        </is>
      </c>
      <c r="G40" s="37" t="inlineStr">
        <is>
          <t>SAE J514 070103</t>
        </is>
      </c>
      <c r="H40" s="37" t="inlineStr">
        <is>
          <t>NOT STARTED</t>
        </is>
      </c>
      <c r="I40" s="37" t="n"/>
      <c r="J40" s="37" t="n">
        <v>13</v>
      </c>
      <c r="K40" s="37" t="n"/>
    </row>
    <row r="41" ht="15" customHeight="1" s="35">
      <c r="A41" s="37" t="inlineStr">
        <is>
          <t>2405</t>
        </is>
      </c>
      <c r="B41" s="37" t="inlineStr">
        <is>
          <t>68</t>
        </is>
      </c>
      <c r="C41" s="37" t="inlineStr">
        <is>
          <t>2405 Female Connector</t>
        </is>
      </c>
      <c r="D41" s="37" t="inlineStr">
        <is>
          <t>JIC 37 &amp; Beaded Hose</t>
        </is>
      </c>
      <c r="E41" s="37" t="inlineStr">
        <is>
          <t>Straight</t>
        </is>
      </c>
      <c r="F41" s="37" t="inlineStr">
        <is>
          <t>https://parts.air-way.com/hydraulic-fittings/jic-and-beaded-hose-fittings/straight/2405-female-connector-series-68</t>
        </is>
      </c>
      <c r="G41" s="37" t="inlineStr">
        <is>
          <t>SAE J514 070103 / MS51503</t>
        </is>
      </c>
      <c r="H41" s="37" t="inlineStr">
        <is>
          <t>NOT STARTED</t>
        </is>
      </c>
      <c r="I41" s="37" t="n"/>
      <c r="J41" s="37" t="n">
        <v>32</v>
      </c>
      <c r="K41" s="37" t="n"/>
    </row>
    <row r="42" ht="15" customHeight="1" s="35">
      <c r="A42" s="37" t="inlineStr">
        <is>
          <t>2405</t>
        </is>
      </c>
      <c r="B42" s="37" t="inlineStr">
        <is>
          <t>234</t>
        </is>
      </c>
      <c r="C42" s="37" t="inlineStr">
        <is>
          <t>SS2405 Female Connector series</t>
        </is>
      </c>
      <c r="D42" s="37" t="inlineStr">
        <is>
          <t>Stainless Steel Fittings</t>
        </is>
      </c>
      <c r="E42" s="37" t="inlineStr">
        <is>
          <t>Straight</t>
        </is>
      </c>
      <c r="F42" s="37" t="inlineStr">
        <is>
          <t>https://parts.air-way.com/hydraulic-fittings/stainless-steel-hydraulic-fittings/straight/ss2405-female-connector-series-234</t>
        </is>
      </c>
      <c r="G42" s="37" t="inlineStr">
        <is>
          <t>SAE J514 070103 / MS51503</t>
        </is>
      </c>
      <c r="H42" s="37" t="inlineStr">
        <is>
          <t>NOT STARTED</t>
        </is>
      </c>
      <c r="I42" s="37" t="n"/>
      <c r="J42" s="37" t="n">
        <v>16</v>
      </c>
      <c r="K42" s="37" t="n"/>
    </row>
    <row r="43" ht="15" customHeight="1" s="35">
      <c r="A43" s="37" t="inlineStr">
        <is>
          <t>2406</t>
        </is>
      </c>
      <c r="B43" s="37" t="inlineStr">
        <is>
          <t>329</t>
        </is>
      </c>
      <c r="C43" s="37" t="inlineStr">
        <is>
          <t>F2406 Reducing Adapter (One Piece)</t>
        </is>
      </c>
      <c r="D43" s="37" t="inlineStr">
        <is>
          <t>FLARE-O</t>
        </is>
      </c>
      <c r="E43" s="37" t="inlineStr">
        <is>
          <t>Straight</t>
        </is>
      </c>
      <c r="F43" s="37" t="inlineStr">
        <is>
          <t>https://parts.air-way.com/hydraulic-fittings/flare-o-hydraulic-fittings/straight/f2406-reducing-adapter-one-piece-series-329</t>
        </is>
      </c>
      <c r="G43" s="37" t="inlineStr">
        <is>
          <t>none shown</t>
        </is>
      </c>
      <c r="H43" s="37" t="inlineStr">
        <is>
          <t>NOT STARTED</t>
        </is>
      </c>
      <c r="I43" s="37" t="n"/>
      <c r="J43" s="37" t="n">
        <v>24</v>
      </c>
      <c r="K43" s="37" t="n"/>
    </row>
    <row r="44" ht="15" customHeight="1" s="35">
      <c r="A44" s="37" t="inlineStr">
        <is>
          <t>2406</t>
        </is>
      </c>
      <c r="B44" s="37" t="inlineStr">
        <is>
          <t>69</t>
        </is>
      </c>
      <c r="C44" s="37" t="inlineStr">
        <is>
          <t>2406 Reducing Adapter (One Piece)</t>
        </is>
      </c>
      <c r="D44" s="37" t="inlineStr">
        <is>
          <t>JIC 37 &amp; Beaded Hose</t>
        </is>
      </c>
      <c r="E44" s="37" t="inlineStr">
        <is>
          <t>Straight</t>
        </is>
      </c>
      <c r="F44" s="37" t="inlineStr">
        <is>
          <t>https://parts.air-way.com/hydraulic-fittings/jic-and-beaded-hose-fittings/straight/2406-reducing-adapter-one-piece-series-69</t>
        </is>
      </c>
      <c r="G44" s="37" t="inlineStr">
        <is>
          <t>MS39323</t>
        </is>
      </c>
      <c r="H44" s="37" t="inlineStr">
        <is>
          <t>NOT STARTED</t>
        </is>
      </c>
      <c r="I44" s="37" t="n"/>
      <c r="J44" s="37" t="n">
        <v>49</v>
      </c>
      <c r="K44" s="37" t="n"/>
    </row>
    <row r="45" ht="15" customHeight="1" s="35">
      <c r="A45" s="37" t="inlineStr">
        <is>
          <t>2406</t>
        </is>
      </c>
      <c r="B45" s="37" t="inlineStr">
        <is>
          <t>235</t>
        </is>
      </c>
      <c r="C45" s="37" t="inlineStr">
        <is>
          <t>SS2406 Reducing Adapter (One Piece) series</t>
        </is>
      </c>
      <c r="D45" s="37" t="inlineStr">
        <is>
          <t>Stainless Steel Fittings</t>
        </is>
      </c>
      <c r="E45" s="37" t="inlineStr">
        <is>
          <t>Straight</t>
        </is>
      </c>
      <c r="F45" s="37" t="inlineStr">
        <is>
          <t>https://parts.air-way.com/hydraulic-fittings/stainless-steel-hydraulic-fittings/straight/ss2406-reducing-adapter-one-piece-series-235</t>
        </is>
      </c>
      <c r="G45" s="37" t="inlineStr">
        <is>
          <t>MS39323</t>
        </is>
      </c>
      <c r="H45" s="37" t="inlineStr">
        <is>
          <t>NOT STARTED</t>
        </is>
      </c>
      <c r="I45" s="37" t="n"/>
      <c r="J45" s="37" t="n">
        <v>27</v>
      </c>
      <c r="K45" s="37" t="n"/>
    </row>
    <row r="46" ht="15" customHeight="1" s="35">
      <c r="A46" s="37" t="inlineStr">
        <is>
          <t>2407</t>
        </is>
      </c>
      <c r="B46" s="37" t="inlineStr">
        <is>
          <t>330</t>
        </is>
      </c>
      <c r="C46" s="37" t="inlineStr">
        <is>
          <t>F2407 Reducing Adapter</t>
        </is>
      </c>
      <c r="D46" s="37" t="inlineStr">
        <is>
          <t>FLARE-O</t>
        </is>
      </c>
      <c r="E46" s="37" t="inlineStr">
        <is>
          <t>Straight</t>
        </is>
      </c>
      <c r="F46" s="37" t="inlineStr">
        <is>
          <t>https://parts.air-way.com/hydraulic-fittings/flare-o-hydraulic-fittings/straight/f2407-reducing-adapter-series-330</t>
        </is>
      </c>
      <c r="G46" s="37" t="inlineStr">
        <is>
          <t>SAE J514 070123</t>
        </is>
      </c>
      <c r="H46" s="37" t="inlineStr">
        <is>
          <t>NOT STARTED</t>
        </is>
      </c>
      <c r="I46" s="37" t="n"/>
      <c r="J46" s="37" t="n">
        <v>1</v>
      </c>
      <c r="K46" s="37" t="n"/>
    </row>
    <row r="47" ht="15" customHeight="1" s="35">
      <c r="A47" s="37" t="inlineStr">
        <is>
          <t>2407</t>
        </is>
      </c>
      <c r="B47" s="37" t="inlineStr">
        <is>
          <t>70</t>
        </is>
      </c>
      <c r="C47" s="37" t="inlineStr">
        <is>
          <t>2407 Reducing Adapter</t>
        </is>
      </c>
      <c r="D47" s="37" t="inlineStr">
        <is>
          <t>JIC 37 &amp; Beaded Hose</t>
        </is>
      </c>
      <c r="E47" s="37" t="inlineStr">
        <is>
          <t>Straight</t>
        </is>
      </c>
      <c r="F47" s="37" t="inlineStr">
        <is>
          <t>https://parts.air-way.com/hydraulic-fittings/jic-and-beaded-hose-fittings/straight/2407-reducing-adapter-series-70</t>
        </is>
      </c>
      <c r="G47" s="37" t="inlineStr">
        <is>
          <t>SAE J514 070123 / MS51534 / MS39323</t>
        </is>
      </c>
      <c r="H47" s="37" t="inlineStr">
        <is>
          <t>NOT STARTED</t>
        </is>
      </c>
      <c r="I47" s="37" t="n"/>
      <c r="J47" s="37" t="n">
        <v>26</v>
      </c>
      <c r="K47" s="37" t="n"/>
    </row>
    <row r="48" ht="15" customHeight="1" s="35">
      <c r="A48" s="37" t="inlineStr">
        <is>
          <t>2407</t>
        </is>
      </c>
      <c r="B48" s="37" t="inlineStr">
        <is>
          <t>11</t>
        </is>
      </c>
      <c r="C48" s="37" t="inlineStr">
        <is>
          <t>FF2407 Reducing Adapter</t>
        </is>
      </c>
      <c r="D48" s="37" t="inlineStr">
        <is>
          <t>ORFS</t>
        </is>
      </c>
      <c r="E48" s="37" t="inlineStr">
        <is>
          <t>Straight</t>
        </is>
      </c>
      <c r="F48" s="37" t="inlineStr">
        <is>
          <t>https://parts.air-way.com/hydraulic-fittings/o-ring-face-seal-orfs-hydraulic-fittings/straight/ff2407-reducing-adapter-series-11</t>
        </is>
      </c>
      <c r="G48" s="37" t="inlineStr">
        <is>
          <t>SAE J1453 520123</t>
        </is>
      </c>
      <c r="H48" s="37" t="inlineStr">
        <is>
          <t>NOT STARTED</t>
        </is>
      </c>
      <c r="I48" s="37" t="n"/>
      <c r="J48" s="37" t="n">
        <v>25</v>
      </c>
      <c r="K48" s="37" t="n"/>
    </row>
    <row r="49" ht="15" customHeight="1" s="35">
      <c r="A49" s="37" t="inlineStr">
        <is>
          <t>2407</t>
        </is>
      </c>
      <c r="B49" s="37" t="inlineStr">
        <is>
          <t>236</t>
        </is>
      </c>
      <c r="C49" s="37" t="inlineStr">
        <is>
          <t>SS2407 Reducing Adapter series</t>
        </is>
      </c>
      <c r="D49" s="37" t="inlineStr">
        <is>
          <t>Stainless Steel Fittings</t>
        </is>
      </c>
      <c r="E49" s="37" t="inlineStr">
        <is>
          <t>Straight</t>
        </is>
      </c>
      <c r="F49" s="37" t="inlineStr">
        <is>
          <t>https://parts.air-way.com/hydraulic-fittings/stainless-steel-hydraulic-fittings/straight/ss2407-reducing-adapter-series-236</t>
        </is>
      </c>
      <c r="G49" s="37" t="inlineStr">
        <is>
          <t>SAE J514 070123 / MS51534 / MS39323</t>
        </is>
      </c>
      <c r="H49" s="37" t="inlineStr">
        <is>
          <t>NOT STARTED</t>
        </is>
      </c>
      <c r="I49" s="37" t="n"/>
      <c r="J49" s="37" t="n">
        <v>12</v>
      </c>
      <c r="K49" s="37" t="n"/>
    </row>
    <row r="50" ht="15" customHeight="1" s="35">
      <c r="A50" s="37" t="inlineStr">
        <is>
          <t>2408</t>
        </is>
      </c>
      <c r="B50" s="37" t="inlineStr">
        <is>
          <t>331</t>
        </is>
      </c>
      <c r="C50" s="37" t="inlineStr">
        <is>
          <t>F2408 Male JIC Plug</t>
        </is>
      </c>
      <c r="D50" s="37" t="inlineStr">
        <is>
          <t>FLARE-O</t>
        </is>
      </c>
      <c r="E50" s="37" t="inlineStr">
        <is>
          <t>Straight</t>
        </is>
      </c>
      <c r="F50" s="37" t="inlineStr">
        <is>
          <t>https://parts.air-way.com/hydraulic-fittings/flare-o-hydraulic-fittings/straight/f2408-male-jic-plug-series-331</t>
        </is>
      </c>
      <c r="G50" s="37" t="inlineStr">
        <is>
          <t>SAE J514 070109</t>
        </is>
      </c>
      <c r="H50" s="37" t="inlineStr">
        <is>
          <t>NOT STARTED</t>
        </is>
      </c>
      <c r="I50" s="37" t="n"/>
      <c r="J50" s="37" t="n">
        <v>12</v>
      </c>
      <c r="K50" s="37" t="n"/>
    </row>
    <row r="51" ht="15" customHeight="1" s="35">
      <c r="A51" s="37" t="inlineStr">
        <is>
          <t>2408</t>
        </is>
      </c>
      <c r="B51" s="37" t="inlineStr">
        <is>
          <t>462</t>
        </is>
      </c>
      <c r="C51" s="37" t="inlineStr">
        <is>
          <t>MBS2408 Threaded Straight Fitting, BSPP 60° Cone Plug</t>
        </is>
      </c>
      <c r="D51" s="37" t="inlineStr">
        <is>
          <t>International &amp; Metric</t>
        </is>
      </c>
      <c r="E51" s="37" t="inlineStr">
        <is>
          <t>BSPP ISO 8434-6</t>
        </is>
      </c>
      <c r="F51" s="37" t="inlineStr">
        <is>
          <t>https://parts.air-way.com/hydraulic-fittings/international-metric/bspp-iso-8434-6/mbs2408-threaded-straight-fitting-bspp-60-cone-plug-series-462</t>
        </is>
      </c>
      <c r="G51" s="37" t="inlineStr">
        <is>
          <t>ISO 8434-6</t>
        </is>
      </c>
      <c r="H51" s="37" t="inlineStr">
        <is>
          <t>NOT STARTED</t>
        </is>
      </c>
      <c r="I51" s="37" t="n"/>
      <c r="J51" s="37" t="n">
        <v>4</v>
      </c>
      <c r="K51" s="37" t="n"/>
    </row>
    <row r="52" ht="15" customHeight="1" s="35">
      <c r="A52" s="37" t="inlineStr">
        <is>
          <t>2408</t>
        </is>
      </c>
      <c r="B52" s="37" t="inlineStr">
        <is>
          <t>71</t>
        </is>
      </c>
      <c r="C52" s="37" t="inlineStr">
        <is>
          <t>2408 Male Plug</t>
        </is>
      </c>
      <c r="D52" s="37" t="inlineStr">
        <is>
          <t>JIC 37 &amp; Beaded Hose</t>
        </is>
      </c>
      <c r="E52" s="37" t="inlineStr">
        <is>
          <t>Straight</t>
        </is>
      </c>
      <c r="F52" s="37" t="inlineStr">
        <is>
          <t>https://parts.air-way.com/hydraulic-fittings/jic-and-beaded-hose-fittings/straight/2408-male-plug-series-71</t>
        </is>
      </c>
      <c r="G52" s="37" t="inlineStr">
        <is>
          <t>SAE J514 070109 / MS51518</t>
        </is>
      </c>
      <c r="H52" s="37" t="inlineStr">
        <is>
          <t>NOT STARTED</t>
        </is>
      </c>
      <c r="I52" s="37" t="n"/>
      <c r="J52" s="37" t="n">
        <v>16</v>
      </c>
      <c r="K52" s="37" t="n"/>
    </row>
    <row r="53" ht="15" customHeight="1" s="35">
      <c r="A53" s="37" t="inlineStr">
        <is>
          <t>2408</t>
        </is>
      </c>
      <c r="B53" s="37" t="inlineStr">
        <is>
          <t>12</t>
        </is>
      </c>
      <c r="C53" s="37" t="inlineStr">
        <is>
          <t>FF2408 Male Plug</t>
        </is>
      </c>
      <c r="D53" s="37" t="inlineStr">
        <is>
          <t>ORFS</t>
        </is>
      </c>
      <c r="E53" s="37" t="inlineStr">
        <is>
          <t>Straight</t>
        </is>
      </c>
      <c r="F53" s="37" t="inlineStr">
        <is>
          <t>https://parts.air-way.com/hydraulic-fittings/o-ring-face-seal-orfs-hydraulic-fittings/straight/ff2408-male-plug-series-12</t>
        </is>
      </c>
      <c r="G53" s="37" t="inlineStr">
        <is>
          <t>SAE J1453 520109</t>
        </is>
      </c>
      <c r="H53" s="37" t="inlineStr">
        <is>
          <t>NOT STARTED</t>
        </is>
      </c>
      <c r="I53" s="37" t="n"/>
      <c r="J53" s="37" t="n">
        <v>8</v>
      </c>
      <c r="K53" s="37" t="n"/>
    </row>
    <row r="54" ht="15" customHeight="1" s="35">
      <c r="A54" s="37" t="inlineStr">
        <is>
          <t>2408</t>
        </is>
      </c>
      <c r="B54" s="37" t="inlineStr">
        <is>
          <t>237</t>
        </is>
      </c>
      <c r="C54" s="37" t="inlineStr">
        <is>
          <t>SS2408 Male Tube Plug series</t>
        </is>
      </c>
      <c r="D54" s="37" t="inlineStr">
        <is>
          <t>Stainless Steel Fittings</t>
        </is>
      </c>
      <c r="E54" s="37" t="inlineStr">
        <is>
          <t>Straight</t>
        </is>
      </c>
      <c r="F54" s="37" t="inlineStr">
        <is>
          <t>https://parts.air-way.com/hydraulic-fittings/stainless-steel-hydraulic-fittings/straight/ss2408-male-tube-plug-series-237</t>
        </is>
      </c>
      <c r="G54" s="37" t="inlineStr">
        <is>
          <t>SAE J514 070109 / MS51518</t>
        </is>
      </c>
      <c r="H54" s="37" t="inlineStr">
        <is>
          <t>NOT STARTED</t>
        </is>
      </c>
      <c r="I54" s="37" t="n"/>
      <c r="J54" s="37" t="n">
        <v>12</v>
      </c>
      <c r="K54" s="37" t="n"/>
    </row>
    <row r="55" ht="15" customHeight="1" s="35">
      <c r="A55" s="37" t="inlineStr">
        <is>
          <t>2500</t>
        </is>
      </c>
      <c r="B55" s="37" t="inlineStr">
        <is>
          <t>340</t>
        </is>
      </c>
      <c r="C55" s="37" t="inlineStr">
        <is>
          <t>F2500 90° Union Elbow</t>
        </is>
      </c>
      <c r="D55" s="37" t="inlineStr">
        <is>
          <t>FLARE-O</t>
        </is>
      </c>
      <c r="E55" s="37" t="inlineStr">
        <is>
          <t>90°</t>
        </is>
      </c>
      <c r="F55" s="37" t="inlineStr">
        <is>
          <t>https://parts.air-way.com/hydraulic-fittings/flare-o-hydraulic-fittings/90/f2500-90-union-elbow-series-340</t>
        </is>
      </c>
      <c r="G55" s="37" t="inlineStr">
        <is>
          <t>SAE J514 070201</t>
        </is>
      </c>
      <c r="H55" s="37" t="inlineStr">
        <is>
          <t>NOT STARTED</t>
        </is>
      </c>
      <c r="I55" s="37" t="n"/>
      <c r="J55" s="37" t="n">
        <v>9</v>
      </c>
      <c r="K55" s="37" t="n"/>
    </row>
    <row r="56" ht="15" customHeight="1" s="35">
      <c r="A56" s="37" t="inlineStr">
        <is>
          <t>2500</t>
        </is>
      </c>
      <c r="B56" s="37" t="inlineStr">
        <is>
          <t>117</t>
        </is>
      </c>
      <c r="C56" s="37" t="inlineStr">
        <is>
          <t>2500 90° Union Elbow</t>
        </is>
      </c>
      <c r="D56" s="37" t="inlineStr">
        <is>
          <t>JIC 37 &amp; Beaded Hose</t>
        </is>
      </c>
      <c r="E56" s="37" t="inlineStr">
        <is>
          <t>90°</t>
        </is>
      </c>
      <c r="F56" s="37" t="inlineStr">
        <is>
          <t>https://parts.air-way.com/hydraulic-fittings/jic-and-beaded-hose-fittings/90/2500-90-union-elbow-series-117</t>
        </is>
      </c>
      <c r="G56" s="37" t="inlineStr">
        <is>
          <t>SAE J514 070201 / MS51505</t>
        </is>
      </c>
      <c r="H56" s="37" t="inlineStr">
        <is>
          <t>NOT STARTED</t>
        </is>
      </c>
      <c r="I56" s="37" t="n"/>
      <c r="J56" s="37" t="n">
        <v>28</v>
      </c>
      <c r="K56" s="37" t="n"/>
    </row>
    <row r="57" ht="15" customHeight="1" s="35">
      <c r="A57" s="37" t="inlineStr">
        <is>
          <t>2500</t>
        </is>
      </c>
      <c r="B57" s="37" t="inlineStr">
        <is>
          <t>20</t>
        </is>
      </c>
      <c r="C57" s="37" t="inlineStr">
        <is>
          <t>FF2500 90° Union Elbow</t>
        </is>
      </c>
      <c r="D57" s="37" t="inlineStr">
        <is>
          <t>ORFS</t>
        </is>
      </c>
      <c r="E57" s="37" t="inlineStr">
        <is>
          <t>90°</t>
        </is>
      </c>
      <c r="F57" s="37" t="inlineStr">
        <is>
          <t>https://parts.air-way.com/hydraulic-fittings/o-ring-face-seal-orfs-hydraulic-fittings/90/ff2500-90-union-elbow-series-20</t>
        </is>
      </c>
      <c r="G57" s="37" t="inlineStr">
        <is>
          <t>SAE J1453 520201</t>
        </is>
      </c>
      <c r="H57" s="37" t="inlineStr">
        <is>
          <t>NOT STARTED</t>
        </is>
      </c>
      <c r="I57" s="37" t="n"/>
      <c r="J57" s="37" t="n">
        <v>7</v>
      </c>
      <c r="K57" s="37" t="n"/>
    </row>
    <row r="58" ht="15" customHeight="1" s="35">
      <c r="A58" s="37" t="inlineStr">
        <is>
          <t>2500</t>
        </is>
      </c>
      <c r="B58" s="37" t="inlineStr">
        <is>
          <t>269</t>
        </is>
      </c>
      <c r="C58" s="37" t="inlineStr">
        <is>
          <t>SS2500 90° Union Elbow series</t>
        </is>
      </c>
      <c r="D58" s="37" t="inlineStr">
        <is>
          <t>Stainless Steel Fittings</t>
        </is>
      </c>
      <c r="E58" s="37" t="inlineStr">
        <is>
          <t>90°</t>
        </is>
      </c>
      <c r="F58" s="37" t="inlineStr">
        <is>
          <t>https://parts.air-way.com/hydraulic-fittings/stainless-steel-hydraulic-fittings/90/ss2500-90-union-elbow-series-269</t>
        </is>
      </c>
      <c r="G58" s="37" t="inlineStr">
        <is>
          <t>SAE J514 070201 / MS51505</t>
        </is>
      </c>
      <c r="H58" s="37" t="inlineStr">
        <is>
          <t>NOT STARTED</t>
        </is>
      </c>
      <c r="I58" s="37" t="n"/>
      <c r="J58" s="37" t="n">
        <v>10</v>
      </c>
      <c r="K58" s="37" t="n"/>
    </row>
    <row r="59" ht="15" customHeight="1" s="35">
      <c r="A59" s="37" t="inlineStr">
        <is>
          <t>2501</t>
        </is>
      </c>
      <c r="B59" s="37" t="inlineStr">
        <is>
          <t>426</t>
        </is>
      </c>
      <c r="C59" s="37" t="inlineStr">
        <is>
          <t>Brass - 2501 - EBC 90 Degree Male Elbow series</t>
        </is>
      </c>
      <c r="D59" s="37" t="inlineStr">
        <is>
          <t>Brass Fittings</t>
        </is>
      </c>
      <c r="E59" s="37" t="inlineStr">
        <is>
          <t>90°</t>
        </is>
      </c>
      <c r="F59" s="37" t="inlineStr">
        <is>
          <t>https://parts.air-way.com/hydraulic-fittings/brass-hydraulic-fittings/90/brass-2501-ebc-90-degree-male-elbow-series-426</t>
        </is>
      </c>
      <c r="G59" s="37" t="inlineStr">
        <is>
          <t>none</t>
        </is>
      </c>
      <c r="H59" s="37" t="inlineStr">
        <is>
          <t>NOT STARTED</t>
        </is>
      </c>
      <c r="I59" s="37" t="n"/>
      <c r="J59" s="37" t="n">
        <v>11</v>
      </c>
      <c r="K59" s="37" t="n"/>
    </row>
    <row r="60" ht="15" customHeight="1" s="35">
      <c r="A60" s="37" t="inlineStr">
        <is>
          <t>2501</t>
        </is>
      </c>
      <c r="B60" s="37" t="inlineStr">
        <is>
          <t>341</t>
        </is>
      </c>
      <c r="C60" s="37" t="inlineStr">
        <is>
          <t>F2501 90° Male Elbow</t>
        </is>
      </c>
      <c r="D60" s="37" t="inlineStr">
        <is>
          <t>FLARE-O</t>
        </is>
      </c>
      <c r="E60" s="37" t="inlineStr">
        <is>
          <t>90°</t>
        </is>
      </c>
      <c r="F60" s="37" t="inlineStr">
        <is>
          <t>https://parts.air-way.com/hydraulic-fittings/flare-o-hydraulic-fittings/90/f2501-90-male-elbow-series-341</t>
        </is>
      </c>
      <c r="G60" s="37" t="inlineStr">
        <is>
          <t>SAE J514 070202</t>
        </is>
      </c>
      <c r="H60" s="37" t="inlineStr">
        <is>
          <t>NOT STARTED</t>
        </is>
      </c>
      <c r="I60" s="37" t="n"/>
      <c r="J60" s="37" t="n">
        <v>24</v>
      </c>
      <c r="K60" s="37" t="n"/>
    </row>
    <row r="61" ht="15" customHeight="1" s="35">
      <c r="A61" s="37" t="inlineStr">
        <is>
          <t>2501</t>
        </is>
      </c>
      <c r="B61" s="37" t="inlineStr">
        <is>
          <t>473</t>
        </is>
      </c>
      <c r="C61" s="37" t="inlineStr">
        <is>
          <t>MBT2501, JIC to BSPT 90° Elbow</t>
        </is>
      </c>
      <c r="D61" s="37" t="inlineStr">
        <is>
          <t>International &amp; Metric</t>
        </is>
      </c>
      <c r="E61" s="37" t="inlineStr">
        <is>
          <t>BSPT</t>
        </is>
      </c>
      <c r="F61" s="37" t="inlineStr">
        <is>
          <t>https://parts.air-way.com/hydraulic-fittings/international-metric/bspt/mbt2501-jic-to-bspt-90-elbow-series-473</t>
        </is>
      </c>
      <c r="G61" s="37" t="inlineStr">
        <is>
          <t>SAE J514</t>
        </is>
      </c>
      <c r="H61" s="37" t="inlineStr">
        <is>
          <t>NOT STARTED</t>
        </is>
      </c>
      <c r="I61" s="37" t="n"/>
      <c r="J61" s="37" t="n">
        <v>13</v>
      </c>
      <c r="K61" s="37" t="n"/>
    </row>
    <row r="62" ht="15" customHeight="1" s="35">
      <c r="A62" s="37" t="inlineStr">
        <is>
          <t>2501</t>
        </is>
      </c>
      <c r="B62" s="37" t="inlineStr">
        <is>
          <t>118</t>
        </is>
      </c>
      <c r="C62" s="37" t="inlineStr">
        <is>
          <t>2501 90° Male Elbow</t>
        </is>
      </c>
      <c r="D62" s="37" t="inlineStr">
        <is>
          <t>JIC 37 &amp; Beaded Hose</t>
        </is>
      </c>
      <c r="E62" s="37" t="inlineStr">
        <is>
          <t>90°</t>
        </is>
      </c>
      <c r="F62" s="37" t="inlineStr">
        <is>
          <t>https://parts.air-way.com/hydraulic-fittings/jic-and-beaded-hose-fittings/90/2501-90-male-elbow-series-118</t>
        </is>
      </c>
      <c r="G62" s="37" t="inlineStr">
        <is>
          <t>SAE J514 070202 / MS51504</t>
        </is>
      </c>
      <c r="H62" s="37" t="inlineStr">
        <is>
          <t>NOT STARTED</t>
        </is>
      </c>
      <c r="I62" s="37" t="n"/>
      <c r="J62" s="37" t="n">
        <v>78</v>
      </c>
      <c r="K62" s="37" t="inlineStr">
        <is>
          <t>Count corrected 73 -&gt; 78 by full 3-pass table extraction.</t>
        </is>
      </c>
    </row>
    <row r="63" ht="15" customHeight="1" s="35">
      <c r="A63" s="37" t="inlineStr">
        <is>
          <t>2501</t>
        </is>
      </c>
      <c r="B63" s="37" t="inlineStr">
        <is>
          <t>21</t>
        </is>
      </c>
      <c r="C63" s="37" t="inlineStr">
        <is>
          <t>FF2501 90° Male Elbow</t>
        </is>
      </c>
      <c r="D63" s="37" t="inlineStr">
        <is>
          <t>ORFS</t>
        </is>
      </c>
      <c r="E63" s="37" t="inlineStr">
        <is>
          <t>90°</t>
        </is>
      </c>
      <c r="F63" s="37" t="inlineStr">
        <is>
          <t>https://parts.air-way.com/hydraulic-fittings/o-ring-face-seal-orfs-hydraulic-fittings/90/ff2501-90-male-elbow-series-21</t>
        </is>
      </c>
      <c r="G63" s="37" t="inlineStr">
        <is>
          <t>—</t>
        </is>
      </c>
      <c r="H63" s="37" t="inlineStr">
        <is>
          <t>NOT STARTED</t>
        </is>
      </c>
      <c r="I63" s="37" t="n"/>
      <c r="J63" s="37" t="n">
        <v>18</v>
      </c>
      <c r="K63" s="37" t="n"/>
    </row>
    <row r="64" ht="15" customHeight="1" s="35">
      <c r="A64" s="37" t="inlineStr">
        <is>
          <t>2501</t>
        </is>
      </c>
      <c r="B64" s="37" t="inlineStr">
        <is>
          <t>270</t>
        </is>
      </c>
      <c r="C64" s="37" t="inlineStr">
        <is>
          <t>SS2501 90° Male Elbow series</t>
        </is>
      </c>
      <c r="D64" s="37" t="inlineStr">
        <is>
          <t>Stainless Steel Fittings</t>
        </is>
      </c>
      <c r="E64" s="37" t="inlineStr">
        <is>
          <t>90°</t>
        </is>
      </c>
      <c r="F64" s="37" t="inlineStr">
        <is>
          <t>https://parts.air-way.com/hydraulic-fittings/stainless-steel-hydraulic-fittings/90/ss2501-90-male-elbow-series-270</t>
        </is>
      </c>
      <c r="G64" s="37" t="inlineStr">
        <is>
          <t>SAE J514 070202 / MS51504</t>
        </is>
      </c>
      <c r="H64" s="37" t="inlineStr">
        <is>
          <t>NOT STARTED</t>
        </is>
      </c>
      <c r="I64" s="37" t="n"/>
      <c r="J64" s="37" t="n">
        <v>26</v>
      </c>
      <c r="K64" s="37" t="n"/>
    </row>
    <row r="65" ht="15" customHeight="1" s="35">
      <c r="A65" s="37" t="inlineStr">
        <is>
          <t>2501-L</t>
        </is>
      </c>
      <c r="B65" s="37" t="inlineStr">
        <is>
          <t>119</t>
        </is>
      </c>
      <c r="C65" s="37" t="inlineStr">
        <is>
          <t>2501-L 90° Male Long Elbow</t>
        </is>
      </c>
      <c r="D65" s="37" t="inlineStr">
        <is>
          <t>JIC 37 &amp; Beaded Hose</t>
        </is>
      </c>
      <c r="E65" s="37" t="inlineStr">
        <is>
          <t>90°</t>
        </is>
      </c>
      <c r="F65" s="37" t="inlineStr">
        <is>
          <t>https://parts.air-way.com/hydraulic-fittings/jic-and-beaded-hose-fittings/90/2501-l-90-male-long-elbow-series-119</t>
        </is>
      </c>
      <c r="G65" s="37" t="inlineStr">
        <is>
          <t>SAE J514 071502</t>
        </is>
      </c>
      <c r="H65" s="37" t="inlineStr">
        <is>
          <t>NOT STARTED</t>
        </is>
      </c>
      <c r="I65" s="37" t="n"/>
      <c r="J65" s="37" t="n">
        <v>21</v>
      </c>
      <c r="K65" s="37" t="n"/>
    </row>
    <row r="66" ht="15" customHeight="1" s="35">
      <c r="A66" s="37" t="inlineStr">
        <is>
          <t>2501-L</t>
        </is>
      </c>
      <c r="B66" s="37" t="inlineStr">
        <is>
          <t>271</t>
        </is>
      </c>
      <c r="C66" s="37" t="inlineStr">
        <is>
          <t>SS2501-L 90° Male Long Elbow series</t>
        </is>
      </c>
      <c r="D66" s="37" t="inlineStr">
        <is>
          <t>Stainless Steel Fittings</t>
        </is>
      </c>
      <c r="E66" s="37" t="inlineStr">
        <is>
          <t>90°</t>
        </is>
      </c>
      <c r="F66" s="37" t="inlineStr">
        <is>
          <t>https://parts.air-way.com/hydraulic-fittings/stainless-steel-hydraulic-fittings/90/ss2501-l-90-male-long-elbow-series-271</t>
        </is>
      </c>
      <c r="G66" s="37" t="inlineStr">
        <is>
          <t>SAE J514 071502</t>
        </is>
      </c>
      <c r="H66" s="37" t="inlineStr">
        <is>
          <t>NOT STARTED</t>
        </is>
      </c>
      <c r="I66" s="37" t="n"/>
      <c r="J66" s="37" t="n">
        <v>2</v>
      </c>
      <c r="K66" s="37" t="n"/>
    </row>
    <row r="67" ht="15" customHeight="1" s="35">
      <c r="A67" s="37" t="inlineStr">
        <is>
          <t>2501-LL</t>
        </is>
      </c>
      <c r="B67" s="37" t="inlineStr">
        <is>
          <t>120</t>
        </is>
      </c>
      <c r="C67" s="37" t="inlineStr">
        <is>
          <t>2501-LL 90° Male Extra Long Elbow</t>
        </is>
      </c>
      <c r="D67" s="37" t="inlineStr">
        <is>
          <t>JIC 37 &amp; Beaded Hose</t>
        </is>
      </c>
      <c r="E67" s="37" t="inlineStr">
        <is>
          <t>90°</t>
        </is>
      </c>
      <c r="F67" s="37" t="inlineStr">
        <is>
          <t>https://parts.air-way.com/hydraulic-fittings/jic-and-beaded-hose-fittings/90/2501-ll-90-male-extra-long-elbow-series-120</t>
        </is>
      </c>
      <c r="G67" s="37" t="inlineStr">
        <is>
          <t>SAE J514 071602</t>
        </is>
      </c>
      <c r="H67" s="37" t="inlineStr">
        <is>
          <t>NOT STARTED</t>
        </is>
      </c>
      <c r="I67" s="37" t="n"/>
      <c r="J67" s="37" t="n">
        <v>16</v>
      </c>
      <c r="K67" s="37" t="n"/>
    </row>
    <row r="68" ht="15" customHeight="1" s="35">
      <c r="A68" s="37" t="inlineStr">
        <is>
          <t>2501-LLL</t>
        </is>
      </c>
      <c r="B68" s="37" t="inlineStr">
        <is>
          <t>121</t>
        </is>
      </c>
      <c r="C68" s="37" t="inlineStr">
        <is>
          <t>2501-LLL 90° Male Extra Extra Long Elbow</t>
        </is>
      </c>
      <c r="D68" s="37" t="inlineStr">
        <is>
          <t>JIC 37 &amp; Beaded Hose</t>
        </is>
      </c>
      <c r="E68" s="37" t="inlineStr">
        <is>
          <t>90°</t>
        </is>
      </c>
      <c r="F68" s="37" t="inlineStr">
        <is>
          <t>https://parts.air-way.com/hydraulic-fittings/jic-and-beaded-hose-fittings/90/2501-lll-90-male-extra-extra-long-elbow-series-121</t>
        </is>
      </c>
      <c r="G68" s="37" t="inlineStr">
        <is>
          <t>none shown</t>
        </is>
      </c>
      <c r="H68" s="37" t="inlineStr">
        <is>
          <t>NOT STARTED</t>
        </is>
      </c>
      <c r="I68" s="37" t="n"/>
      <c r="J68" s="37" t="n">
        <v>4</v>
      </c>
      <c r="K68" s="37" t="n"/>
    </row>
    <row r="69" ht="15" customHeight="1" s="35">
      <c r="A69" s="37" t="inlineStr">
        <is>
          <t>2502</t>
        </is>
      </c>
      <c r="B69" s="37" t="inlineStr">
        <is>
          <t>427</t>
        </is>
      </c>
      <c r="C69" s="37" t="inlineStr">
        <is>
          <t>Brass - 2502 - EBF 90 Degree Female Elbow series</t>
        </is>
      </c>
      <c r="D69" s="37" t="inlineStr">
        <is>
          <t>Brass Fittings</t>
        </is>
      </c>
      <c r="E69" s="37" t="inlineStr">
        <is>
          <t>90°</t>
        </is>
      </c>
      <c r="F69" s="37" t="inlineStr">
        <is>
          <t>https://parts.air-way.com/hydraulic-fittings/brass-hydraulic-fittings/90/brass-2502-ebf-90-degree-female-elbow-series-427</t>
        </is>
      </c>
      <c r="G69" s="37" t="inlineStr">
        <is>
          <t>none</t>
        </is>
      </c>
      <c r="H69" s="37" t="inlineStr">
        <is>
          <t>NOT STARTED</t>
        </is>
      </c>
      <c r="I69" s="37" t="n"/>
      <c r="J69" s="37" t="n">
        <v>1</v>
      </c>
      <c r="K69" s="37" t="n"/>
    </row>
    <row r="70" ht="15" customHeight="1" s="35">
      <c r="A70" s="37" t="inlineStr">
        <is>
          <t>2502</t>
        </is>
      </c>
      <c r="B70" s="37" t="inlineStr">
        <is>
          <t>345</t>
        </is>
      </c>
      <c r="C70" s="37" t="inlineStr">
        <is>
          <t>F2502 90° Female Elbow</t>
        </is>
      </c>
      <c r="D70" s="37" t="inlineStr">
        <is>
          <t>FLARE-O</t>
        </is>
      </c>
      <c r="E70" s="37" t="inlineStr">
        <is>
          <t>90°</t>
        </is>
      </c>
      <c r="F70" s="37" t="inlineStr">
        <is>
          <t>https://parts.air-way.com/hydraulic-fittings/flare-o-hydraulic-fittings/90/f2502-90-female-elbow-series-345</t>
        </is>
      </c>
      <c r="G70" s="37" t="inlineStr">
        <is>
          <t>SAE J514 070203</t>
        </is>
      </c>
      <c r="H70" s="37" t="inlineStr">
        <is>
          <t>NOT STARTED</t>
        </is>
      </c>
      <c r="I70" s="37" t="n"/>
      <c r="J70" s="37" t="n">
        <v>2</v>
      </c>
      <c r="K70" s="37" t="n"/>
    </row>
    <row r="71" ht="15" customHeight="1" s="35">
      <c r="A71" s="37" t="inlineStr">
        <is>
          <t>2502</t>
        </is>
      </c>
      <c r="B71" s="37" t="inlineStr">
        <is>
          <t>122</t>
        </is>
      </c>
      <c r="C71" s="37" t="inlineStr">
        <is>
          <t>2502 90° Female Elbow</t>
        </is>
      </c>
      <c r="D71" s="37" t="inlineStr">
        <is>
          <t>JIC 37 &amp; Beaded Hose</t>
        </is>
      </c>
      <c r="E71" s="37" t="inlineStr">
        <is>
          <t>90°</t>
        </is>
      </c>
      <c r="F71" s="37" t="inlineStr">
        <is>
          <t>https://parts.air-way.com/hydraulic-fittings/jic-and-beaded-hose-fittings/90/2502-90-female-elbow-series-122</t>
        </is>
      </c>
      <c r="G71" s="37" t="inlineStr">
        <is>
          <t>SAE J514 070203 / MS51506</t>
        </is>
      </c>
      <c r="H71" s="37" t="inlineStr">
        <is>
          <t>NOT STARTED</t>
        </is>
      </c>
      <c r="I71" s="37" t="n"/>
      <c r="J71" s="37" t="n">
        <v>29</v>
      </c>
      <c r="K71" s="37" t="n"/>
    </row>
    <row r="72" ht="15" customHeight="1" s="35">
      <c r="A72" s="37" t="inlineStr">
        <is>
          <t>2502</t>
        </is>
      </c>
      <c r="B72" s="37" t="inlineStr">
        <is>
          <t>273</t>
        </is>
      </c>
      <c r="C72" s="37" t="inlineStr">
        <is>
          <t>SS2502 90° Female Elbow series</t>
        </is>
      </c>
      <c r="D72" s="37" t="inlineStr">
        <is>
          <t>Stainless Steel Fittings</t>
        </is>
      </c>
      <c r="E72" s="37" t="inlineStr">
        <is>
          <t>90°</t>
        </is>
      </c>
      <c r="F72" s="37" t="inlineStr">
        <is>
          <t>https://parts.air-way.com/hydraulic-fittings/stainless-steel-hydraulic-fittings/90/ss2502-90-female-elbow-series-273</t>
        </is>
      </c>
      <c r="G72" s="37" t="inlineStr">
        <is>
          <t>SAE J514 070203 / MS51506</t>
        </is>
      </c>
      <c r="H72" s="37" t="inlineStr">
        <is>
          <t>NOT STARTED</t>
        </is>
      </c>
      <c r="I72" s="37" t="n"/>
      <c r="J72" s="37" t="n">
        <v>7</v>
      </c>
      <c r="K72" s="37" t="n"/>
    </row>
    <row r="73" ht="15" customHeight="1" s="35">
      <c r="A73" s="37" t="inlineStr">
        <is>
          <t>2503</t>
        </is>
      </c>
      <c r="B73" s="37" t="inlineStr">
        <is>
          <t>429</t>
        </is>
      </c>
      <c r="C73" s="37" t="inlineStr">
        <is>
          <t>Brass - 2503 - FBC 45 Degree Male Elbow series</t>
        </is>
      </c>
      <c r="D73" s="37" t="inlineStr">
        <is>
          <t>Brass Fittings</t>
        </is>
      </c>
      <c r="E73" s="37" t="inlineStr">
        <is>
          <t>45°</t>
        </is>
      </c>
      <c r="F73" s="37" t="inlineStr">
        <is>
          <t>https://parts.air-way.com/hydraulic-fittings/brass-hydraulic-fittings/45/brass-2503-fbc-45-degree-male-elbow-series-429</t>
        </is>
      </c>
      <c r="G73" s="37" t="inlineStr">
        <is>
          <t>none</t>
        </is>
      </c>
      <c r="H73" s="37" t="inlineStr">
        <is>
          <t>NOT STARTED</t>
        </is>
      </c>
      <c r="I73" s="37" t="n"/>
      <c r="J73" s="37" t="n">
        <v>3</v>
      </c>
      <c r="K73" s="37" t="n"/>
    </row>
    <row r="74" ht="15" customHeight="1" s="35">
      <c r="A74" s="37" t="inlineStr">
        <is>
          <t>2503</t>
        </is>
      </c>
      <c r="B74" s="37" t="inlineStr">
        <is>
          <t>354</t>
        </is>
      </c>
      <c r="C74" s="37" t="inlineStr">
        <is>
          <t>F2503 45° Male Elbow</t>
        </is>
      </c>
      <c r="D74" s="37" t="inlineStr">
        <is>
          <t>FLARE-O</t>
        </is>
      </c>
      <c r="E74" s="37" t="inlineStr">
        <is>
          <t>45°</t>
        </is>
      </c>
      <c r="F74" s="37" t="inlineStr">
        <is>
          <t>https://parts.air-way.com/hydraulic-fittings/flare-o-hydraulic-fittings/45/f2503-45-male-elbow-series-354</t>
        </is>
      </c>
      <c r="G74" s="37" t="inlineStr">
        <is>
          <t>SAE J514 070302</t>
        </is>
      </c>
      <c r="H74" s="37" t="inlineStr">
        <is>
          <t>NOT STARTED</t>
        </is>
      </c>
      <c r="I74" s="37" t="n"/>
      <c r="J74" s="37" t="n">
        <v>17</v>
      </c>
      <c r="K74" s="37" t="n"/>
    </row>
    <row r="75" ht="15" customHeight="1" s="35">
      <c r="A75" s="37" t="inlineStr">
        <is>
          <t>2503</t>
        </is>
      </c>
      <c r="B75" s="37" t="inlineStr">
        <is>
          <t>147</t>
        </is>
      </c>
      <c r="C75" s="37" t="inlineStr">
        <is>
          <t>2503 45° Male Elbow</t>
        </is>
      </c>
      <c r="D75" s="37" t="inlineStr">
        <is>
          <t>JIC 37 &amp; Beaded Hose</t>
        </is>
      </c>
      <c r="E75" s="37" t="inlineStr">
        <is>
          <t>45°</t>
        </is>
      </c>
      <c r="F75" s="37" t="inlineStr">
        <is>
          <t>https://parts.air-way.com/hydraulic-fittings/jic-and-beaded-hose-fittings/45/2503-45-male-elbow-series-147</t>
        </is>
      </c>
      <c r="G75" s="37" t="inlineStr">
        <is>
          <t>SAE J514 070302 / MS51508</t>
        </is>
      </c>
      <c r="H75" s="37" t="inlineStr">
        <is>
          <t>NOT STARTED</t>
        </is>
      </c>
      <c r="I75" s="37" t="n"/>
      <c r="J75" s="37" t="n">
        <v>60</v>
      </c>
      <c r="K75" s="37" t="n"/>
    </row>
    <row r="76" ht="15" customHeight="1" s="35">
      <c r="A76" s="37" t="inlineStr">
        <is>
          <t>2503</t>
        </is>
      </c>
      <c r="B76" s="37" t="inlineStr">
        <is>
          <t>28</t>
        </is>
      </c>
      <c r="C76" s="37" t="inlineStr">
        <is>
          <t>FF2503 45° Male Elbow</t>
        </is>
      </c>
      <c r="D76" s="37" t="inlineStr">
        <is>
          <t>ORFS</t>
        </is>
      </c>
      <c r="E76" s="37" t="inlineStr">
        <is>
          <t>45°</t>
        </is>
      </c>
      <c r="F76" s="37" t="inlineStr">
        <is>
          <t>https://parts.air-way.com/hydraulic-fittings/o-ring-face-seal-orfs-hydraulic-fittings/45/ff2503-45-male-elbow-series-28</t>
        </is>
      </c>
      <c r="G76" s="37" t="inlineStr">
        <is>
          <t>—</t>
        </is>
      </c>
      <c r="H76" s="37" t="inlineStr">
        <is>
          <t>NOT STARTED</t>
        </is>
      </c>
      <c r="I76" s="37" t="n"/>
      <c r="J76" s="37" t="n">
        <v>10</v>
      </c>
      <c r="K76" s="37" t="n"/>
    </row>
    <row r="77" ht="15" customHeight="1" s="35">
      <c r="A77" s="37" t="inlineStr">
        <is>
          <t>2503</t>
        </is>
      </c>
      <c r="B77" s="37" t="inlineStr">
        <is>
          <t>286</t>
        </is>
      </c>
      <c r="C77" s="37" t="inlineStr">
        <is>
          <t>SS2503 45° Male Elbow series</t>
        </is>
      </c>
      <c r="D77" s="37" t="inlineStr">
        <is>
          <t>Stainless Steel Fittings</t>
        </is>
      </c>
      <c r="E77" s="37" t="inlineStr">
        <is>
          <t>45°</t>
        </is>
      </c>
      <c r="F77" s="37" t="inlineStr">
        <is>
          <t>https://parts.air-way.com/hydraulic-fittings/stainless-steel-hydraulic-fittings/45/ss2503-45-male-elbow-series-286</t>
        </is>
      </c>
      <c r="G77" s="37" t="inlineStr">
        <is>
          <t>SAE J514 070302 / MS51508</t>
        </is>
      </c>
      <c r="H77" s="37" t="inlineStr">
        <is>
          <t>NOT STARTED</t>
        </is>
      </c>
      <c r="I77" s="37" t="n"/>
      <c r="J77" s="37" t="n">
        <v>13</v>
      </c>
      <c r="K77" s="37" t="n"/>
    </row>
    <row r="78" ht="15" customHeight="1" s="35">
      <c r="A78" s="37" t="inlineStr">
        <is>
          <t>2504</t>
        </is>
      </c>
      <c r="B78" s="37" t="inlineStr">
        <is>
          <t>148</t>
        </is>
      </c>
      <c r="C78" s="37" t="inlineStr">
        <is>
          <t>2504 45° Union Elbow</t>
        </is>
      </c>
      <c r="D78" s="37" t="inlineStr">
        <is>
          <t>JIC 37 &amp; Beaded Hose</t>
        </is>
      </c>
      <c r="E78" s="37" t="inlineStr">
        <is>
          <t>45°</t>
        </is>
      </c>
      <c r="F78" s="37" t="inlineStr">
        <is>
          <t>https://parts.air-way.com/hydraulic-fittings/jic-and-beaded-hose-fittings/45/2504-45-union-elbow-series-148</t>
        </is>
      </c>
      <c r="G78" s="37" t="inlineStr">
        <is>
          <t>none shown</t>
        </is>
      </c>
      <c r="H78" s="37" t="inlineStr">
        <is>
          <t>TABLED</t>
        </is>
      </c>
      <c r="I78" s="37" t="n"/>
      <c r="J78" s="37" t="n">
        <v>7</v>
      </c>
      <c r="K78" s="37" t="inlineStr">
        <is>
          <t>TABLED 2026-09-23: double-pass extraction 7 rows (sheet said 7); DesignTable_2504.xlsx; scope vs OMi feed: 0 BUILD / 7 DROP / 4 OMi-only (4 differ only by -FG)</t>
        </is>
      </c>
    </row>
    <row r="79" ht="15" customHeight="1" s="35">
      <c r="A79" s="37" t="inlineStr">
        <is>
          <t>2505</t>
        </is>
      </c>
      <c r="B79" s="37" t="inlineStr">
        <is>
          <t>149</t>
        </is>
      </c>
      <c r="C79" s="37" t="inlineStr">
        <is>
          <t>2505 45° Female Elbow</t>
        </is>
      </c>
      <c r="D79" s="37" t="inlineStr">
        <is>
          <t>JIC 37 &amp; Beaded Hose</t>
        </is>
      </c>
      <c r="E79" s="37" t="inlineStr">
        <is>
          <t>45°</t>
        </is>
      </c>
      <c r="F79" s="37" t="inlineStr">
        <is>
          <t>https://parts.air-way.com/hydraulic-fittings/jic-and-beaded-hose-fittings/45/2505-45-female-elbow-series-149</t>
        </is>
      </c>
      <c r="G79" s="37" t="inlineStr">
        <is>
          <t>none shown</t>
        </is>
      </c>
      <c r="H79" s="37" t="inlineStr">
        <is>
          <t>TABLED</t>
        </is>
      </c>
      <c r="I79" s="37" t="n"/>
      <c r="J79" s="37" t="n">
        <v>6</v>
      </c>
      <c r="K79" s="37" t="inlineStr">
        <is>
          <t>TABLED 2026-09-23: double-pass extraction 6 rows (sheet said 6); DesignTable_2505.xlsx; scope vs OMi feed: 0 BUILD / 6 DROP / 3 OMi-only (3 differ only by -FG)</t>
        </is>
      </c>
    </row>
    <row r="80" ht="15" customHeight="1" s="35">
      <c r="A80" s="37" t="inlineStr">
        <is>
          <t>2601</t>
        </is>
      </c>
      <c r="B80" s="37" t="inlineStr">
        <is>
          <t>363</t>
        </is>
      </c>
      <c r="C80" s="37" t="inlineStr">
        <is>
          <t>F2601 Male Branch Tee</t>
        </is>
      </c>
      <c r="D80" s="37" t="inlineStr">
        <is>
          <t>FLARE-O</t>
        </is>
      </c>
      <c r="E80" s="37" t="inlineStr">
        <is>
          <t>Tee</t>
        </is>
      </c>
      <c r="F80" s="37" t="inlineStr">
        <is>
          <t>https://parts.air-way.com/hydraulic-fittings/flare-o-hydraulic-fittings/tee/f2601-male-branch-tee-series-363</t>
        </is>
      </c>
      <c r="G80" s="37" t="inlineStr">
        <is>
          <t>SAE J514 070425</t>
        </is>
      </c>
      <c r="H80" s="37" t="inlineStr">
        <is>
          <t>NOT STARTED</t>
        </is>
      </c>
      <c r="I80" s="37" t="n"/>
      <c r="J80" s="37" t="n">
        <v>5</v>
      </c>
      <c r="K80" s="37" t="n"/>
    </row>
    <row r="81" ht="15" customHeight="1" s="35">
      <c r="A81" s="37" t="inlineStr">
        <is>
          <t>2601</t>
        </is>
      </c>
      <c r="B81" s="37" t="inlineStr">
        <is>
          <t>170</t>
        </is>
      </c>
      <c r="C81" s="37" t="inlineStr">
        <is>
          <t>2601 Male Branch Tee</t>
        </is>
      </c>
      <c r="D81" s="37" t="inlineStr">
        <is>
          <t>JIC 37 &amp; Beaded Hose</t>
        </is>
      </c>
      <c r="E81" s="37" t="inlineStr">
        <is>
          <t>Tee</t>
        </is>
      </c>
      <c r="F81" s="37" t="inlineStr">
        <is>
          <t>https://parts.air-way.com/hydraulic-fittings/jic-and-beaded-hose-fittings/tee/2601-male-branch-tee-series-170</t>
        </is>
      </c>
      <c r="G81" s="37" t="inlineStr">
        <is>
          <t>SAE J514 070425 / MS51512</t>
        </is>
      </c>
      <c r="H81" s="37" t="inlineStr">
        <is>
          <t>NOT STARTED</t>
        </is>
      </c>
      <c r="I81" s="37" t="n"/>
      <c r="J81" s="37" t="n">
        <v>28</v>
      </c>
      <c r="K81" s="37" t="n"/>
    </row>
    <row r="82" ht="15" customHeight="1" s="35">
      <c r="A82" s="37" t="inlineStr">
        <is>
          <t>2601</t>
        </is>
      </c>
      <c r="B82" s="37" t="inlineStr">
        <is>
          <t>296</t>
        </is>
      </c>
      <c r="C82" s="37" t="inlineStr">
        <is>
          <t>SS2601 Male Branch Tee series</t>
        </is>
      </c>
      <c r="D82" s="37" t="inlineStr">
        <is>
          <t>Stainless Steel Fittings</t>
        </is>
      </c>
      <c r="E82" s="37" t="inlineStr">
        <is>
          <t>Tee</t>
        </is>
      </c>
      <c r="F82" s="37" t="inlineStr">
        <is>
          <t>https://parts.air-way.com/hydraulic-fittings/stainless-steel-hydraulic-fittings/tee/ss2601-male-branch-tee-series-296</t>
        </is>
      </c>
      <c r="G82" s="37" t="inlineStr">
        <is>
          <t>SAE J514 070425 / MS51512</t>
        </is>
      </c>
      <c r="H82" s="37" t="inlineStr">
        <is>
          <t>NOT STARTED</t>
        </is>
      </c>
      <c r="I82" s="37" t="n"/>
      <c r="J82" s="37" t="n">
        <v>3</v>
      </c>
      <c r="K82" s="37" t="n"/>
    </row>
    <row r="83" ht="15" customHeight="1" s="35">
      <c r="A83" s="37" t="inlineStr">
        <is>
          <t>2602</t>
        </is>
      </c>
      <c r="B83" s="37" t="inlineStr">
        <is>
          <t>364</t>
        </is>
      </c>
      <c r="C83" s="37" t="inlineStr">
        <is>
          <t>F2602 Female Branch Tee</t>
        </is>
      </c>
      <c r="D83" s="37" t="inlineStr">
        <is>
          <t>FLARE-O</t>
        </is>
      </c>
      <c r="E83" s="37" t="inlineStr">
        <is>
          <t>Tee</t>
        </is>
      </c>
      <c r="F83" s="37" t="inlineStr">
        <is>
          <t>https://parts.air-way.com/hydraulic-fittings/flare-o-hydraulic-fittings/tee/f2602-female-branch-tee-series-364</t>
        </is>
      </c>
      <c r="G83" s="37" t="inlineStr">
        <is>
          <t>SAE J514 070427</t>
        </is>
      </c>
      <c r="H83" s="37" t="inlineStr">
        <is>
          <t>NOT STARTED</t>
        </is>
      </c>
      <c r="I83" s="37" t="n"/>
      <c r="J83" s="37" t="n">
        <v>2</v>
      </c>
      <c r="K83" s="37" t="n"/>
    </row>
    <row r="84" ht="15" customHeight="1" s="35">
      <c r="A84" s="37" t="inlineStr">
        <is>
          <t>2602</t>
        </is>
      </c>
      <c r="B84" s="37" t="inlineStr">
        <is>
          <t>171</t>
        </is>
      </c>
      <c r="C84" s="37" t="inlineStr">
        <is>
          <t>2602 Female Branch Tee</t>
        </is>
      </c>
      <c r="D84" s="37" t="inlineStr">
        <is>
          <t>JIC 37 &amp; Beaded Hose</t>
        </is>
      </c>
      <c r="E84" s="37" t="inlineStr">
        <is>
          <t>Tee</t>
        </is>
      </c>
      <c r="F84" s="37" t="inlineStr">
        <is>
          <t>https://parts.air-way.com/hydraulic-fittings/jic-and-beaded-hose-fittings/tee/2602-female-branch-tee-series-171</t>
        </is>
      </c>
      <c r="G84" s="37" t="inlineStr">
        <is>
          <t>SAE J514 070427 / MS51513</t>
        </is>
      </c>
      <c r="H84" s="37" t="inlineStr">
        <is>
          <t>NOT STARTED</t>
        </is>
      </c>
      <c r="I84" s="37" t="n"/>
      <c r="J84" s="37" t="n">
        <v>21</v>
      </c>
      <c r="K84" s="37" t="n"/>
    </row>
    <row r="85" ht="15" customHeight="1" s="35">
      <c r="A85" s="37" t="inlineStr">
        <is>
          <t>2602</t>
        </is>
      </c>
      <c r="B85" s="37" t="inlineStr">
        <is>
          <t>297</t>
        </is>
      </c>
      <c r="C85" s="37" t="inlineStr">
        <is>
          <t>SS2602 Female Branch Tee series</t>
        </is>
      </c>
      <c r="D85" s="37" t="inlineStr">
        <is>
          <t>Stainless Steel Fittings</t>
        </is>
      </c>
      <c r="E85" s="37" t="inlineStr">
        <is>
          <t>Tee</t>
        </is>
      </c>
      <c r="F85" s="37" t="inlineStr">
        <is>
          <t>https://parts.air-way.com/hydraulic-fittings/stainless-steel-hydraulic-fittings/tee/ss2602-female-branch-tee-series-297</t>
        </is>
      </c>
      <c r="G85" s="37" t="inlineStr">
        <is>
          <t>SAE J514 070427 / MS51513</t>
        </is>
      </c>
      <c r="H85" s="37" t="inlineStr">
        <is>
          <t>NOT STARTED</t>
        </is>
      </c>
      <c r="I85" s="37" t="n"/>
      <c r="J85" s="37" t="n">
        <v>4</v>
      </c>
      <c r="K85" s="37" t="n"/>
    </row>
    <row r="86" ht="15" customHeight="1" s="35">
      <c r="A86" s="37" t="inlineStr">
        <is>
          <t>2603</t>
        </is>
      </c>
      <c r="B86" s="37" t="inlineStr">
        <is>
          <t>432</t>
        </is>
      </c>
      <c r="C86" s="37" t="inlineStr">
        <is>
          <t>Brass - 2603 - TBC Union Tee series</t>
        </is>
      </c>
      <c r="D86" s="37" t="inlineStr">
        <is>
          <t>Brass Fittings</t>
        </is>
      </c>
      <c r="E86" s="37" t="inlineStr">
        <is>
          <t>Tee</t>
        </is>
      </c>
      <c r="F86" s="37" t="inlineStr">
        <is>
          <t>https://parts.air-way.com/hydraulic-fittings/brass-hydraulic-fittings/tee/brass-2603-tbc-union-tee-series-432</t>
        </is>
      </c>
      <c r="G86" s="37" t="inlineStr">
        <is>
          <t>none</t>
        </is>
      </c>
      <c r="H86" s="37" t="inlineStr">
        <is>
          <t>NOT STARTED</t>
        </is>
      </c>
      <c r="I86" s="37" t="n"/>
      <c r="J86" s="37" t="n">
        <v>1</v>
      </c>
      <c r="K86" s="37" t="n"/>
    </row>
    <row r="87" ht="15" customHeight="1" s="35">
      <c r="A87" s="37" t="inlineStr">
        <is>
          <t>2603</t>
        </is>
      </c>
      <c r="B87" s="37" t="inlineStr">
        <is>
          <t>365</t>
        </is>
      </c>
      <c r="C87" s="37" t="inlineStr">
        <is>
          <t>F2603 Union Tee</t>
        </is>
      </c>
      <c r="D87" s="37" t="inlineStr">
        <is>
          <t>FLARE-O</t>
        </is>
      </c>
      <c r="E87" s="37" t="inlineStr">
        <is>
          <t>Tee</t>
        </is>
      </c>
      <c r="F87" s="37" t="inlineStr">
        <is>
          <t>https://parts.air-way.com/hydraulic-fittings/flare-o-hydraulic-fittings/tee/f2603-union-tee-series-365</t>
        </is>
      </c>
      <c r="G87" s="37" t="inlineStr">
        <is>
          <t>SAE J514 070401</t>
        </is>
      </c>
      <c r="H87" s="37" t="inlineStr">
        <is>
          <t>NOT STARTED</t>
        </is>
      </c>
      <c r="I87" s="37" t="n"/>
      <c r="J87" s="37" t="n">
        <v>8</v>
      </c>
      <c r="K87" s="37" t="n"/>
    </row>
    <row r="88" ht="15" customHeight="1" s="35">
      <c r="A88" s="37" t="inlineStr">
        <is>
          <t>2603</t>
        </is>
      </c>
      <c r="B88" s="37" t="inlineStr">
        <is>
          <t>172</t>
        </is>
      </c>
      <c r="C88" s="37" t="inlineStr">
        <is>
          <t>2603 Union Tee</t>
        </is>
      </c>
      <c r="D88" s="37" t="inlineStr">
        <is>
          <t>JIC 37 &amp; Beaded Hose</t>
        </is>
      </c>
      <c r="E88" s="37" t="inlineStr">
        <is>
          <t>Tee</t>
        </is>
      </c>
      <c r="F88" s="37" t="inlineStr">
        <is>
          <t>https://parts.air-way.com/hydraulic-fittings/jic-and-beaded-hose-fittings/tee/2603-union-tee-series-172</t>
        </is>
      </c>
      <c r="G88" s="37" t="inlineStr">
        <is>
          <t>SAE J514 070401 / MS51510</t>
        </is>
      </c>
      <c r="H88" s="37" t="inlineStr">
        <is>
          <t>NOT STARTED</t>
        </is>
      </c>
      <c r="I88" s="37" t="n"/>
      <c r="J88" s="37" t="n">
        <v>43</v>
      </c>
      <c r="K88" s="37" t="n"/>
    </row>
    <row r="89" ht="15" customHeight="1" s="35">
      <c r="A89" s="37" t="inlineStr">
        <is>
          <t>2603</t>
        </is>
      </c>
      <c r="B89" s="37" t="inlineStr">
        <is>
          <t>32</t>
        </is>
      </c>
      <c r="C89" s="37" t="inlineStr">
        <is>
          <t>FF2603 Union Tee</t>
        </is>
      </c>
      <c r="D89" s="37" t="inlineStr">
        <is>
          <t>ORFS</t>
        </is>
      </c>
      <c r="E89" s="37" t="inlineStr">
        <is>
          <t>Tee</t>
        </is>
      </c>
      <c r="F89" s="37" t="inlineStr">
        <is>
          <t>https://parts.air-way.com/hydraulic-fittings/o-ring-face-seal-orfs-hydraulic-fittings/tee/ff2603-union-tee-series-32</t>
        </is>
      </c>
      <c r="G89" s="37" t="inlineStr">
        <is>
          <t>SAE J1453 520401</t>
        </is>
      </c>
      <c r="H89" s="37" t="inlineStr">
        <is>
          <t>NOT STARTED</t>
        </is>
      </c>
      <c r="I89" s="37" t="n"/>
      <c r="J89" s="37" t="n">
        <v>18</v>
      </c>
      <c r="K89" s="37" t="n"/>
    </row>
    <row r="90" ht="15" customHeight="1" s="35">
      <c r="A90" s="37" t="inlineStr">
        <is>
          <t>2603</t>
        </is>
      </c>
      <c r="B90" s="37" t="inlineStr">
        <is>
          <t>298</t>
        </is>
      </c>
      <c r="C90" s="37" t="inlineStr">
        <is>
          <t>SS2603 Union Tee series</t>
        </is>
      </c>
      <c r="D90" s="37" t="inlineStr">
        <is>
          <t>Stainless Steel Fittings</t>
        </is>
      </c>
      <c r="E90" s="37" t="inlineStr">
        <is>
          <t>Tee</t>
        </is>
      </c>
      <c r="F90" s="37" t="inlineStr">
        <is>
          <t>https://parts.air-way.com/hydraulic-fittings/stainless-steel-hydraulic-fittings/tee/ss2603-union-tee-series-298</t>
        </is>
      </c>
      <c r="G90" s="37" t="inlineStr">
        <is>
          <t>SAE J514 070401 / MS51510</t>
        </is>
      </c>
      <c r="H90" s="37" t="inlineStr">
        <is>
          <t>NOT STARTED</t>
        </is>
      </c>
      <c r="I90" s="37" t="n"/>
      <c r="J90" s="37" t="n">
        <v>10</v>
      </c>
      <c r="K90" s="37" t="n"/>
    </row>
    <row r="91" ht="15" customHeight="1" s="35">
      <c r="A91" s="37" t="inlineStr">
        <is>
          <t>2605</t>
        </is>
      </c>
      <c r="B91" s="37" t="inlineStr">
        <is>
          <t>366</t>
        </is>
      </c>
      <c r="C91" s="37" t="inlineStr">
        <is>
          <t>F2605 Male Run Tee</t>
        </is>
      </c>
      <c r="D91" s="37" t="inlineStr">
        <is>
          <t>FLARE-O</t>
        </is>
      </c>
      <c r="E91" s="37" t="inlineStr">
        <is>
          <t>Tee</t>
        </is>
      </c>
      <c r="F91" s="37" t="inlineStr">
        <is>
          <t>https://parts.air-way.com/hydraulic-fittings/flare-o-hydraulic-fittings/tee/f2605-male-run-tee-series-366</t>
        </is>
      </c>
      <c r="G91" s="37" t="inlineStr">
        <is>
          <t>SAE J514 070424</t>
        </is>
      </c>
      <c r="H91" s="37" t="inlineStr">
        <is>
          <t>NOT STARTED</t>
        </is>
      </c>
      <c r="I91" s="37" t="n"/>
      <c r="J91" s="37" t="n">
        <v>4</v>
      </c>
      <c r="K91" s="37" t="n"/>
    </row>
    <row r="92" ht="15" customHeight="1" s="35">
      <c r="A92" s="37" t="inlineStr">
        <is>
          <t>2605</t>
        </is>
      </c>
      <c r="B92" s="37" t="inlineStr">
        <is>
          <t>173</t>
        </is>
      </c>
      <c r="C92" s="37" t="inlineStr">
        <is>
          <t>2605 Male Run Tee</t>
        </is>
      </c>
      <c r="D92" s="37" t="inlineStr">
        <is>
          <t>JIC 37 &amp; Beaded Hose</t>
        </is>
      </c>
      <c r="E92" s="37" t="inlineStr">
        <is>
          <t>Tee</t>
        </is>
      </c>
      <c r="F92" s="37" t="inlineStr">
        <is>
          <t>https://parts.air-way.com/hydraulic-fittings/jic-and-beaded-hose-fittings/tee/2605-male-run-tee-series-173</t>
        </is>
      </c>
      <c r="G92" s="37" t="inlineStr">
        <is>
          <t>SAE J514 070424 / MS51511</t>
        </is>
      </c>
      <c r="H92" s="37" t="inlineStr">
        <is>
          <t>TABLED</t>
        </is>
      </c>
      <c r="I92" s="37" t="n"/>
      <c r="J92" s="37" t="n">
        <v>30</v>
      </c>
      <c r="K92" s="37" t="inlineStr">
        <is>
          <t>TABLED 2026-09-23: double-pass extraction 31 rows (sheet said 30); DesignTable_2605.xlsx; scope vs OMi feed: 7 BUILD / 24 DROP / 0 OMi-only (0 differ only by -FG); 2 source anomaly note(s) in 07_RAW_EXTRACTS/airway_anomalies_2026-09-23.txt</t>
        </is>
      </c>
    </row>
    <row r="93" ht="15" customHeight="1" s="35">
      <c r="A93" s="37" t="inlineStr">
        <is>
          <t>2605</t>
        </is>
      </c>
      <c r="B93" s="37" t="inlineStr">
        <is>
          <t>299</t>
        </is>
      </c>
      <c r="C93" s="37" t="inlineStr">
        <is>
          <t>SS2605 Male Run Tee series</t>
        </is>
      </c>
      <c r="D93" s="37" t="inlineStr">
        <is>
          <t>Stainless Steel Fittings</t>
        </is>
      </c>
      <c r="E93" s="37" t="inlineStr">
        <is>
          <t>Tee</t>
        </is>
      </c>
      <c r="F93" s="37" t="inlineStr">
        <is>
          <t>https://parts.air-way.com/hydraulic-fittings/stainless-steel-hydraulic-fittings/tee/ss2605-male-run-tee-series-299</t>
        </is>
      </c>
      <c r="G93" s="37" t="inlineStr">
        <is>
          <t>SAE J514 070424 / MS51511</t>
        </is>
      </c>
      <c r="H93" s="37" t="inlineStr">
        <is>
          <t>NOT STARTED</t>
        </is>
      </c>
      <c r="I93" s="37" t="n"/>
      <c r="J93" s="37" t="n">
        <v>5</v>
      </c>
      <c r="K93" s="37" t="n"/>
    </row>
    <row r="94" ht="15" customHeight="1" s="35">
      <c r="A94" s="37" t="inlineStr">
        <is>
          <t>2606</t>
        </is>
      </c>
      <c r="B94" s="37" t="inlineStr">
        <is>
          <t>174</t>
        </is>
      </c>
      <c r="C94" s="37" t="inlineStr">
        <is>
          <t>2606 Female Run Tee</t>
        </is>
      </c>
      <c r="D94" s="37" t="inlineStr">
        <is>
          <t>JIC 37 &amp; Beaded Hose</t>
        </is>
      </c>
      <c r="E94" s="37" t="inlineStr">
        <is>
          <t>Tee</t>
        </is>
      </c>
      <c r="F94" s="37" t="inlineStr">
        <is>
          <t>https://parts.air-way.com/hydraulic-fittings/jic-and-beaded-hose-fittings/tee/2606-female-run-tee-series-174</t>
        </is>
      </c>
      <c r="G94" s="37" t="inlineStr">
        <is>
          <t>SAE J514 070426 / MS51514</t>
        </is>
      </c>
      <c r="H94" s="37" t="inlineStr">
        <is>
          <t>TABLED</t>
        </is>
      </c>
      <c r="I94" s="37" t="n"/>
      <c r="J94" s="37" t="n">
        <v>7</v>
      </c>
      <c r="K94" s="37" t="inlineStr">
        <is>
          <t>TABLED 2026-09-23: double-pass extraction 7 rows (sheet said 7); DesignTable_2606.xlsx; scope vs OMi feed: 0 BUILD / 7 DROP / 5 OMi-only (4 differ only by -FG)</t>
        </is>
      </c>
    </row>
    <row r="95" ht="15" customHeight="1" s="35">
      <c r="A95" s="37" t="inlineStr">
        <is>
          <t>2606</t>
        </is>
      </c>
      <c r="B95" s="37" t="inlineStr">
        <is>
          <t>300</t>
        </is>
      </c>
      <c r="C95" s="37" t="inlineStr">
        <is>
          <t>SS2606 Female Run Tee series</t>
        </is>
      </c>
      <c r="D95" s="37" t="inlineStr">
        <is>
          <t>Stainless Steel Fittings</t>
        </is>
      </c>
      <c r="E95" s="37" t="inlineStr">
        <is>
          <t>Tee</t>
        </is>
      </c>
      <c r="F95" s="37" t="inlineStr">
        <is>
          <t>https://parts.air-way.com/hydraulic-fittings/stainless-steel-hydraulic-fittings/tee/ss2606-female-run-tee-series-300</t>
        </is>
      </c>
      <c r="G95" s="37" t="inlineStr">
        <is>
          <t>SAE J514 070426 / MS51514</t>
        </is>
      </c>
      <c r="H95" s="37" t="inlineStr">
        <is>
          <t>NOT STARTED</t>
        </is>
      </c>
      <c r="I95" s="37" t="n"/>
      <c r="J95" s="37" t="n">
        <v>3</v>
      </c>
      <c r="K95" s="37" t="n"/>
    </row>
    <row r="96" ht="15" customHeight="1" s="35">
      <c r="A96" s="37" t="inlineStr">
        <is>
          <t>2607</t>
        </is>
      </c>
      <c r="B96" s="37" t="inlineStr">
        <is>
          <t>175</t>
        </is>
      </c>
      <c r="C96" s="37" t="inlineStr">
        <is>
          <t>2607 Male Run/Branch Tee</t>
        </is>
      </c>
      <c r="D96" s="37" t="inlineStr">
        <is>
          <t>JIC 37 &amp; Beaded Hose</t>
        </is>
      </c>
      <c r="E96" s="37" t="inlineStr">
        <is>
          <t>Tee</t>
        </is>
      </c>
      <c r="F96" s="37" t="inlineStr">
        <is>
          <t>https://parts.air-way.com/hydraulic-fittings/jic-and-beaded-hose-fittings/tee/2607-male-run-branch-tee-series-175</t>
        </is>
      </c>
      <c r="G96" s="37" t="inlineStr">
        <is>
          <t>none shown</t>
        </is>
      </c>
      <c r="H96" s="37" t="inlineStr">
        <is>
          <t>NOT STARTED</t>
        </is>
      </c>
      <c r="I96" s="37" t="n"/>
      <c r="J96" s="37" t="n">
        <v>3</v>
      </c>
      <c r="K96" s="37" t="n"/>
    </row>
    <row r="97" ht="15" customHeight="1" s="35">
      <c r="A97" s="37" t="inlineStr">
        <is>
          <t>2608</t>
        </is>
      </c>
      <c r="B97" s="37" t="inlineStr">
        <is>
          <t>176</t>
        </is>
      </c>
      <c r="C97" s="37" t="inlineStr">
        <is>
          <t>2608 Female Run/Male Branch Tee</t>
        </is>
      </c>
      <c r="D97" s="37" t="inlineStr">
        <is>
          <t>JIC 37 &amp; Beaded Hose</t>
        </is>
      </c>
      <c r="E97" s="37" t="inlineStr">
        <is>
          <t>Tee</t>
        </is>
      </c>
      <c r="F97" s="37" t="inlineStr">
        <is>
          <t>https://parts.air-way.com/hydraulic-fittings/jic-and-beaded-hose-fittings/tee/2608-female-run-male-branch-tee-series-176</t>
        </is>
      </c>
      <c r="G97" s="37" t="inlineStr">
        <is>
          <t>none shown</t>
        </is>
      </c>
      <c r="H97" s="37" t="inlineStr">
        <is>
          <t>NOT STARTED</t>
        </is>
      </c>
      <c r="I97" s="37" t="n"/>
      <c r="J97" s="37" t="n">
        <v>2</v>
      </c>
      <c r="K97" s="37" t="n"/>
    </row>
    <row r="98" ht="15" customHeight="1" s="35">
      <c r="A98" s="37" t="inlineStr">
        <is>
          <t>2609</t>
        </is>
      </c>
      <c r="B98" s="37" t="inlineStr">
        <is>
          <t>177</t>
        </is>
      </c>
      <c r="C98" s="37" t="inlineStr">
        <is>
          <t>2609 Female Run/Branch Tee</t>
        </is>
      </c>
      <c r="D98" s="37" t="inlineStr">
        <is>
          <t>JIC 37 &amp; Beaded Hose</t>
        </is>
      </c>
      <c r="E98" s="37" t="inlineStr">
        <is>
          <t>Tee</t>
        </is>
      </c>
      <c r="F98" s="37" t="inlineStr">
        <is>
          <t>https://parts.air-way.com/hydraulic-fittings/jic-and-beaded-hose-fittings/tee/2609-female-run-branch-tee-series-177</t>
        </is>
      </c>
      <c r="G98" s="37" t="inlineStr">
        <is>
          <t>none shown</t>
        </is>
      </c>
      <c r="H98" s="37" t="inlineStr">
        <is>
          <t>TABLED</t>
        </is>
      </c>
      <c r="I98" s="37" t="n"/>
      <c r="J98" s="37" t="n">
        <v>1</v>
      </c>
      <c r="K98" s="37" t="inlineStr">
        <is>
          <t>TABLED 2026-09-23: double-pass extraction 1 rows (sheet said 1); DesignTable_2609.xlsx; scope vs OMi feed: 0 BUILD / 1 DROP / 1 OMi-only (0 differ only by -FG)</t>
        </is>
      </c>
    </row>
    <row r="99" ht="15" customHeight="1" s="35">
      <c r="A99" s="37" t="inlineStr">
        <is>
          <t>2610</t>
        </is>
      </c>
      <c r="B99" s="37" t="inlineStr">
        <is>
          <t>178</t>
        </is>
      </c>
      <c r="C99" s="37" t="inlineStr">
        <is>
          <t>2610 Male Run/Run Tee</t>
        </is>
      </c>
      <c r="D99" s="37" t="inlineStr">
        <is>
          <t>JIC 37 &amp; Beaded Hose</t>
        </is>
      </c>
      <c r="E99" s="37" t="inlineStr">
        <is>
          <t>Tee</t>
        </is>
      </c>
      <c r="F99" s="37" t="inlineStr">
        <is>
          <t>https://parts.air-way.com/hydraulic-fittings/jic-and-beaded-hose-fittings/tee/2610-male-run-run-tee-series-178</t>
        </is>
      </c>
      <c r="G99" s="37" t="inlineStr">
        <is>
          <t>none shown</t>
        </is>
      </c>
      <c r="H99" s="37" t="inlineStr">
        <is>
          <t>NOT STARTED</t>
        </is>
      </c>
      <c r="I99" s="37" t="n"/>
      <c r="J99" s="37" t="n">
        <v>1</v>
      </c>
      <c r="K99" s="37" t="n"/>
    </row>
    <row r="100" ht="15" customHeight="1" s="35">
      <c r="A100" s="37" t="inlineStr">
        <is>
          <t>2611</t>
        </is>
      </c>
      <c r="B100" s="37" t="inlineStr">
        <is>
          <t>179</t>
        </is>
      </c>
      <c r="C100" s="37" t="inlineStr">
        <is>
          <t>2611 Male Run/Female Branch Tee</t>
        </is>
      </c>
      <c r="D100" s="37" t="inlineStr">
        <is>
          <t>JIC 37 &amp; Beaded Hose</t>
        </is>
      </c>
      <c r="E100" s="37" t="inlineStr">
        <is>
          <t>Tee</t>
        </is>
      </c>
      <c r="F100" s="37" t="inlineStr">
        <is>
          <t>https://parts.air-way.com/hydraulic-fittings/jic-and-beaded-hose-fittings/tee/2611-male-run-female-branch-tee-series-179</t>
        </is>
      </c>
      <c r="G100" s="37" t="inlineStr">
        <is>
          <t>none shown</t>
        </is>
      </c>
      <c r="H100" s="37" t="inlineStr">
        <is>
          <t>TABLED</t>
        </is>
      </c>
      <c r="I100" s="37" t="n"/>
      <c r="J100" s="37" t="n">
        <v>5</v>
      </c>
      <c r="K100" s="37" t="inlineStr">
        <is>
          <t>TABLED 2026-09-23: double-pass extraction 5 rows (sheet said 5); DesignTable_2611.xlsx; scope vs OMi feed: 0 BUILD / 5 DROP / 3 OMi-only (2 differ only by -FG)</t>
        </is>
      </c>
    </row>
    <row r="101" ht="15" customHeight="1" s="35">
      <c r="A101" s="37" t="inlineStr">
        <is>
          <t>2612</t>
        </is>
      </c>
      <c r="B101" s="37" t="inlineStr">
        <is>
          <t>180</t>
        </is>
      </c>
      <c r="C101" s="37" t="inlineStr">
        <is>
          <t>2612 Female Run/Run Tee</t>
        </is>
      </c>
      <c r="D101" s="37" t="inlineStr">
        <is>
          <t>JIC 37 &amp; Beaded Hose</t>
        </is>
      </c>
      <c r="E101" s="37" t="inlineStr">
        <is>
          <t>Tee</t>
        </is>
      </c>
      <c r="F101" s="37" t="inlineStr">
        <is>
          <t>https://parts.air-way.com/hydraulic-fittings/jic-and-beaded-hose-fittings/tee/2612-female-run-run-tee-series-180</t>
        </is>
      </c>
      <c r="G101" s="37" t="inlineStr">
        <is>
          <t>none shown</t>
        </is>
      </c>
      <c r="H101" s="37" t="inlineStr">
        <is>
          <t>NOT STARTED</t>
        </is>
      </c>
      <c r="I101" s="37" t="n"/>
      <c r="J101" s="37" t="n">
        <v>1</v>
      </c>
      <c r="K101" s="37" t="n"/>
    </row>
    <row r="102" ht="15" customHeight="1" s="35">
      <c r="A102" s="37" t="inlineStr">
        <is>
          <t>2613</t>
        </is>
      </c>
      <c r="B102" s="37" t="inlineStr">
        <is>
          <t>181</t>
        </is>
      </c>
      <c r="C102" s="37" t="inlineStr">
        <is>
          <t>2613 Male Run/Female Run Tee</t>
        </is>
      </c>
      <c r="D102" s="37" t="inlineStr">
        <is>
          <t>JIC 37 &amp; Beaded Hose</t>
        </is>
      </c>
      <c r="E102" s="37" t="inlineStr">
        <is>
          <t>Tee</t>
        </is>
      </c>
      <c r="F102" s="37" t="inlineStr">
        <is>
          <t>https://parts.air-way.com/hydraulic-fittings/jic-and-beaded-hose-fittings/tee/2613-male-run-female-run-tee-series-181</t>
        </is>
      </c>
      <c r="G102" s="37" t="inlineStr">
        <is>
          <t>none shown</t>
        </is>
      </c>
      <c r="H102" s="37" t="inlineStr">
        <is>
          <t>TABLED</t>
        </is>
      </c>
      <c r="I102" s="37" t="n"/>
      <c r="J102" s="37" t="n">
        <v>4</v>
      </c>
      <c r="K102" s="37" t="inlineStr">
        <is>
          <t>TABLED 2026-09-23: double-pass extraction 4 rows (sheet said 4); DesignTable_2613.xlsx; scope vs OMi feed: 0 BUILD / 4 DROP / 0 OMi-only (0 differ only by -FG)</t>
        </is>
      </c>
    </row>
    <row r="103" ht="15" customHeight="1" s="35">
      <c r="A103" s="37" t="inlineStr">
        <is>
          <t>2650</t>
        </is>
      </c>
      <c r="B103" s="37" t="inlineStr">
        <is>
          <t>382</t>
        </is>
      </c>
      <c r="C103" s="37" t="inlineStr">
        <is>
          <t>F2650 Union Cross</t>
        </is>
      </c>
      <c r="D103" s="37" t="inlineStr">
        <is>
          <t>FLARE-O</t>
        </is>
      </c>
      <c r="E103" s="37" t="inlineStr">
        <is>
          <t>Cross</t>
        </is>
      </c>
      <c r="F103" s="37" t="inlineStr">
        <is>
          <t>https://parts.air-way.com/hydraulic-fittings/flare-o-hydraulic-fittings/cross/f2650-union-cross-series-382</t>
        </is>
      </c>
      <c r="G103" s="37" t="inlineStr">
        <is>
          <t>SAE J514 070501</t>
        </is>
      </c>
      <c r="H103" s="37" t="inlineStr">
        <is>
          <t>NOT STARTED</t>
        </is>
      </c>
      <c r="I103" s="37" t="n"/>
      <c r="J103" s="37" t="n">
        <v>1</v>
      </c>
      <c r="K103" s="37" t="n"/>
    </row>
    <row r="104" ht="15" customHeight="1" s="35">
      <c r="A104" s="37" t="inlineStr">
        <is>
          <t>2650</t>
        </is>
      </c>
      <c r="B104" s="37" t="inlineStr">
        <is>
          <t>203</t>
        </is>
      </c>
      <c r="C104" s="37" t="inlineStr">
        <is>
          <t>2650 Union Cross</t>
        </is>
      </c>
      <c r="D104" s="37" t="inlineStr">
        <is>
          <t>JIC 37 &amp; Beaded Hose</t>
        </is>
      </c>
      <c r="E104" s="37" t="inlineStr">
        <is>
          <t>Cross</t>
        </is>
      </c>
      <c r="F104" s="37" t="inlineStr">
        <is>
          <t>https://parts.air-way.com/hydraulic-fittings/jic-and-beaded-hose-fittings/cross/2650-union-cross-series-203</t>
        </is>
      </c>
      <c r="G104" s="37" t="inlineStr">
        <is>
          <t>SAE J514 070501 / MS51517</t>
        </is>
      </c>
      <c r="H104" s="37" t="inlineStr">
        <is>
          <t>TABLED</t>
        </is>
      </c>
      <c r="I104" s="37" t="n"/>
      <c r="J104" s="37" t="n">
        <v>13</v>
      </c>
      <c r="K104" s="37" t="inlineStr">
        <is>
          <t>TABLED 2026-09-23: double-pass extraction 13 rows (sheet said 13); DesignTable_2650.xlsx; scope vs OMi feed: 4 BUILD / 9 DROP / 0 OMi-only (0 differ only by -FG); 1 source anomaly note(s) in 07_RAW_EXTRACTS/airway_anomalies_2026-09-23.txt</t>
        </is>
      </c>
    </row>
    <row r="105" ht="15" customHeight="1" s="35">
      <c r="A105" s="37" t="inlineStr">
        <is>
          <t>2650</t>
        </is>
      </c>
      <c r="B105" s="37" t="inlineStr">
        <is>
          <t>39</t>
        </is>
      </c>
      <c r="C105" s="37" t="inlineStr">
        <is>
          <t>FF2650 Union Cross</t>
        </is>
      </c>
      <c r="D105" s="37" t="inlineStr">
        <is>
          <t>ORFS</t>
        </is>
      </c>
      <c r="E105" s="37" t="inlineStr">
        <is>
          <t>Cross</t>
        </is>
      </c>
      <c r="F105" s="37" t="inlineStr">
        <is>
          <t>https://parts.air-way.com/hydraulic-fittings/o-ring-face-seal-orfs-hydraulic-fittings/cross/ff2650-union-cross-series-39</t>
        </is>
      </c>
      <c r="G105" s="37" t="inlineStr">
        <is>
          <t>SAE J1453 520501</t>
        </is>
      </c>
      <c r="H105" s="37" t="inlineStr">
        <is>
          <t>NOT STARTED</t>
        </is>
      </c>
      <c r="I105" s="37" t="n"/>
      <c r="J105" s="37" t="n">
        <v>3</v>
      </c>
      <c r="K105" s="37" t="n"/>
    </row>
    <row r="106" ht="15" customHeight="1" s="35">
      <c r="A106" s="37" t="inlineStr">
        <is>
          <t>2650</t>
        </is>
      </c>
      <c r="B106" s="37" t="inlineStr">
        <is>
          <t>316</t>
        </is>
      </c>
      <c r="C106" s="37" t="inlineStr">
        <is>
          <t>SS2650 Union Cross series</t>
        </is>
      </c>
      <c r="D106" s="37" t="inlineStr">
        <is>
          <t>Stainless Steel Fittings</t>
        </is>
      </c>
      <c r="E106" s="37" t="inlineStr">
        <is>
          <t>Cross</t>
        </is>
      </c>
      <c r="F106" s="37" t="inlineStr">
        <is>
          <t>https://parts.air-way.com/hydraulic-fittings/stainless-steel-hydraulic-fittings/cross/ss2650-union-cross-series-316</t>
        </is>
      </c>
      <c r="G106" s="37" t="inlineStr">
        <is>
          <t>SAE J514 070501 / MS51517</t>
        </is>
      </c>
      <c r="H106" s="37" t="inlineStr">
        <is>
          <t>NOT STARTED</t>
        </is>
      </c>
      <c r="I106" s="37" t="n"/>
      <c r="J106" s="37" t="n">
        <v>2</v>
      </c>
      <c r="K106" s="37" t="n"/>
    </row>
    <row r="107" ht="15" customHeight="1" s="35">
      <c r="A107" s="37" t="inlineStr">
        <is>
          <t>2651</t>
        </is>
      </c>
      <c r="B107" s="37" t="inlineStr">
        <is>
          <t>204</t>
        </is>
      </c>
      <c r="C107" s="37" t="inlineStr">
        <is>
          <t>2651 Male Branch Cross</t>
        </is>
      </c>
      <c r="D107" s="37" t="inlineStr">
        <is>
          <t>JIC 37 &amp; Beaded Hose</t>
        </is>
      </c>
      <c r="E107" s="37" t="inlineStr">
        <is>
          <t>Cross</t>
        </is>
      </c>
      <c r="F107" s="37" t="inlineStr">
        <is>
          <t>https://parts.air-way.com/hydraulic-fittings/jic-and-beaded-hose-fittings/cross/2651-male-branch-cross-series-204</t>
        </is>
      </c>
      <c r="G107" s="37" t="inlineStr">
        <is>
          <t>none shown</t>
        </is>
      </c>
      <c r="H107" s="37" t="inlineStr">
        <is>
          <t>NOT STARTED</t>
        </is>
      </c>
      <c r="I107" s="37" t="n"/>
      <c r="J107" s="37" t="n">
        <v>3</v>
      </c>
      <c r="K107" s="37" t="n"/>
    </row>
    <row r="108" ht="15" customHeight="1" s="35">
      <c r="A108" s="37" t="inlineStr">
        <is>
          <t>2700</t>
        </is>
      </c>
      <c r="B108" s="37" t="inlineStr">
        <is>
          <t>436</t>
        </is>
      </c>
      <c r="C108" s="37" t="inlineStr">
        <is>
          <t>Brass - 2700 - BHB Bulkhead Union series</t>
        </is>
      </c>
      <c r="D108" s="37" t="inlineStr">
        <is>
          <t>Brass Fittings</t>
        </is>
      </c>
      <c r="E108" s="37" t="inlineStr">
        <is>
          <t>Straight</t>
        </is>
      </c>
      <c r="F108" s="37" t="inlineStr">
        <is>
          <t>https://parts.air-way.com/hydraulic-fittings/brass-hydraulic-fittings/straight/brass-2700-bhb-bulkhead-union-series-436</t>
        </is>
      </c>
      <c r="G108" s="37" t="inlineStr">
        <is>
          <t>none</t>
        </is>
      </c>
      <c r="H108" s="37" t="inlineStr">
        <is>
          <t>NOT STARTED</t>
        </is>
      </c>
      <c r="I108" s="37" t="n"/>
      <c r="J108" s="37" t="n">
        <v>1</v>
      </c>
      <c r="K108" s="37" t="n"/>
    </row>
    <row r="109" ht="15" customHeight="1" s="35">
      <c r="A109" s="37" t="inlineStr">
        <is>
          <t>2700</t>
        </is>
      </c>
      <c r="B109" s="37" t="inlineStr">
        <is>
          <t>332</t>
        </is>
      </c>
      <c r="C109" s="37" t="inlineStr">
        <is>
          <t>F2700 Bulkhead Union</t>
        </is>
      </c>
      <c r="D109" s="37" t="inlineStr">
        <is>
          <t>FLARE-O</t>
        </is>
      </c>
      <c r="E109" s="37" t="inlineStr">
        <is>
          <t>Straight</t>
        </is>
      </c>
      <c r="F109" s="37" t="inlineStr">
        <is>
          <t>https://parts.air-way.com/hydraulic-fittings/flare-o-hydraulic-fittings/straight/f2700-bulkhead-union-series-332</t>
        </is>
      </c>
      <c r="G109" s="37" t="inlineStr">
        <is>
          <t>SAE J514 070601</t>
        </is>
      </c>
      <c r="H109" s="37" t="inlineStr">
        <is>
          <t>NOT STARTED</t>
        </is>
      </c>
      <c r="I109" s="37" t="n"/>
      <c r="J109" s="37" t="n">
        <v>13</v>
      </c>
      <c r="K109" s="37" t="n"/>
    </row>
    <row r="110" ht="15" customHeight="1" s="35">
      <c r="A110" s="37" t="inlineStr">
        <is>
          <t>2700</t>
        </is>
      </c>
      <c r="B110" s="37" t="inlineStr">
        <is>
          <t>486</t>
        </is>
      </c>
      <c r="C110" s="37" t="inlineStr">
        <is>
          <t>MFF2700 Bulkhead Union</t>
        </is>
      </c>
      <c r="D110" s="37" t="inlineStr">
        <is>
          <t>International &amp; Metric</t>
        </is>
      </c>
      <c r="E110" s="37" t="inlineStr">
        <is>
          <t>ORFS metric</t>
        </is>
      </c>
      <c r="F110" s="37" t="inlineStr">
        <is>
          <t>https://parts.air-way.com/hydraulic-fittings/international-metric/orfs-metric/mff2700-bulkhead-union-series-486</t>
        </is>
      </c>
      <c r="G110" s="37" t="inlineStr">
        <is>
          <t>SAE J1453 52M0601</t>
        </is>
      </c>
      <c r="H110" s="37" t="inlineStr">
        <is>
          <t>NOT STARTED</t>
        </is>
      </c>
      <c r="I110" s="37" t="n"/>
      <c r="J110" s="37" t="n">
        <v>5</v>
      </c>
      <c r="K110" s="37" t="n"/>
    </row>
    <row r="111" ht="15" customHeight="1" s="35">
      <c r="A111" s="37" t="inlineStr">
        <is>
          <t>2700</t>
        </is>
      </c>
      <c r="B111" s="37" t="inlineStr">
        <is>
          <t>72</t>
        </is>
      </c>
      <c r="C111" s="37" t="inlineStr">
        <is>
          <t>2700 Bulkhead Union</t>
        </is>
      </c>
      <c r="D111" s="37" t="inlineStr">
        <is>
          <t>JIC 37 &amp; Beaded Hose</t>
        </is>
      </c>
      <c r="E111" s="37" t="inlineStr">
        <is>
          <t>Straight</t>
        </is>
      </c>
      <c r="F111" s="37" t="inlineStr">
        <is>
          <t>https://parts.air-way.com/hydraulic-fittings/jic-and-beaded-hose-fittings/straight/2700-bulkhead-union-series-72</t>
        </is>
      </c>
      <c r="G111" s="37" t="inlineStr">
        <is>
          <t>SAE J514 070601 / MS51520</t>
        </is>
      </c>
      <c r="H111" s="37" t="inlineStr">
        <is>
          <t>NOT STARTED</t>
        </is>
      </c>
      <c r="I111" s="37" t="n"/>
      <c r="J111" s="37" t="n">
        <v>24</v>
      </c>
      <c r="K111" s="37" t="n"/>
    </row>
    <row r="112" ht="15" customHeight="1" s="35">
      <c r="A112" s="37" t="inlineStr">
        <is>
          <t>2700</t>
        </is>
      </c>
      <c r="B112" s="37" t="inlineStr">
        <is>
          <t>13</t>
        </is>
      </c>
      <c r="C112" s="37" t="inlineStr">
        <is>
          <t>FF2700 Bulkhead Union</t>
        </is>
      </c>
      <c r="D112" s="37" t="inlineStr">
        <is>
          <t>ORFS</t>
        </is>
      </c>
      <c r="E112" s="37" t="inlineStr">
        <is>
          <t>Straight</t>
        </is>
      </c>
      <c r="F112" s="37" t="inlineStr">
        <is>
          <t>https://parts.air-way.com/hydraulic-fittings/o-ring-face-seal-orfs-hydraulic-fittings/straight/ff2700-bulkhead-union-series-13</t>
        </is>
      </c>
      <c r="G112" s="37" t="inlineStr">
        <is>
          <t>SAE J1453 520601</t>
        </is>
      </c>
      <c r="H112" s="37" t="inlineStr">
        <is>
          <t>NOT STARTED</t>
        </is>
      </c>
      <c r="I112" s="37" t="n"/>
      <c r="J112" s="37" t="n">
        <v>20</v>
      </c>
      <c r="K112" s="37" t="n"/>
    </row>
    <row r="113" ht="15" customHeight="1" s="35">
      <c r="A113" s="37" t="inlineStr">
        <is>
          <t>2700</t>
        </is>
      </c>
      <c r="B113" s="37" t="inlineStr">
        <is>
          <t>238</t>
        </is>
      </c>
      <c r="C113" s="37" t="inlineStr">
        <is>
          <t>SS2700 Bulkhead Union series</t>
        </is>
      </c>
      <c r="D113" s="37" t="inlineStr">
        <is>
          <t>Stainless Steel Fittings</t>
        </is>
      </c>
      <c r="E113" s="37" t="inlineStr">
        <is>
          <t>Straight</t>
        </is>
      </c>
      <c r="F113" s="37" t="inlineStr">
        <is>
          <t>https://parts.air-way.com/hydraulic-fittings/stainless-steel-hydraulic-fittings/straight/ss2700-bulkhead-union-series-238</t>
        </is>
      </c>
      <c r="G113" s="37" t="inlineStr">
        <is>
          <t>SAE J514 070601 / MS51520</t>
        </is>
      </c>
      <c r="H113" s="37" t="inlineStr">
        <is>
          <t>NOT STARTED</t>
        </is>
      </c>
      <c r="I113" s="37" t="n"/>
      <c r="J113" s="37" t="n">
        <v>20</v>
      </c>
      <c r="K113" s="37" t="n"/>
    </row>
    <row r="114" ht="15" customHeight="1" s="35">
      <c r="A114" s="37" t="inlineStr">
        <is>
          <t>2700-LN</t>
        </is>
      </c>
      <c r="B114" s="37" t="inlineStr">
        <is>
          <t>463</t>
        </is>
      </c>
      <c r="C114" s="37" t="inlineStr">
        <is>
          <t>MBS2700-LN Threaded Straight Fitting, BSPP 60° Cone to BSPP 60° Cone Bulkhead</t>
        </is>
      </c>
      <c r="D114" s="37" t="inlineStr">
        <is>
          <t>International &amp; Metric</t>
        </is>
      </c>
      <c r="E114" s="37" t="inlineStr">
        <is>
          <t>BSPP ISO 8434-6</t>
        </is>
      </c>
      <c r="F114" s="37" t="inlineStr">
        <is>
          <t>https://parts.air-way.com/hydraulic-fittings/international-metric/bspp-iso-8434-6/mbs2700-ln-threaded-straight-fitting-bspp-60-cone-to-bspp-60-cone-bulkhead-series-463</t>
        </is>
      </c>
      <c r="G114" s="37" t="inlineStr">
        <is>
          <t>ISO 8434-6</t>
        </is>
      </c>
      <c r="H114" s="37" t="inlineStr">
        <is>
          <t>NOT STARTED</t>
        </is>
      </c>
      <c r="I114" s="37" t="n"/>
      <c r="J114" s="37" t="n">
        <v>2</v>
      </c>
      <c r="K114" s="37" t="n"/>
    </row>
    <row r="115" ht="15" customHeight="1" s="35">
      <c r="A115" s="37" t="inlineStr">
        <is>
          <t>2701</t>
        </is>
      </c>
      <c r="B115" s="37" t="inlineStr">
        <is>
          <t>346</t>
        </is>
      </c>
      <c r="C115" s="37" t="inlineStr">
        <is>
          <t>F2701 90° Bulkhead Elbow</t>
        </is>
      </c>
      <c r="D115" s="37" t="inlineStr">
        <is>
          <t>FLARE-O</t>
        </is>
      </c>
      <c r="E115" s="37" t="inlineStr">
        <is>
          <t>90°</t>
        </is>
      </c>
      <c r="F115" s="37" t="inlineStr">
        <is>
          <t>https://parts.air-way.com/hydraulic-fittings/flare-o-hydraulic-fittings/90/f2701-90-bulkhead-elbow-series-346</t>
        </is>
      </c>
      <c r="G115" s="37" t="inlineStr">
        <is>
          <t>SAE J514 070701</t>
        </is>
      </c>
      <c r="H115" s="37" t="inlineStr">
        <is>
          <t>NOT STARTED</t>
        </is>
      </c>
      <c r="I115" s="37" t="n"/>
      <c r="J115" s="37" t="n">
        <v>10</v>
      </c>
      <c r="K115" s="37" t="n"/>
    </row>
    <row r="116" ht="15" customHeight="1" s="35">
      <c r="A116" s="37" t="inlineStr">
        <is>
          <t>2701</t>
        </is>
      </c>
      <c r="B116" s="37" t="inlineStr">
        <is>
          <t>123</t>
        </is>
      </c>
      <c r="C116" s="37" t="inlineStr">
        <is>
          <t>2701 90° Bulkhead Elbow</t>
        </is>
      </c>
      <c r="D116" s="37" t="inlineStr">
        <is>
          <t>JIC 37 &amp; Beaded Hose</t>
        </is>
      </c>
      <c r="E116" s="37" t="inlineStr">
        <is>
          <t>90°</t>
        </is>
      </c>
      <c r="F116" s="37" t="inlineStr">
        <is>
          <t>https://parts.air-way.com/hydraulic-fittings/jic-and-beaded-hose-fittings/90/2701-90-bulkhead-elbow-series-123</t>
        </is>
      </c>
      <c r="G116" s="37" t="inlineStr">
        <is>
          <t>SAE J514 070701 / MS51507</t>
        </is>
      </c>
      <c r="H116" s="37" t="inlineStr">
        <is>
          <t>TABLED</t>
        </is>
      </c>
      <c r="I116" s="37" t="n"/>
      <c r="J116" s="37" t="n">
        <v>34</v>
      </c>
      <c r="K116" s="37" t="inlineStr">
        <is>
          <t>TABLED 2026-09-23: double-pass extraction 33 rows (sheet said 34); DesignTable_2701.xlsx; scope vs OMi feed: 13 BUILD / 20 DROP / 2 OMi-only (0 differ only by -FG); 2 source anomaly note(s) in 07_RAW_EXTRACTS/airway_anomalies_2026-09-23.txt</t>
        </is>
      </c>
    </row>
    <row r="117" ht="15" customHeight="1" s="35">
      <c r="A117" s="37" t="inlineStr">
        <is>
          <t>2701</t>
        </is>
      </c>
      <c r="B117" s="37" t="inlineStr">
        <is>
          <t>23</t>
        </is>
      </c>
      <c r="C117" s="37" t="inlineStr">
        <is>
          <t>FF2701 90° Bulkhead Elbow</t>
        </is>
      </c>
      <c r="D117" s="37" t="inlineStr">
        <is>
          <t>ORFS</t>
        </is>
      </c>
      <c r="E117" s="37" t="inlineStr">
        <is>
          <t>90°</t>
        </is>
      </c>
      <c r="F117" s="37" t="inlineStr">
        <is>
          <t>https://parts.air-way.com/hydraulic-fittings/o-ring-face-seal-orfs-hydraulic-fittings/90/ff2701-90-bulkhead-elbow-series-23</t>
        </is>
      </c>
      <c r="G117" s="37" t="inlineStr">
        <is>
          <t>SAE J1453 520701</t>
        </is>
      </c>
      <c r="H117" s="37" t="inlineStr">
        <is>
          <t>NOT STARTED</t>
        </is>
      </c>
      <c r="I117" s="37" t="n"/>
      <c r="J117" s="37" t="n">
        <v>14</v>
      </c>
      <c r="K117" s="37" t="n"/>
    </row>
    <row r="118" ht="15" customHeight="1" s="35">
      <c r="A118" s="37" t="inlineStr">
        <is>
          <t>2701</t>
        </is>
      </c>
      <c r="B118" s="37" t="inlineStr">
        <is>
          <t>274</t>
        </is>
      </c>
      <c r="C118" s="37" t="inlineStr">
        <is>
          <t>SS2701 90° Bulkhead Elbow series</t>
        </is>
      </c>
      <c r="D118" s="37" t="inlineStr">
        <is>
          <t>Stainless Steel Fittings</t>
        </is>
      </c>
      <c r="E118" s="37" t="inlineStr">
        <is>
          <t>90°</t>
        </is>
      </c>
      <c r="F118" s="37" t="inlineStr">
        <is>
          <t>https://parts.air-way.com/hydraulic-fittings/stainless-steel-hydraulic-fittings/90/ss2701-90-bulkhead-elbow-series-274</t>
        </is>
      </c>
      <c r="G118" s="37" t="inlineStr">
        <is>
          <t>SAE J514 070701 / MS51507</t>
        </is>
      </c>
      <c r="H118" s="37" t="inlineStr">
        <is>
          <t>NOT STARTED</t>
        </is>
      </c>
      <c r="I118" s="37" t="n"/>
      <c r="J118" s="37" t="n">
        <v>11</v>
      </c>
      <c r="K118" s="37" t="n"/>
    </row>
    <row r="119" ht="15" customHeight="1" s="35">
      <c r="A119" s="37" t="inlineStr">
        <is>
          <t>2702</t>
        </is>
      </c>
      <c r="B119" s="37" t="inlineStr">
        <is>
          <t>357</t>
        </is>
      </c>
      <c r="C119" s="37" t="inlineStr">
        <is>
          <t>F2702 45° Bulkhead Elbow</t>
        </is>
      </c>
      <c r="D119" s="37" t="inlineStr">
        <is>
          <t>FLARE-O</t>
        </is>
      </c>
      <c r="E119" s="37" t="inlineStr">
        <is>
          <t>45°</t>
        </is>
      </c>
      <c r="F119" s="37" t="inlineStr">
        <is>
          <t>https://parts.air-way.com/hydraulic-fittings/flare-o-hydraulic-fittings/45/f2702-45-bulkhead-elbow-series-357</t>
        </is>
      </c>
      <c r="G119" s="37" t="inlineStr">
        <is>
          <t>SAE J514 070801</t>
        </is>
      </c>
      <c r="H119" s="37" t="inlineStr">
        <is>
          <t>NOT STARTED</t>
        </is>
      </c>
      <c r="I119" s="37" t="n"/>
      <c r="J119" s="37" t="n">
        <v>9</v>
      </c>
      <c r="K119" s="37" t="n"/>
    </row>
    <row r="120" ht="15" customHeight="1" s="35">
      <c r="A120" s="37" t="inlineStr">
        <is>
          <t>2702</t>
        </is>
      </c>
      <c r="B120" s="37" t="inlineStr">
        <is>
          <t>150</t>
        </is>
      </c>
      <c r="C120" s="37" t="inlineStr">
        <is>
          <t>2702 45° Bulkhead Elbow</t>
        </is>
      </c>
      <c r="D120" s="37" t="inlineStr">
        <is>
          <t>JIC 37 &amp; Beaded Hose</t>
        </is>
      </c>
      <c r="E120" s="37" t="inlineStr">
        <is>
          <t>45°</t>
        </is>
      </c>
      <c r="F120" s="37" t="inlineStr">
        <is>
          <t>https://parts.air-way.com/hydraulic-fittings/jic-and-beaded-hose-fittings/45/2702-45-bulkhead-elbow-series-150</t>
        </is>
      </c>
      <c r="G120" s="37" t="inlineStr">
        <is>
          <t>SAE J514 070801 / MS51509</t>
        </is>
      </c>
      <c r="H120" s="37" t="inlineStr">
        <is>
          <t>TABLED</t>
        </is>
      </c>
      <c r="I120" s="37" t="n"/>
      <c r="J120" s="37" t="n">
        <v>28</v>
      </c>
      <c r="K120" s="37" t="inlineStr">
        <is>
          <t>TABLED 2026-09-23: double-pass extraction 29 rows (sheet said 28); DesignTable_2702.xlsx; scope vs OMi feed: 11 BUILD / 18 DROP / 1 OMi-only (1 differ only by -FG); 2 source anomaly note(s) in 07_RAW_EXTRACTS/airway_anomalies_2026-09-23.txt</t>
        </is>
      </c>
    </row>
    <row r="121" ht="15" customHeight="1" s="35">
      <c r="A121" s="37" t="inlineStr">
        <is>
          <t>2702</t>
        </is>
      </c>
      <c r="B121" s="37" t="inlineStr">
        <is>
          <t>29</t>
        </is>
      </c>
      <c r="C121" s="37" t="inlineStr">
        <is>
          <t>FF2702 45° Bulkhead Elbow</t>
        </is>
      </c>
      <c r="D121" s="37" t="inlineStr">
        <is>
          <t>ORFS</t>
        </is>
      </c>
      <c r="E121" s="37" t="inlineStr">
        <is>
          <t>45°</t>
        </is>
      </c>
      <c r="F121" s="37" t="inlineStr">
        <is>
          <t>https://parts.air-way.com/hydraulic-fittings/o-ring-face-seal-orfs-hydraulic-fittings/45/ff2702-45-bulkhead-elbow-series-29</t>
        </is>
      </c>
      <c r="G121" s="37" t="inlineStr">
        <is>
          <t>SAE J1453 520801</t>
        </is>
      </c>
      <c r="H121" s="37" t="inlineStr">
        <is>
          <t>NOT STARTED</t>
        </is>
      </c>
      <c r="I121" s="37" t="n"/>
      <c r="J121" s="37" t="n">
        <v>13</v>
      </c>
      <c r="K121" s="37" t="n"/>
    </row>
    <row r="122" ht="15" customHeight="1" s="35">
      <c r="A122" s="37" t="inlineStr">
        <is>
          <t>2702</t>
        </is>
      </c>
      <c r="B122" s="37" t="inlineStr">
        <is>
          <t>289</t>
        </is>
      </c>
      <c r="C122" s="37" t="inlineStr">
        <is>
          <t>SS2702 45° Bulkhead Elbow series</t>
        </is>
      </c>
      <c r="D122" s="37" t="inlineStr">
        <is>
          <t>Stainless Steel Fittings</t>
        </is>
      </c>
      <c r="E122" s="37" t="inlineStr">
        <is>
          <t>45°</t>
        </is>
      </c>
      <c r="F122" s="37" t="inlineStr">
        <is>
          <t>https://parts.air-way.com/hydraulic-fittings/stainless-steel-hydraulic-fittings/45/ss2702-45-bulkhead-elbow-series-289</t>
        </is>
      </c>
      <c r="G122" s="37" t="inlineStr">
        <is>
          <t>SAE J514 070801 / MS51509</t>
        </is>
      </c>
      <c r="H122" s="37" t="inlineStr">
        <is>
          <t>NOT STARTED</t>
        </is>
      </c>
      <c r="I122" s="37" t="n"/>
      <c r="J122" s="37" t="n">
        <v>7</v>
      </c>
      <c r="K122" s="37" t="n"/>
    </row>
    <row r="123" ht="15" customHeight="1" s="35">
      <c r="A123" s="37" t="inlineStr">
        <is>
          <t>2703</t>
        </is>
      </c>
      <c r="B123" s="37" t="inlineStr">
        <is>
          <t>375</t>
        </is>
      </c>
      <c r="C123" s="37" t="inlineStr">
        <is>
          <t>F2703 Bulkhead Branch Tee</t>
        </is>
      </c>
      <c r="D123" s="37" t="inlineStr">
        <is>
          <t>FLARE-O</t>
        </is>
      </c>
      <c r="E123" s="37" t="inlineStr">
        <is>
          <t>Tee</t>
        </is>
      </c>
      <c r="F123" s="37" t="inlineStr">
        <is>
          <t>https://parts.air-way.com/hydraulic-fittings/flare-o-hydraulic-fittings/tee/f2703-bulkhead-branch-tee-series-375</t>
        </is>
      </c>
      <c r="G123" s="37" t="inlineStr">
        <is>
          <t>SAE J514 070959</t>
        </is>
      </c>
      <c r="H123" s="37" t="inlineStr">
        <is>
          <t>NOT STARTED</t>
        </is>
      </c>
      <c r="I123" s="37" t="n"/>
      <c r="J123" s="37" t="n">
        <v>4</v>
      </c>
      <c r="K123" s="37" t="n"/>
    </row>
    <row r="124" ht="15" customHeight="1" s="35">
      <c r="A124" s="37" t="inlineStr">
        <is>
          <t>2703</t>
        </is>
      </c>
      <c r="B124" s="37" t="inlineStr">
        <is>
          <t>182</t>
        </is>
      </c>
      <c r="C124" s="37" t="inlineStr">
        <is>
          <t>2703 Bulkhead Branch Tee</t>
        </is>
      </c>
      <c r="D124" s="37" t="inlineStr">
        <is>
          <t>JIC 37 &amp; Beaded Hose</t>
        </is>
      </c>
      <c r="E124" s="37" t="inlineStr">
        <is>
          <t>Tee</t>
        </is>
      </c>
      <c r="F124" s="37" t="inlineStr">
        <is>
          <t>https://parts.air-way.com/hydraulic-fittings/jic-and-beaded-hose-fittings/tee/2703-bulkhead-branch-tee-series-182</t>
        </is>
      </c>
      <c r="G124" s="37" t="inlineStr">
        <is>
          <t>SAE J514 070959 / MS51515</t>
        </is>
      </c>
      <c r="H124" s="37" t="inlineStr">
        <is>
          <t>TABLED</t>
        </is>
      </c>
      <c r="I124" s="37" t="n"/>
      <c r="J124" s="37" t="n">
        <v>26</v>
      </c>
      <c r="K124" s="37" t="inlineStr">
        <is>
          <t>TABLED 2026-09-23: double-pass extraction 28 rows (sheet said 26); DesignTable_2703.xlsx; scope vs OMi feed: 12 BUILD / 16 DROP / 0 OMi-only (0 differ only by -FG); 2 source anomaly note(s) in 07_RAW_EXTRACTS/airway_anomalies_2026-09-23.txt</t>
        </is>
      </c>
    </row>
    <row r="125" ht="15" customHeight="1" s="35">
      <c r="A125" s="37" t="inlineStr">
        <is>
          <t>2703</t>
        </is>
      </c>
      <c r="B125" s="37" t="inlineStr">
        <is>
          <t>33</t>
        </is>
      </c>
      <c r="C125" s="37" t="inlineStr">
        <is>
          <t>FF2703 Bulkhead Branch Tee</t>
        </is>
      </c>
      <c r="D125" s="37" t="inlineStr">
        <is>
          <t>ORFS</t>
        </is>
      </c>
      <c r="E125" s="37" t="inlineStr">
        <is>
          <t>Tee</t>
        </is>
      </c>
      <c r="F125" s="37" t="inlineStr">
        <is>
          <t>https://parts.air-way.com/hydraulic-fittings/o-ring-face-seal-orfs-hydraulic-fittings/tee/ff2703-bulkhead-branch-tee-series-33</t>
        </is>
      </c>
      <c r="G125" s="37" t="inlineStr">
        <is>
          <t>SAE J1453 520959</t>
        </is>
      </c>
      <c r="H125" s="37" t="inlineStr">
        <is>
          <t>NOT STARTED</t>
        </is>
      </c>
      <c r="I125" s="37" t="n"/>
      <c r="J125" s="37" t="n">
        <v>15</v>
      </c>
      <c r="K125" s="37" t="n"/>
    </row>
    <row r="126" ht="15" customHeight="1" s="35">
      <c r="A126" s="37" t="inlineStr">
        <is>
          <t>2703</t>
        </is>
      </c>
      <c r="B126" s="37" t="inlineStr">
        <is>
          <t>304</t>
        </is>
      </c>
      <c r="C126" s="37" t="inlineStr">
        <is>
          <t>SS2703 Bulkhead Branch Tee series</t>
        </is>
      </c>
      <c r="D126" s="37" t="inlineStr">
        <is>
          <t>Stainless Steel Fittings</t>
        </is>
      </c>
      <c r="E126" s="37" t="inlineStr">
        <is>
          <t>Tee</t>
        </is>
      </c>
      <c r="F126" s="37" t="inlineStr">
        <is>
          <t>https://parts.air-way.com/hydraulic-fittings/stainless-steel-hydraulic-fittings/tee/ss2703-bulkhead-branch-tee-series-304</t>
        </is>
      </c>
      <c r="G126" s="37" t="inlineStr">
        <is>
          <t>SAE J514 070959 / MS51515</t>
        </is>
      </c>
      <c r="H126" s="37" t="inlineStr">
        <is>
          <t>NOT STARTED</t>
        </is>
      </c>
      <c r="I126" s="37" t="n"/>
      <c r="J126" s="37" t="n">
        <v>6</v>
      </c>
      <c r="K126" s="37" t="n"/>
    </row>
    <row r="127" ht="15" customHeight="1" s="35">
      <c r="A127" s="37" t="inlineStr">
        <is>
          <t>2704</t>
        </is>
      </c>
      <c r="B127" s="37" t="inlineStr">
        <is>
          <t>376</t>
        </is>
      </c>
      <c r="C127" s="37" t="inlineStr">
        <is>
          <t>F2704 Bulkhead Run Tee</t>
        </is>
      </c>
      <c r="D127" s="37" t="inlineStr">
        <is>
          <t>FLARE-O</t>
        </is>
      </c>
      <c r="E127" s="37" t="inlineStr">
        <is>
          <t>Tee</t>
        </is>
      </c>
      <c r="F127" s="37" t="inlineStr">
        <is>
          <t>https://parts.air-way.com/hydraulic-fittings/flare-o-hydraulic-fittings/tee/f2704-bulkhead-run-tee-series-376</t>
        </is>
      </c>
      <c r="G127" s="37" t="inlineStr">
        <is>
          <t>SAE J514 070958</t>
        </is>
      </c>
      <c r="H127" s="37" t="inlineStr">
        <is>
          <t>NOT STARTED</t>
        </is>
      </c>
      <c r="I127" s="37" t="n"/>
      <c r="J127" s="37" t="n">
        <v>3</v>
      </c>
      <c r="K127" s="37" t="n"/>
    </row>
    <row r="128" ht="15" customHeight="1" s="35">
      <c r="A128" s="37" t="inlineStr">
        <is>
          <t>2704</t>
        </is>
      </c>
      <c r="B128" s="37" t="inlineStr">
        <is>
          <t>183</t>
        </is>
      </c>
      <c r="C128" s="37" t="inlineStr">
        <is>
          <t>2704 Bulkhead Run Tee</t>
        </is>
      </c>
      <c r="D128" s="37" t="inlineStr">
        <is>
          <t>JIC 37 &amp; Beaded Hose</t>
        </is>
      </c>
      <c r="E128" s="37" t="inlineStr">
        <is>
          <t>Tee</t>
        </is>
      </c>
      <c r="F128" s="37" t="inlineStr">
        <is>
          <t>https://parts.air-way.com/hydraulic-fittings/jic-and-beaded-hose-fittings/tee/2704-bulkhead-run-tee-series-183</t>
        </is>
      </c>
      <c r="G128" s="37" t="inlineStr">
        <is>
          <t>SAE J514 070958 / MS51516</t>
        </is>
      </c>
      <c r="H128" s="37" t="inlineStr">
        <is>
          <t>TABLED</t>
        </is>
      </c>
      <c r="I128" s="37" t="n"/>
      <c r="J128" s="37" t="n">
        <v>26</v>
      </c>
      <c r="K128" s="37" t="inlineStr">
        <is>
          <t>TABLED 2026-09-23: double-pass extraction 25 rows (sheet said 26); DesignTable_2704.xlsx; scope vs OMi feed: 12 BUILD / 13 DROP / 0 OMi-only (0 differ only by -FG); 1 source anomaly note(s) in 07_RAW_EXTRACTS/airway_anomalies_2026-09-23.txt</t>
        </is>
      </c>
    </row>
    <row r="129" ht="15" customHeight="1" s="35">
      <c r="A129" s="37" t="inlineStr">
        <is>
          <t>2704</t>
        </is>
      </c>
      <c r="B129" s="37" t="inlineStr">
        <is>
          <t>34</t>
        </is>
      </c>
      <c r="C129" s="37" t="inlineStr">
        <is>
          <t>FF2704 Bulkhead Run Tee</t>
        </is>
      </c>
      <c r="D129" s="37" t="inlineStr">
        <is>
          <t>ORFS</t>
        </is>
      </c>
      <c r="E129" s="37" t="inlineStr">
        <is>
          <t>Tee</t>
        </is>
      </c>
      <c r="F129" s="37" t="inlineStr">
        <is>
          <t>https://parts.air-way.com/hydraulic-fittings/o-ring-face-seal-orfs-hydraulic-fittings/tee/ff2704-bulkhead-run-tee-series-34</t>
        </is>
      </c>
      <c r="G129" s="37" t="inlineStr">
        <is>
          <t>SAE J1453 520958</t>
        </is>
      </c>
      <c r="H129" s="37" t="inlineStr">
        <is>
          <t>NOT STARTED</t>
        </is>
      </c>
      <c r="I129" s="37" t="n"/>
      <c r="J129" s="37" t="n">
        <v>18</v>
      </c>
      <c r="K129" s="37" t="n"/>
    </row>
    <row r="130" ht="15" customHeight="1" s="35">
      <c r="A130" s="37" t="inlineStr">
        <is>
          <t>2704</t>
        </is>
      </c>
      <c r="B130" s="37" t="inlineStr">
        <is>
          <t>305</t>
        </is>
      </c>
      <c r="C130" s="37" t="inlineStr">
        <is>
          <t>SS2704 Bulkhead Run Tee series</t>
        </is>
      </c>
      <c r="D130" s="37" t="inlineStr">
        <is>
          <t>Stainless Steel Fittings</t>
        </is>
      </c>
      <c r="E130" s="37" t="inlineStr">
        <is>
          <t>Tee</t>
        </is>
      </c>
      <c r="F130" s="37" t="inlineStr">
        <is>
          <t>https://parts.air-way.com/hydraulic-fittings/stainless-steel-hydraulic-fittings/tee/ss2704-bulkhead-run-tee-series-305</t>
        </is>
      </c>
      <c r="G130" s="37" t="inlineStr">
        <is>
          <t>SAE J514 070958 / MS51516</t>
        </is>
      </c>
      <c r="H130" s="37" t="inlineStr">
        <is>
          <t>NOT STARTED</t>
        </is>
      </c>
      <c r="I130" s="37" t="n"/>
      <c r="J130" s="37" t="n">
        <v>1</v>
      </c>
      <c r="K130" s="37" t="n"/>
    </row>
    <row r="131" ht="15" customHeight="1" s="35">
      <c r="A131" s="37" t="inlineStr">
        <is>
          <t>2705</t>
        </is>
      </c>
      <c r="B131" s="37" t="inlineStr">
        <is>
          <t>333</t>
        </is>
      </c>
      <c r="C131" s="37" t="inlineStr">
        <is>
          <t>F2705 Female Pipe/Bulkhead Connector</t>
        </is>
      </c>
      <c r="D131" s="37" t="inlineStr">
        <is>
          <t>FLARE-O</t>
        </is>
      </c>
      <c r="E131" s="37" t="inlineStr">
        <is>
          <t>Straight</t>
        </is>
      </c>
      <c r="F131" s="37" t="inlineStr">
        <is>
          <t>https://parts.air-way.com/hydraulic-fittings/flare-o-hydraulic-fittings/straight/f2705-female-pipe-bulkhead-connector-series-333</t>
        </is>
      </c>
      <c r="G131" s="37" t="inlineStr">
        <is>
          <t>none shown</t>
        </is>
      </c>
      <c r="H131" s="37" t="inlineStr">
        <is>
          <t>NOT STARTED</t>
        </is>
      </c>
      <c r="I131" s="37" t="n"/>
      <c r="J131" s="37" t="n">
        <v>3</v>
      </c>
      <c r="K131" s="37" t="n"/>
    </row>
    <row r="132" ht="15" customHeight="1" s="35">
      <c r="A132" s="37" t="inlineStr">
        <is>
          <t>2705</t>
        </is>
      </c>
      <c r="B132" s="37" t="inlineStr">
        <is>
          <t>73</t>
        </is>
      </c>
      <c r="C132" s="37" t="inlineStr">
        <is>
          <t>2705 Female Pipe/Bulkhead Connector</t>
        </is>
      </c>
      <c r="D132" s="37" t="inlineStr">
        <is>
          <t>JIC 37 &amp; Beaded Hose</t>
        </is>
      </c>
      <c r="E132" s="37" t="inlineStr">
        <is>
          <t>Straight</t>
        </is>
      </c>
      <c r="F132" s="37" t="inlineStr">
        <is>
          <t>https://parts.air-way.com/hydraulic-fittings/jic-and-beaded-hose-fittings/straight/2705-female-pipe-bulkhead-connector-series-73</t>
        </is>
      </c>
      <c r="G132" s="37" t="inlineStr">
        <is>
          <t>none shown</t>
        </is>
      </c>
      <c r="H132" s="37" t="inlineStr">
        <is>
          <t>TABLED</t>
        </is>
      </c>
      <c r="I132" s="37" t="n"/>
      <c r="J132" s="37" t="n">
        <v>21</v>
      </c>
      <c r="K132" s="37" t="inlineStr">
        <is>
          <t>TABLED 2026-09-23: double-pass extraction 21 rows (sheet said 21); DesignTable_2705.xlsx; scope vs OMi feed: 14 BUILD / 7 DROP / 3 OMi-only (0 differ only by -FG)</t>
        </is>
      </c>
    </row>
    <row r="133" ht="15" customHeight="1" s="35">
      <c r="A133" s="37" t="inlineStr">
        <is>
          <t>2705</t>
        </is>
      </c>
      <c r="B133" s="37" t="inlineStr">
        <is>
          <t>239</t>
        </is>
      </c>
      <c r="C133" s="37" t="inlineStr">
        <is>
          <t>SS2705 Female Pipe/Bulkhead Connector series</t>
        </is>
      </c>
      <c r="D133" s="37" t="inlineStr">
        <is>
          <t>Stainless Steel Fittings</t>
        </is>
      </c>
      <c r="E133" s="37" t="inlineStr">
        <is>
          <t>Straight</t>
        </is>
      </c>
      <c r="F133" s="37" t="inlineStr">
        <is>
          <t>https://parts.air-way.com/hydraulic-fittings/stainless-steel-hydraulic-fittings/straight/ss2705-female-pipe-bulkhead-connector-series-239</t>
        </is>
      </c>
      <c r="G133" s="37" t="inlineStr">
        <is>
          <t>none</t>
        </is>
      </c>
      <c r="H133" s="37" t="inlineStr">
        <is>
          <t>NOT STARTED</t>
        </is>
      </c>
      <c r="I133" s="37" t="n"/>
      <c r="J133" s="37" t="n">
        <v>11</v>
      </c>
      <c r="K133" s="37" t="n"/>
    </row>
    <row r="134" ht="15" customHeight="1" s="35">
      <c r="A134" s="37" t="inlineStr">
        <is>
          <t>2706</t>
        </is>
      </c>
      <c r="B134" s="37" t="inlineStr">
        <is>
          <t>74</t>
        </is>
      </c>
      <c r="C134" s="37" t="inlineStr">
        <is>
          <t>2706 Male Pipe/Bulkhead Connector</t>
        </is>
      </c>
      <c r="D134" s="37" t="inlineStr">
        <is>
          <t>JIC 37 &amp; Beaded Hose</t>
        </is>
      </c>
      <c r="E134" s="37" t="inlineStr">
        <is>
          <t>Straight</t>
        </is>
      </c>
      <c r="F134" s="37" t="inlineStr">
        <is>
          <t>https://parts.air-way.com/hydraulic-fittings/jic-and-beaded-hose-fittings/straight/2706-male-pipe-bulkhead-connector-series-74</t>
        </is>
      </c>
      <c r="G134" s="37" t="inlineStr">
        <is>
          <t>none shown</t>
        </is>
      </c>
      <c r="H134" s="37" t="inlineStr">
        <is>
          <t>TABLED</t>
        </is>
      </c>
      <c r="I134" s="37" t="n"/>
      <c r="J134" s="37" t="n">
        <v>24</v>
      </c>
      <c r="K134" s="37" t="inlineStr">
        <is>
          <t>TABLED 2026-09-23: double-pass extraction 25 rows (sheet said 24); DesignTable_2706.xlsx; scope vs OMi feed: 23 BUILD / 2 DROP / 6 OMi-only (0 differ only by -FG); 1 source anomaly note(s) in 07_RAW_EXTRACTS/airway_anomalies_2026-09-23.txt</t>
        </is>
      </c>
    </row>
    <row r="135" ht="15" customHeight="1" s="35">
      <c r="A135" s="37" t="inlineStr">
        <is>
          <t>2706</t>
        </is>
      </c>
      <c r="B135" s="37" t="inlineStr">
        <is>
          <t>240</t>
        </is>
      </c>
      <c r="C135" s="37" t="inlineStr">
        <is>
          <t>SS2706 Male Pipe/Bulkhead Connector series</t>
        </is>
      </c>
      <c r="D135" s="37" t="inlineStr">
        <is>
          <t>Stainless Steel Fittings</t>
        </is>
      </c>
      <c r="E135" s="37" t="inlineStr">
        <is>
          <t>Straight</t>
        </is>
      </c>
      <c r="F135" s="37" t="inlineStr">
        <is>
          <t>https://parts.air-way.com/hydraulic-fittings/stainless-steel-hydraulic-fittings/straight/ss2706-male-pipe-bulkhead-connector-series-240</t>
        </is>
      </c>
      <c r="G135" s="37" t="inlineStr">
        <is>
          <t>SAE J514 (no numeric code shown)</t>
        </is>
      </c>
      <c r="H135" s="37" t="inlineStr">
        <is>
          <t>NOT STARTED</t>
        </is>
      </c>
      <c r="I135" s="37" t="n"/>
      <c r="J135" s="37" t="n">
        <v>14</v>
      </c>
      <c r="K135" s="37" t="n"/>
    </row>
    <row r="136" ht="15" customHeight="1" s="35">
      <c r="A136" s="37" t="inlineStr">
        <is>
          <t>30039</t>
        </is>
      </c>
      <c r="B136" s="37" t="inlineStr">
        <is>
          <t>509</t>
        </is>
      </c>
      <c r="C136" s="37" t="inlineStr">
        <is>
          <t>30039 37° Female Swivel Tee</t>
        </is>
      </c>
      <c r="D136" s="37" t="inlineStr">
        <is>
          <t>JIC 37 &amp; Beaded Hose</t>
        </is>
      </c>
      <c r="E136" s="37" t="inlineStr">
        <is>
          <t>Tee</t>
        </is>
      </c>
      <c r="F136" s="37" t="inlineStr">
        <is>
          <t>https://parts.air-way.com/hydraulic-fittings/jic-and-beaded-hose-fittings/tee/30039-37-female-swivel-tee-series-509</t>
        </is>
      </c>
      <c r="G136" s="37" t="inlineStr">
        <is>
          <t>SAE J514</t>
        </is>
      </c>
      <c r="H136" s="37" t="inlineStr">
        <is>
          <t>NOT STARTED</t>
        </is>
      </c>
      <c r="I136" s="37" t="n"/>
      <c r="J136" s="37" t="n">
        <v>1</v>
      </c>
      <c r="K136" s="37" t="n"/>
    </row>
    <row r="137" ht="15" customHeight="1" s="35">
      <c r="A137" s="37" t="inlineStr">
        <is>
          <t>302</t>
        </is>
      </c>
      <c r="B137" s="37" t="inlineStr">
        <is>
          <t>42</t>
        </is>
      </c>
      <c r="C137" s="37" t="inlineStr">
        <is>
          <t>302 Short Nut</t>
        </is>
      </c>
      <c r="D137" s="37" t="inlineStr">
        <is>
          <t>JIC 37 &amp; Beaded Hose</t>
        </is>
      </c>
      <c r="E137" s="37" t="inlineStr">
        <is>
          <t>Tube Nuts</t>
        </is>
      </c>
      <c r="F137" s="37" t="inlineStr">
        <is>
          <t>https://parts.air-way.com/hydraulic-fittings/jic-and-beaded-hose-fittings/tube-nuts/302-short-nut-series-42</t>
        </is>
      </c>
      <c r="G137" s="37" t="inlineStr">
        <is>
          <t>none shown</t>
        </is>
      </c>
      <c r="H137" s="37" t="inlineStr">
        <is>
          <t>NOT STARTED</t>
        </is>
      </c>
      <c r="I137" s="37" t="n"/>
      <c r="J137" s="37" t="n">
        <v>6</v>
      </c>
      <c r="K137" s="37" t="n"/>
    </row>
    <row r="138" ht="15" customHeight="1" s="35">
      <c r="A138" s="37" t="inlineStr">
        <is>
          <t>304</t>
        </is>
      </c>
      <c r="B138" s="37" t="inlineStr">
        <is>
          <t>458</t>
        </is>
      </c>
      <c r="C138" s="37" t="inlineStr">
        <is>
          <t>MBS304 Threaded Straight Fitting, BSPP 60° Cone Swivel Cap Nut</t>
        </is>
      </c>
      <c r="D138" s="37" t="inlineStr">
        <is>
          <t>International &amp; Metric</t>
        </is>
      </c>
      <c r="E138" s="37" t="inlineStr">
        <is>
          <t>BSPP ISO 8434-6</t>
        </is>
      </c>
      <c r="F138" s="37" t="inlineStr">
        <is>
          <t>https://parts.air-way.com/hydraulic-fittings/international-metric/bspp-iso-8434-6/mbs304-threaded-straight-fitting-bspp-60-cone-swivel-cap-nut-series-458</t>
        </is>
      </c>
      <c r="G138" s="37" t="inlineStr">
        <is>
          <t>ISO 8434-6</t>
        </is>
      </c>
      <c r="H138" s="37" t="inlineStr">
        <is>
          <t>NOT STARTED</t>
        </is>
      </c>
      <c r="I138" s="37" t="n"/>
      <c r="J138" s="37" t="n">
        <v>4</v>
      </c>
      <c r="K138" s="37" t="n"/>
    </row>
    <row r="139" ht="15" customHeight="1" s="35">
      <c r="A139" s="37" t="inlineStr">
        <is>
          <t>304</t>
        </is>
      </c>
      <c r="B139" s="37" t="inlineStr">
        <is>
          <t>43</t>
        </is>
      </c>
      <c r="C139" s="37" t="inlineStr">
        <is>
          <t>304 Standard Nut</t>
        </is>
      </c>
      <c r="D139" s="37" t="inlineStr">
        <is>
          <t>JIC 37 &amp; Beaded Hose</t>
        </is>
      </c>
      <c r="E139" s="37" t="inlineStr">
        <is>
          <t>Tube Nuts</t>
        </is>
      </c>
      <c r="F139" s="37" t="inlineStr">
        <is>
          <t>https://parts.air-way.com/hydraulic-fittings/jic-and-beaded-hose-fittings/tube-nuts/304-standard-nut-series-43</t>
        </is>
      </c>
      <c r="G139" s="37" t="inlineStr">
        <is>
          <t>SAE J514 070111</t>
        </is>
      </c>
      <c r="H139" s="37" t="inlineStr">
        <is>
          <t>TABLED</t>
        </is>
      </c>
      <c r="I139" s="37" t="n"/>
      <c r="J139" s="37" t="n">
        <v>9</v>
      </c>
      <c r="K139" s="37" t="inlineStr">
        <is>
          <t>TABLED 2026-09-23: double-pass extraction 9 rows (sheet said 9); DesignTable_0304.xlsx; scope vs OMi feed: 0 BUILD / 9 DROP / 13 OMi-only (0 differ only by -FG); 1 source anomaly note(s) in 07_RAW_EXTRACTS/airway_anomalies_2026-09-23.txt</t>
        </is>
      </c>
    </row>
    <row r="140" ht="15" customHeight="1" s="35">
      <c r="A140" s="37" t="inlineStr">
        <is>
          <t>304-C</t>
        </is>
      </c>
      <c r="B140" s="37" t="inlineStr">
        <is>
          <t>44</t>
        </is>
      </c>
      <c r="C140" s="37" t="inlineStr">
        <is>
          <t>304-C Cap Nut</t>
        </is>
      </c>
      <c r="D140" s="37" t="inlineStr">
        <is>
          <t>JIC 37 &amp; Beaded Hose</t>
        </is>
      </c>
      <c r="E140" s="37" t="inlineStr">
        <is>
          <t>Tube Nuts</t>
        </is>
      </c>
      <c r="F140" s="37" t="inlineStr">
        <is>
          <t>https://parts.air-way.com/hydraulic-fittings/jic-and-beaded-hose-fittings/tube-nuts/304-c-cap-nut-series-44</t>
        </is>
      </c>
      <c r="G140" s="37" t="inlineStr">
        <is>
          <t>SAE J514 070112 / MS51532</t>
        </is>
      </c>
      <c r="H140" s="37" t="inlineStr">
        <is>
          <t>NOT STARTED</t>
        </is>
      </c>
      <c r="I140" s="37" t="n"/>
      <c r="J140" s="37" t="n">
        <v>13</v>
      </c>
      <c r="K140" s="37" t="n"/>
    </row>
    <row r="141" ht="15" customHeight="1" s="35">
      <c r="A141" s="37" t="inlineStr">
        <is>
          <t>304-C</t>
        </is>
      </c>
      <c r="B141" s="37" t="inlineStr">
        <is>
          <t>2</t>
        </is>
      </c>
      <c r="C141" s="37" t="inlineStr">
        <is>
          <t>FF304-C Cap Nut</t>
        </is>
      </c>
      <c r="D141" s="37" t="inlineStr">
        <is>
          <t>ORFS</t>
        </is>
      </c>
      <c r="E141" s="37" t="inlineStr">
        <is>
          <t>Nut</t>
        </is>
      </c>
      <c r="F141" s="37" t="inlineStr">
        <is>
          <t>https://parts.air-way.com/hydraulic-fittings/o-ring-face-seal-orfs-hydraulic-fittings/nut/ff304-c-cap-nut-series-2</t>
        </is>
      </c>
      <c r="G141" s="37" t="inlineStr">
        <is>
          <t>SAE J1453 520112</t>
        </is>
      </c>
      <c r="H141" s="37" t="inlineStr">
        <is>
          <t>NOT STARTED</t>
        </is>
      </c>
      <c r="I141" s="37" t="n"/>
      <c r="J141" s="37" t="n">
        <v>8</v>
      </c>
      <c r="K141" s="37" t="n"/>
    </row>
    <row r="142" ht="15" customHeight="1" s="35">
      <c r="A142" s="37" t="inlineStr">
        <is>
          <t>304-C</t>
        </is>
      </c>
      <c r="B142" s="37" t="inlineStr">
        <is>
          <t>220</t>
        </is>
      </c>
      <c r="C142" s="37" t="inlineStr">
        <is>
          <t>SS304-C Cap Nut series</t>
        </is>
      </c>
      <c r="D142" s="37" t="inlineStr">
        <is>
          <t>Stainless Steel Fittings</t>
        </is>
      </c>
      <c r="E142" s="37" t="inlineStr">
        <is>
          <t>Nut</t>
        </is>
      </c>
      <c r="F142" s="37" t="inlineStr">
        <is>
          <t>https://parts.air-way.com/hydraulic-fittings/stainless-steel-hydraulic-fittings/nut/ss304-c-cap-nut-series-220</t>
        </is>
      </c>
      <c r="G142" s="37" t="inlineStr">
        <is>
          <t>SAE J514 070112 / MS51532</t>
        </is>
      </c>
      <c r="H142" s="37" t="inlineStr">
        <is>
          <t>NOT STARTED</t>
        </is>
      </c>
      <c r="I142" s="37" t="n"/>
      <c r="J142" s="37" t="n">
        <v>12</v>
      </c>
      <c r="K142" s="37" t="n"/>
    </row>
    <row r="143" ht="15" customHeight="1" s="35">
      <c r="A143" s="37" t="inlineStr">
        <is>
          <t>3051</t>
        </is>
      </c>
      <c r="B143" s="37" t="inlineStr">
        <is>
          <t>124</t>
        </is>
      </c>
      <c r="C143" s="37" t="inlineStr">
        <is>
          <t>3051 90° Short Street Elbow</t>
        </is>
      </c>
      <c r="D143" s="37" t="inlineStr">
        <is>
          <t>JIC 37 &amp; Beaded Hose</t>
        </is>
      </c>
      <c r="E143" s="37" t="inlineStr">
        <is>
          <t>90°</t>
        </is>
      </c>
      <c r="F143" s="37" t="inlineStr">
        <is>
          <t>https://parts.air-way.com/hydraulic-fittings/jic-and-beaded-hose-fittings/90/3051-90-short-street-elbow-series-124</t>
        </is>
      </c>
      <c r="G143" s="37" t="inlineStr">
        <is>
          <t>none shown</t>
        </is>
      </c>
      <c r="H143" s="37" t="inlineStr">
        <is>
          <t>NOT STARTED</t>
        </is>
      </c>
      <c r="I143" s="37" t="n"/>
      <c r="J143" s="37" t="n">
        <v>8</v>
      </c>
      <c r="K143" s="37" t="n"/>
    </row>
    <row r="144" ht="15" customHeight="1" s="35">
      <c r="A144" s="37" t="inlineStr">
        <is>
          <t>306</t>
        </is>
      </c>
      <c r="B144" s="37" t="inlineStr">
        <is>
          <t>3</t>
        </is>
      </c>
      <c r="C144" s="37" t="inlineStr">
        <is>
          <t>FF306 Bulkhead Lock Nut</t>
        </is>
      </c>
      <c r="D144" s="37" t="inlineStr">
        <is>
          <t>ORFS</t>
        </is>
      </c>
      <c r="E144" s="37" t="inlineStr">
        <is>
          <t>Nut</t>
        </is>
      </c>
      <c r="F144" s="37" t="inlineStr">
        <is>
          <t>https://parts.air-way.com/hydraulic-fittings/o-ring-face-seal-orfs-hydraulic-fittings/nut/ff306-bulkhead-lock-nut-series-3</t>
        </is>
      </c>
      <c r="G144" s="37" t="inlineStr">
        <is>
          <t>SAE J1453 520118</t>
        </is>
      </c>
      <c r="H144" s="37" t="inlineStr">
        <is>
          <t>TABLED</t>
        </is>
      </c>
      <c r="I144" s="37" t="n"/>
      <c r="J144" s="37" t="n">
        <v>6</v>
      </c>
      <c r="K144" s="37" t="inlineStr">
        <is>
          <t>TABLED 2026-09-23: double-pass extraction 6 rows (sheet said 6); DesignTable_0306.xlsx; scope vs OMi feed: 0 BUILD / 6 DROP / 12 OMi-only (0 differ only by -FG); 1 source anomaly note(s) in 07_RAW_EXTRACTS/airway_anomalies_2026-09-23.txt</t>
        </is>
      </c>
    </row>
    <row r="145" ht="15" customHeight="1" s="35">
      <c r="A145" s="37" t="inlineStr">
        <is>
          <t>306-LN</t>
        </is>
      </c>
      <c r="B145" s="37" t="inlineStr">
        <is>
          <t>547</t>
        </is>
      </c>
      <c r="C145" s="37" t="inlineStr">
        <is>
          <t>MFF306-LN</t>
        </is>
      </c>
      <c r="D145" s="37" t="inlineStr">
        <is>
          <t>International &amp; Metric</t>
        </is>
      </c>
      <c r="E145" s="37" t="inlineStr">
        <is>
          <t>Nuts</t>
        </is>
      </c>
      <c r="F145" s="37" t="inlineStr">
        <is>
          <t>https://parts.air-way.com/hydraulic-fittings/international-metric/nuts/mff306-ln-series-547</t>
        </is>
      </c>
      <c r="G145" s="37" t="inlineStr">
        <is>
          <t>—</t>
        </is>
      </c>
      <c r="H145" s="37" t="inlineStr">
        <is>
          <t>NOT STARTED</t>
        </is>
      </c>
      <c r="I145" s="37" t="n"/>
      <c r="J145" s="37" t="n">
        <v>8</v>
      </c>
      <c r="K145" s="37" t="n"/>
    </row>
    <row r="146" ht="15" customHeight="1" s="35">
      <c r="A146" s="37" t="inlineStr">
        <is>
          <t>306-LN</t>
        </is>
      </c>
      <c r="B146" s="37" t="inlineStr">
        <is>
          <t>45</t>
        </is>
      </c>
      <c r="C146" s="37" t="inlineStr">
        <is>
          <t>306-LN Bulkhead Lock Nut</t>
        </is>
      </c>
      <c r="D146" s="37" t="inlineStr">
        <is>
          <t>JIC 37 &amp; Beaded Hose</t>
        </is>
      </c>
      <c r="E146" s="37" t="inlineStr">
        <is>
          <t>Tube Nuts</t>
        </is>
      </c>
      <c r="F146" s="37" t="inlineStr">
        <is>
          <t>https://parts.air-way.com/hydraulic-fittings/jic-and-beaded-hose-fittings/tube-nuts/306-ln-bulkhead-lock-nut-series-45</t>
        </is>
      </c>
      <c r="G146" s="37" t="inlineStr">
        <is>
          <t>SAE J514 070118 / MS51860</t>
        </is>
      </c>
      <c r="H146" s="37" t="inlineStr">
        <is>
          <t>NOT STARTED</t>
        </is>
      </c>
      <c r="I146" s="37" t="n"/>
      <c r="J146" s="37" t="n">
        <v>12</v>
      </c>
      <c r="K146" s="37" t="n"/>
    </row>
    <row r="147" ht="15" customHeight="1" s="35">
      <c r="A147" s="37" t="inlineStr">
        <is>
          <t>306-LN</t>
        </is>
      </c>
      <c r="B147" s="37" t="inlineStr">
        <is>
          <t>221</t>
        </is>
      </c>
      <c r="C147" s="37" t="inlineStr">
        <is>
          <t>SS306-LN Bulkhead series</t>
        </is>
      </c>
      <c r="D147" s="37" t="inlineStr">
        <is>
          <t>Stainless Steel Fittings</t>
        </is>
      </c>
      <c r="E147" s="37" t="inlineStr">
        <is>
          <t>Nut</t>
        </is>
      </c>
      <c r="F147" s="37" t="inlineStr">
        <is>
          <t>https://parts.air-way.com/hydraulic-fittings/stainless-steel-hydraulic-fittings/nut/ss306-ln-bulkhead-series-221</t>
        </is>
      </c>
      <c r="G147" s="37" t="inlineStr">
        <is>
          <t>SAE J514 070118 / MS51860</t>
        </is>
      </c>
      <c r="H147" s="37" t="inlineStr">
        <is>
          <t>NOT STARTED</t>
        </is>
      </c>
      <c r="I147" s="37" t="n"/>
      <c r="J147" s="37" t="n">
        <v>11</v>
      </c>
      <c r="K147" s="37" t="n"/>
    </row>
    <row r="148" ht="15" customHeight="1" s="35">
      <c r="A148" s="37" t="inlineStr">
        <is>
          <t>306-N</t>
        </is>
      </c>
      <c r="B148" s="37" t="inlineStr">
        <is>
          <t>46</t>
        </is>
      </c>
      <c r="C148" s="37" t="inlineStr">
        <is>
          <t>306-N Adjustable Lock Nut</t>
        </is>
      </c>
      <c r="D148" s="37" t="inlineStr">
        <is>
          <t>JIC 37 &amp; Beaded Hose</t>
        </is>
      </c>
      <c r="E148" s="37" t="inlineStr">
        <is>
          <t>Tube Nuts</t>
        </is>
      </c>
      <c r="F148" s="37" t="inlineStr">
        <is>
          <t>https://parts.air-way.com/hydraulic-fittings/jic-and-beaded-hose-fittings/tube-nuts/306-n-adjustable-lock-nut-series-46</t>
        </is>
      </c>
      <c r="G148" s="37" t="inlineStr">
        <is>
          <t>SAE J514 070117 / MS51888</t>
        </is>
      </c>
      <c r="H148" s="37" t="inlineStr">
        <is>
          <t>NOT STARTED</t>
        </is>
      </c>
      <c r="I148" s="37" t="n"/>
      <c r="J148" s="37" t="n">
        <v>10</v>
      </c>
      <c r="K148" s="37" t="n"/>
    </row>
    <row r="149" ht="15" customHeight="1" s="35">
      <c r="A149" s="37" t="inlineStr">
        <is>
          <t>306-N</t>
        </is>
      </c>
      <c r="B149" s="37" t="inlineStr">
        <is>
          <t>4</t>
        </is>
      </c>
      <c r="C149" s="37" t="inlineStr">
        <is>
          <t>FF306-N Adjustable Lock Nut</t>
        </is>
      </c>
      <c r="D149" s="37" t="inlineStr">
        <is>
          <t>ORFS</t>
        </is>
      </c>
      <c r="E149" s="37" t="inlineStr">
        <is>
          <t>Nut</t>
        </is>
      </c>
      <c r="F149" s="37" t="inlineStr">
        <is>
          <t>https://parts.air-way.com/hydraulic-fittings/o-ring-face-seal-orfs-hydraulic-fittings/nut/ff306-n-adjustable-lock-nut-series-4</t>
        </is>
      </c>
      <c r="G149" s="37" t="inlineStr">
        <is>
          <t>SAE J1453 520117</t>
        </is>
      </c>
      <c r="H149" s="37" t="inlineStr">
        <is>
          <t>NOT STARTED</t>
        </is>
      </c>
      <c r="I149" s="37" t="n"/>
      <c r="J149" s="37" t="n">
        <v>10</v>
      </c>
      <c r="K149" s="37" t="n"/>
    </row>
    <row r="150" ht="15" customHeight="1" s="35">
      <c r="A150" s="37" t="inlineStr">
        <is>
          <t>306-N</t>
        </is>
      </c>
      <c r="B150" s="37" t="inlineStr">
        <is>
          <t>222</t>
        </is>
      </c>
      <c r="C150" s="37" t="inlineStr">
        <is>
          <t>SS306-N Adjustable Lock Nut series</t>
        </is>
      </c>
      <c r="D150" s="37" t="inlineStr">
        <is>
          <t>Stainless Steel Fittings</t>
        </is>
      </c>
      <c r="E150" s="37" t="inlineStr">
        <is>
          <t>Nut</t>
        </is>
      </c>
      <c r="F150" s="37" t="inlineStr">
        <is>
          <t>https://parts.air-way.com/hydraulic-fittings/stainless-steel-hydraulic-fittings/nut/ss306-n-adjustable-lock-nut-series-222</t>
        </is>
      </c>
      <c r="G150" s="37" t="inlineStr">
        <is>
          <t>SAE J514 070117 / MS51888</t>
        </is>
      </c>
      <c r="H150" s="37" t="inlineStr">
        <is>
          <t>NOT STARTED</t>
        </is>
      </c>
      <c r="I150" s="37" t="n"/>
      <c r="J150" s="37" t="n">
        <v>10</v>
      </c>
      <c r="K150" s="37" t="n"/>
    </row>
    <row r="151" ht="15" customHeight="1" s="35">
      <c r="A151" s="37" t="inlineStr">
        <is>
          <t>30760</t>
        </is>
      </c>
      <c r="B151" s="37" t="inlineStr">
        <is>
          <t>527</t>
        </is>
      </c>
      <c r="C151" s="37" t="inlineStr">
        <is>
          <t>MFF30760 Straight Thread Cross</t>
        </is>
      </c>
      <c r="D151" s="37" t="inlineStr">
        <is>
          <t>International &amp; Metric</t>
        </is>
      </c>
      <c r="E151" s="37" t="inlineStr">
        <is>
          <t>ORFS metric</t>
        </is>
      </c>
      <c r="F151" s="37" t="inlineStr">
        <is>
          <t>https://parts.air-way.com/hydraulic-fittings/international-metric/orfs-metric/mff30760-straight-thread-cross-series-527</t>
        </is>
      </c>
      <c r="G151" s="37" t="inlineStr">
        <is>
          <t>SAE J1453-2, ISO 8434-3, ISO 6149</t>
        </is>
      </c>
      <c r="H151" s="37" t="inlineStr">
        <is>
          <t>NOT STARTED</t>
        </is>
      </c>
      <c r="I151" s="37" t="n"/>
      <c r="J151" s="37" t="n">
        <v>4</v>
      </c>
      <c r="K151" s="37" t="n"/>
    </row>
    <row r="152" ht="15" customHeight="1" s="35">
      <c r="A152" s="37" t="inlineStr">
        <is>
          <t>30760</t>
        </is>
      </c>
      <c r="B152" s="37" t="inlineStr">
        <is>
          <t>494</t>
        </is>
      </c>
      <c r="C152" s="37" t="inlineStr">
        <is>
          <t>FF30760 Straight Thread Cross</t>
        </is>
      </c>
      <c r="D152" s="37" t="inlineStr">
        <is>
          <t>ORFS</t>
        </is>
      </c>
      <c r="E152" s="37" t="inlineStr">
        <is>
          <t>Cross</t>
        </is>
      </c>
      <c r="F152" s="37" t="inlineStr">
        <is>
          <t>https://parts.air-way.com/hydraulic-fittings/o-ring-face-seal-orfs-hydraulic-fittings/cross/ff30760-straight-thread-cross-series-494</t>
        </is>
      </c>
      <c r="G152" s="37" t="inlineStr">
        <is>
          <t>SAE J1453-520520</t>
        </is>
      </c>
      <c r="H152" s="37" t="inlineStr">
        <is>
          <t>NOT STARTED</t>
        </is>
      </c>
      <c r="I152" s="37" t="n"/>
      <c r="J152" s="37" t="n">
        <v>4</v>
      </c>
      <c r="K152" s="37" t="n"/>
    </row>
    <row r="153" ht="15" customHeight="1" s="35">
      <c r="A153" s="37" t="inlineStr">
        <is>
          <t>30786</t>
        </is>
      </c>
      <c r="B153" s="37" t="inlineStr">
        <is>
          <t>504</t>
        </is>
      </c>
      <c r="C153" s="37" t="inlineStr">
        <is>
          <t>MFF30786 90º Straight Thread Reducer/Expander Elbow</t>
        </is>
      </c>
      <c r="D153" s="37" t="inlineStr">
        <is>
          <t>International &amp; Metric</t>
        </is>
      </c>
      <c r="E153" s="37" t="inlineStr">
        <is>
          <t>ORFS metric</t>
        </is>
      </c>
      <c r="F153" s="37" t="inlineStr">
        <is>
          <t>https://parts.air-way.com/hydraulic-fittings/international-metric/orfs-metric/mff30786-90º-straight-thread-reducer-expander-elbow-series-504</t>
        </is>
      </c>
      <c r="G153" s="37" t="inlineStr">
        <is>
          <t>SAE J2244/ISO 6149-1 to SAE J2244-2/ISO 6149-2</t>
        </is>
      </c>
      <c r="H153" s="37" t="inlineStr">
        <is>
          <t>NOT STARTED</t>
        </is>
      </c>
      <c r="I153" s="37" t="n"/>
      <c r="J153" s="37" t="n">
        <v>2</v>
      </c>
      <c r="K153" s="37" t="n"/>
    </row>
    <row r="154" ht="15" customHeight="1" s="35">
      <c r="A154" s="37" t="inlineStr">
        <is>
          <t>30786</t>
        </is>
      </c>
      <c r="B154" s="37" t="inlineStr">
        <is>
          <t>510</t>
        </is>
      </c>
      <c r="C154" s="37" t="inlineStr">
        <is>
          <t>30786 90 Degree Straight Thread Reducer/Expander Elbow</t>
        </is>
      </c>
      <c r="D154" s="37" t="inlineStr">
        <is>
          <t>JIC 37 &amp; Beaded Hose</t>
        </is>
      </c>
      <c r="E154" s="37" t="inlineStr">
        <is>
          <t>90°</t>
        </is>
      </c>
      <c r="F154" s="37" t="inlineStr">
        <is>
          <t>https://parts.air-way.com/hydraulic-fittings/jic-and-beaded-hose-fittings/90/30786-90-degree-straight-thread-reducer-expander-elbow-series-510</t>
        </is>
      </c>
      <c r="G154" s="37" t="inlineStr">
        <is>
          <t>SAE J1926-1 &amp; J1926-2</t>
        </is>
      </c>
      <c r="H154" s="37" t="inlineStr">
        <is>
          <t>NOT STARTED</t>
        </is>
      </c>
      <c r="I154" s="37" t="n"/>
      <c r="J154" s="37" t="n">
        <v>12</v>
      </c>
      <c r="K154" s="37" t="n"/>
    </row>
    <row r="155" ht="15" customHeight="1" s="35">
      <c r="A155" s="37" t="inlineStr">
        <is>
          <t>30786</t>
        </is>
      </c>
      <c r="B155" s="37" t="inlineStr">
        <is>
          <t>503</t>
        </is>
      </c>
      <c r="C155" s="37" t="inlineStr">
        <is>
          <t>SS30786 90 Degree Straight Thread Reducer/Expander Elbow series</t>
        </is>
      </c>
      <c r="D155" s="37" t="inlineStr">
        <is>
          <t>Stainless Steel Fittings</t>
        </is>
      </c>
      <c r="E155" s="37" t="inlineStr">
        <is>
          <t>90°</t>
        </is>
      </c>
      <c r="F155" s="37" t="inlineStr">
        <is>
          <t>https://parts.air-way.com/hydraulic-fittings/stainless-steel-hydraulic-fittings/90/ss30786-90-degree-straight-thread-reducer-expander-elbow-series-503</t>
        </is>
      </c>
      <c r="G155" s="37" t="inlineStr">
        <is>
          <t>SAE J1926-3 to J1926-1 PORT</t>
        </is>
      </c>
      <c r="H155" s="37" t="inlineStr">
        <is>
          <t>NOT STARTED</t>
        </is>
      </c>
      <c r="I155" s="37" t="n"/>
      <c r="J155" s="37" t="n">
        <v>2</v>
      </c>
      <c r="K155" s="37" t="n"/>
    </row>
    <row r="156" ht="15" customHeight="1" s="35">
      <c r="A156" s="37" t="inlineStr">
        <is>
          <t>31205</t>
        </is>
      </c>
      <c r="B156" s="37" t="inlineStr">
        <is>
          <t>106</t>
        </is>
      </c>
      <c r="C156" s="37" t="inlineStr">
        <is>
          <t>31205-61 Code 61 Split Flange Clamp</t>
        </is>
      </c>
      <c r="D156" s="37" t="inlineStr">
        <is>
          <t>JIC 37 &amp; Beaded Hose</t>
        </is>
      </c>
      <c r="E156" s="37" t="inlineStr">
        <is>
          <t>Straight</t>
        </is>
      </c>
      <c r="F156" s="37" t="inlineStr">
        <is>
          <t>https://parts.air-way.com/hydraulic-fittings/jic-and-beaded-hose-fittings/straight/31205-61-code-61-split-flange-clamp-series-106</t>
        </is>
      </c>
      <c r="G156" s="37" t="inlineStr">
        <is>
          <t>none shown</t>
        </is>
      </c>
      <c r="H156" s="37" t="inlineStr">
        <is>
          <t>NOT STARTED</t>
        </is>
      </c>
      <c r="I156" s="37" t="n"/>
      <c r="J156" s="37" t="n">
        <v>9</v>
      </c>
      <c r="K156" s="37" t="n"/>
    </row>
    <row r="157" ht="15" customHeight="1" s="35">
      <c r="A157" s="37" t="inlineStr">
        <is>
          <t>31205</t>
        </is>
      </c>
      <c r="B157" s="37" t="inlineStr">
        <is>
          <t>107</t>
        </is>
      </c>
      <c r="C157" s="37" t="inlineStr">
        <is>
          <t>31205-62 Code 62 Split Flange Clamp</t>
        </is>
      </c>
      <c r="D157" s="37" t="inlineStr">
        <is>
          <t>JIC 37 &amp; Beaded Hose</t>
        </is>
      </c>
      <c r="E157" s="37" t="inlineStr">
        <is>
          <t>Straight</t>
        </is>
      </c>
      <c r="F157" s="37" t="inlineStr">
        <is>
          <t>https://parts.air-way.com/hydraulic-fittings/jic-and-beaded-hose-fittings/straight/31205-62-code-62-split-flange-clamp-series-107</t>
        </is>
      </c>
      <c r="G157" s="37" t="inlineStr">
        <is>
          <t>none shown</t>
        </is>
      </c>
      <c r="H157" s="37" t="inlineStr">
        <is>
          <t>NOT STARTED</t>
        </is>
      </c>
      <c r="I157" s="37" t="n"/>
      <c r="J157" s="37" t="n">
        <v>6</v>
      </c>
      <c r="K157" s="37" t="n"/>
    </row>
    <row r="158" ht="15" customHeight="1" s="35">
      <c r="A158" s="37" t="inlineStr">
        <is>
          <t>31254</t>
        </is>
      </c>
      <c r="B158" s="37" t="inlineStr">
        <is>
          <t>519</t>
        </is>
      </c>
      <c r="C158" s="37" t="inlineStr">
        <is>
          <t>31254 Beaded Hose Stem Elbow</t>
        </is>
      </c>
      <c r="D158" s="37" t="inlineStr">
        <is>
          <t>JIC 37 &amp; Beaded Hose</t>
        </is>
      </c>
      <c r="E158" s="37" t="inlineStr">
        <is>
          <t>90°</t>
        </is>
      </c>
      <c r="F158" s="37" t="inlineStr">
        <is>
          <t>https://parts.air-way.com/hydraulic-fittings/jic-and-beaded-hose-fittings/90/31254-beaded-hose-stem-elbow-series-519</t>
        </is>
      </c>
      <c r="G158" s="37" t="inlineStr">
        <is>
          <t>SAE J1231 TYPE 2</t>
        </is>
      </c>
      <c r="H158" s="37" t="inlineStr">
        <is>
          <t>NOT STARTED</t>
        </is>
      </c>
      <c r="I158" s="37" t="n"/>
      <c r="J158" s="37" t="n">
        <v>6</v>
      </c>
      <c r="K158" s="37" t="n"/>
    </row>
    <row r="159" ht="15" customHeight="1" s="35">
      <c r="A159" s="37" t="inlineStr">
        <is>
          <t>31371</t>
        </is>
      </c>
      <c r="B159" s="37" t="inlineStr">
        <is>
          <t>483</t>
        </is>
      </c>
      <c r="C159" s="37" t="inlineStr">
        <is>
          <t>FF31371 ORFS Bulkhead to Stud End</t>
        </is>
      </c>
      <c r="D159" s="37" t="inlineStr">
        <is>
          <t>ORFS</t>
        </is>
      </c>
      <c r="E159" s="37" t="inlineStr">
        <is>
          <t>Straight</t>
        </is>
      </c>
      <c r="F159" s="37" t="inlineStr">
        <is>
          <t>https://parts.air-way.com/hydraulic-fittings/o-ring-face-seal-orfs-hydraulic-fittings/straight/ff31371-orfs-bulkhead-to-stud-end-series-483</t>
        </is>
      </c>
      <c r="G159" s="37" t="inlineStr">
        <is>
          <t>—</t>
        </is>
      </c>
      <c r="H159" s="37" t="inlineStr">
        <is>
          <t>NOT STARTED</t>
        </is>
      </c>
      <c r="I159" s="37" t="n"/>
      <c r="J159" s="37" t="n">
        <v>11</v>
      </c>
      <c r="K159" s="37" t="n"/>
    </row>
    <row r="160" ht="15" customHeight="1" s="35">
      <c r="A160" s="37" t="inlineStr">
        <is>
          <t>31617</t>
        </is>
      </c>
      <c r="B160" s="37" t="inlineStr">
        <is>
          <t>492</t>
        </is>
      </c>
      <c r="C160" s="37" t="inlineStr">
        <is>
          <t>FF31617 Male to Female ORFS Adapter</t>
        </is>
      </c>
      <c r="D160" s="37" t="inlineStr">
        <is>
          <t>ORFS</t>
        </is>
      </c>
      <c r="E160" s="37" t="inlineStr">
        <is>
          <t>Straight</t>
        </is>
      </c>
      <c r="F160" s="37" t="inlineStr">
        <is>
          <t>https://parts.air-way.com/hydraulic-fittings/o-ring-face-seal-orfs-hydraulic-fittings/straight/ff31617-male-to-female-orfs-adapter-series-492</t>
        </is>
      </c>
      <c r="G160" s="37" t="inlineStr">
        <is>
          <t>SAE J1453</t>
        </is>
      </c>
      <c r="H160" s="37" t="inlineStr">
        <is>
          <t>NOT STARTED</t>
        </is>
      </c>
      <c r="I160" s="37" t="n"/>
      <c r="J160" s="37" t="n">
        <v>4</v>
      </c>
      <c r="K160" s="37" t="n"/>
    </row>
    <row r="161" ht="15" customHeight="1" s="35">
      <c r="A161" s="37" t="inlineStr">
        <is>
          <t>31626</t>
        </is>
      </c>
      <c r="B161" s="37" t="inlineStr">
        <is>
          <t>493</t>
        </is>
      </c>
      <c r="C161" s="37" t="inlineStr">
        <is>
          <t>FF31626 ORFS to Straight Thread Branch Tee</t>
        </is>
      </c>
      <c r="D161" s="37" t="inlineStr">
        <is>
          <t>ORFS</t>
        </is>
      </c>
      <c r="E161" s="37" t="inlineStr">
        <is>
          <t>Tee</t>
        </is>
      </c>
      <c r="F161" s="37" t="inlineStr">
        <is>
          <t>https://parts.air-way.com/hydraulic-fittings/o-ring-face-seal-orfs-hydraulic-fittings/tee/ff31626-orfs-to-straight-thread-branch-tee-series-493</t>
        </is>
      </c>
      <c r="G161" s="37" t="inlineStr">
        <is>
          <t>SAE J1453 / J1926-1 &amp; 2</t>
        </is>
      </c>
      <c r="H161" s="37" t="inlineStr">
        <is>
          <t>NOT STARTED</t>
        </is>
      </c>
      <c r="I161" s="37" t="n"/>
      <c r="J161" s="37" t="n">
        <v>2</v>
      </c>
      <c r="K161" s="37" t="n"/>
    </row>
    <row r="162" ht="15" customHeight="1" s="35">
      <c r="A162" s="37" t="inlineStr">
        <is>
          <t>31639</t>
        </is>
      </c>
      <c r="B162" s="37" t="inlineStr">
        <is>
          <t>517</t>
        </is>
      </c>
      <c r="C162" s="37" t="inlineStr">
        <is>
          <t>MFF31639 Male ORFS / Female ORFS / Straight Thread</t>
        </is>
      </c>
      <c r="D162" s="37" t="inlineStr">
        <is>
          <t>International &amp; Metric</t>
        </is>
      </c>
      <c r="E162" s="37" t="inlineStr">
        <is>
          <t>ORFS metric</t>
        </is>
      </c>
      <c r="F162" s="37" t="inlineStr">
        <is>
          <t>https://parts.air-way.com/hydraulic-fittings/international-metric/orfs-metric/mff31639-male-orfs-female-orfs-straight-thread-series-517</t>
        </is>
      </c>
      <c r="G162" s="37" t="inlineStr">
        <is>
          <t>SAE J1453, ISO 6149-1</t>
        </is>
      </c>
      <c r="H162" s="37" t="inlineStr">
        <is>
          <t>NOT STARTED</t>
        </is>
      </c>
      <c r="I162" s="37" t="n"/>
      <c r="J162" s="37" t="n">
        <v>1</v>
      </c>
      <c r="K162" s="37" t="n"/>
    </row>
    <row r="163" ht="15" customHeight="1" s="35">
      <c r="A163" s="37" t="inlineStr">
        <is>
          <t>31639</t>
        </is>
      </c>
      <c r="B163" s="37" t="inlineStr">
        <is>
          <t>498</t>
        </is>
      </c>
      <c r="C163" s="37" t="inlineStr">
        <is>
          <t>FF31639 Male ORFS / Female ORFS / Straight Thread</t>
        </is>
      </c>
      <c r="D163" s="37" t="inlineStr">
        <is>
          <t>ORFS</t>
        </is>
      </c>
      <c r="E163" s="37" t="inlineStr">
        <is>
          <t>Tee</t>
        </is>
      </c>
      <c r="F163" s="37" t="inlineStr">
        <is>
          <t>https://parts.air-way.com/hydraulic-fittings/o-ring-face-seal-orfs-hydraulic-fittings/tee/ff31639-male-orfs-female-orfs-straight-thread-series-498</t>
        </is>
      </c>
      <c r="G163" s="37" t="inlineStr">
        <is>
          <t>SAE J1453 to J1926-1</t>
        </is>
      </c>
      <c r="H163" s="37" t="inlineStr">
        <is>
          <t>NOT STARTED</t>
        </is>
      </c>
      <c r="I163" s="37" t="n"/>
      <c r="J163" s="37" t="n">
        <v>11</v>
      </c>
      <c r="K163" s="37" t="n"/>
    </row>
    <row r="164" ht="15" customHeight="1" s="35">
      <c r="A164" s="37" t="inlineStr">
        <is>
          <t>31681</t>
        </is>
      </c>
      <c r="B164" s="37" t="inlineStr">
        <is>
          <t>518</t>
        </is>
      </c>
      <c r="C164" s="37" t="inlineStr">
        <is>
          <t>MFF31681 Straight Thread / Run ORFS Tee</t>
        </is>
      </c>
      <c r="D164" s="37" t="inlineStr">
        <is>
          <t>International &amp; Metric</t>
        </is>
      </c>
      <c r="E164" s="37" t="inlineStr">
        <is>
          <t>ORFS metric</t>
        </is>
      </c>
      <c r="F164" s="37" t="inlineStr">
        <is>
          <t>https://parts.air-way.com/hydraulic-fittings/international-metric/orfs-metric/mff31681-straight-thread-run-orfs-tee-series-518</t>
        </is>
      </c>
      <c r="G164" s="37" t="inlineStr">
        <is>
          <t>SAE J1926-1, SAE J1926-2, SAE J1453</t>
        </is>
      </c>
      <c r="H164" s="37" t="inlineStr">
        <is>
          <t>NOT STARTED</t>
        </is>
      </c>
      <c r="I164" s="37" t="n"/>
      <c r="J164" s="37" t="n">
        <v>6</v>
      </c>
      <c r="K164" s="37" t="n"/>
    </row>
    <row r="165" ht="15" customHeight="1" s="35">
      <c r="A165" s="37" t="inlineStr">
        <is>
          <t>31682</t>
        </is>
      </c>
      <c r="B165" s="37" t="inlineStr">
        <is>
          <t>502</t>
        </is>
      </c>
      <c r="C165" s="37" t="inlineStr">
        <is>
          <t>FF31682 ORFS to Straight Thread</t>
        </is>
      </c>
      <c r="D165" s="37" t="inlineStr">
        <is>
          <t>ORFS</t>
        </is>
      </c>
      <c r="E165" s="37" t="inlineStr">
        <is>
          <t>Tee</t>
        </is>
      </c>
      <c r="F165" s="37" t="inlineStr">
        <is>
          <t>https://parts.air-way.com/hydraulic-fittings/o-ring-face-seal-orfs-hydraulic-fittings/tee/ff31682-orfs-to-straight-thread-series-502</t>
        </is>
      </c>
      <c r="G165" s="37" t="inlineStr">
        <is>
          <t>—</t>
        </is>
      </c>
      <c r="H165" s="37" t="inlineStr">
        <is>
          <t>NOT STARTED</t>
        </is>
      </c>
      <c r="I165" s="37" t="n"/>
      <c r="J165" s="37" t="n">
        <v>7</v>
      </c>
      <c r="K165" s="37" t="n"/>
    </row>
    <row r="166" ht="15" customHeight="1" s="35">
      <c r="A166" s="37" t="inlineStr">
        <is>
          <t>318</t>
        </is>
      </c>
      <c r="B166" s="37" t="inlineStr">
        <is>
          <t>528</t>
        </is>
      </c>
      <c r="C166" s="37" t="inlineStr">
        <is>
          <t>MFF318 Tube Nut</t>
        </is>
      </c>
      <c r="D166" s="37" t="inlineStr">
        <is>
          <t>International &amp; Metric</t>
        </is>
      </c>
      <c r="E166" s="37" t="inlineStr">
        <is>
          <t>ORFS metric</t>
        </is>
      </c>
      <c r="F166" s="37" t="inlineStr">
        <is>
          <t>https://parts.air-way.com/hydraulic-fittings/international-metric/orfs-metric/mff318-tube-nut-series-528</t>
        </is>
      </c>
      <c r="G166" s="37" t="inlineStr">
        <is>
          <t>SAE J1453-2 52M0110A</t>
        </is>
      </c>
      <c r="H166" s="37" t="inlineStr">
        <is>
          <t>NOT STARTED</t>
        </is>
      </c>
      <c r="I166" s="37" t="n"/>
      <c r="J166" s="37" t="n">
        <v>7</v>
      </c>
      <c r="K166" s="37" t="n"/>
    </row>
    <row r="167" ht="15" customHeight="1" s="35">
      <c r="A167" s="37" t="inlineStr">
        <is>
          <t>318</t>
        </is>
      </c>
      <c r="B167" s="37" t="inlineStr">
        <is>
          <t>47</t>
        </is>
      </c>
      <c r="C167" s="37" t="inlineStr">
        <is>
          <t>318 JIC Nut</t>
        </is>
      </c>
      <c r="D167" s="37" t="inlineStr">
        <is>
          <t>JIC 37 &amp; Beaded Hose</t>
        </is>
      </c>
      <c r="E167" s="37" t="inlineStr">
        <is>
          <t>Tube Nuts</t>
        </is>
      </c>
      <c r="F167" s="37" t="inlineStr">
        <is>
          <t>https://parts.air-way.com/hydraulic-fittings/jic-and-beaded-hose-fittings/tube-nuts/318-jic-nut-series-47</t>
        </is>
      </c>
      <c r="G167" s="37" t="inlineStr">
        <is>
          <t>SAE J514 070110 / MS51531</t>
        </is>
      </c>
      <c r="H167" s="37" t="inlineStr">
        <is>
          <t>TABLED</t>
        </is>
      </c>
      <c r="I167" s="37" t="n"/>
      <c r="J167" s="37" t="n">
        <v>13</v>
      </c>
      <c r="K167" s="37" t="inlineStr">
        <is>
          <t>TABLED 2026-09-23: double-pass extraction 13 rows (sheet said 13); DesignTable_0318.xlsx; scope vs OMi feed: 12 BUILD / 1 DROP / 0 OMi-only (0 differ only by -FG); 1 source anomaly note(s) in 07_RAW_EXTRACTS/airway_anomalies_2026-09-23.txt</t>
        </is>
      </c>
    </row>
    <row r="168" ht="15" customHeight="1" s="35">
      <c r="A168" s="37" t="inlineStr">
        <is>
          <t>318</t>
        </is>
      </c>
      <c r="B168" s="37" t="inlineStr">
        <is>
          <t>5</t>
        </is>
      </c>
      <c r="C168" s="37" t="inlineStr">
        <is>
          <t>FF318 Tube Nut</t>
        </is>
      </c>
      <c r="D168" s="37" t="inlineStr">
        <is>
          <t>ORFS</t>
        </is>
      </c>
      <c r="E168" s="37" t="inlineStr">
        <is>
          <t>Nut</t>
        </is>
      </c>
      <c r="F168" s="37" t="inlineStr">
        <is>
          <t>https://parts.air-way.com/hydraulic-fittings/o-ring-face-seal-orfs-hydraulic-fittings/nut/ff318-tube-nut-series-5</t>
        </is>
      </c>
      <c r="G168" s="37" t="inlineStr">
        <is>
          <t>SAE J1453 520110</t>
        </is>
      </c>
      <c r="H168" s="37" t="inlineStr">
        <is>
          <t>NOT STARTED</t>
        </is>
      </c>
      <c r="I168" s="37" t="n"/>
      <c r="J168" s="37" t="n">
        <v>9</v>
      </c>
      <c r="K168" s="37" t="n"/>
    </row>
    <row r="169" ht="15" customHeight="1" s="35">
      <c r="A169" s="37" t="inlineStr">
        <is>
          <t>318</t>
        </is>
      </c>
      <c r="B169" s="37" t="inlineStr">
        <is>
          <t>223</t>
        </is>
      </c>
      <c r="C169" s="37" t="inlineStr">
        <is>
          <t>SS318 Tube Nut series</t>
        </is>
      </c>
      <c r="D169" s="37" t="inlineStr">
        <is>
          <t>Stainless Steel Fittings</t>
        </is>
      </c>
      <c r="E169" s="37" t="inlineStr">
        <is>
          <t>Nut</t>
        </is>
      </c>
      <c r="F169" s="37" t="inlineStr">
        <is>
          <t>https://parts.air-way.com/hydraulic-fittings/stainless-steel-hydraulic-fittings/nut/ss318-tube-nut-series-223</t>
        </is>
      </c>
      <c r="G169" s="37" t="inlineStr">
        <is>
          <t>SAE J514 070110 / MS51531</t>
        </is>
      </c>
      <c r="H169" s="37" t="inlineStr">
        <is>
          <t>NOT STARTED</t>
        </is>
      </c>
      <c r="I169" s="37" t="n"/>
      <c r="J169" s="37" t="n">
        <v>13</v>
      </c>
      <c r="K169" s="37" t="n"/>
    </row>
    <row r="170" ht="15" customHeight="1" s="35">
      <c r="A170" s="37" t="inlineStr">
        <is>
          <t>31831</t>
        </is>
      </c>
      <c r="B170" s="37" t="inlineStr">
        <is>
          <t>501</t>
        </is>
      </c>
      <c r="C170" s="37" t="inlineStr">
        <is>
          <t>FF31831 Female Straight Thread to Female ORFS Swivel to Male ORFS End</t>
        </is>
      </c>
      <c r="D170" s="37" t="inlineStr">
        <is>
          <t>ORFS</t>
        </is>
      </c>
      <c r="E170" s="37" t="inlineStr">
        <is>
          <t>Tee</t>
        </is>
      </c>
      <c r="F170" s="37" t="inlineStr">
        <is>
          <t>https://parts.air-way.com/hydraulic-fittings/o-ring-face-seal-orfs-hydraulic-fittings/tee/ff31831-female-straight-thread-to-female-orfs-swivel-to-male-orfs-end-series-501</t>
        </is>
      </c>
      <c r="G170" s="37" t="inlineStr">
        <is>
          <t>SAE J1926-1 / 1453-3</t>
        </is>
      </c>
      <c r="H170" s="37" t="inlineStr">
        <is>
          <t>NOT STARTED</t>
        </is>
      </c>
      <c r="I170" s="37" t="n"/>
      <c r="J170" s="37" t="n">
        <v>2</v>
      </c>
      <c r="K170" s="37" t="n"/>
    </row>
    <row r="171" ht="15" customHeight="1" s="35">
      <c r="A171" s="37" t="inlineStr">
        <is>
          <t>319</t>
        </is>
      </c>
      <c r="B171" s="37" t="inlineStr">
        <is>
          <t>48</t>
        </is>
      </c>
      <c r="C171" s="37" t="inlineStr">
        <is>
          <t>319 Sleeve</t>
        </is>
      </c>
      <c r="D171" s="37" t="inlineStr">
        <is>
          <t>JIC 37 &amp; Beaded Hose</t>
        </is>
      </c>
      <c r="E171" s="37" t="inlineStr">
        <is>
          <t>Tube Sleeves</t>
        </is>
      </c>
      <c r="F171" s="37" t="inlineStr">
        <is>
          <t>https://parts.air-way.com/hydraulic-fittings/jic-and-beaded-hose-fittings/tube-sleeves/319-tube-sleeve-series-48</t>
        </is>
      </c>
      <c r="G171" s="37" t="inlineStr">
        <is>
          <t>SAE J514 070115 / MS51533</t>
        </is>
      </c>
      <c r="H171" s="37" t="inlineStr">
        <is>
          <t>TABLED</t>
        </is>
      </c>
      <c r="I171" s="37" t="n"/>
      <c r="J171" s="37" t="n">
        <v>13</v>
      </c>
      <c r="K171" s="37" t="inlineStr">
        <is>
          <t>TABLED 2026-09-23: double-pass extraction 13 rows (sheet said 13); DesignTable_0319.xlsx; scope vs OMi feed: 12 BUILD / 1 DROP / 0 OMi-only (0 differ only by -FG); 1 source anomaly note(s) in 07_RAW_EXTRACTS/airway_anomalies_2026-09-23.txt</t>
        </is>
      </c>
    </row>
    <row r="172" ht="15" customHeight="1" s="35">
      <c r="A172" s="37" t="inlineStr">
        <is>
          <t>319</t>
        </is>
      </c>
      <c r="B172" s="37" t="inlineStr">
        <is>
          <t>6</t>
        </is>
      </c>
      <c r="C172" s="37" t="inlineStr">
        <is>
          <t>FF319 Tube Sleeve</t>
        </is>
      </c>
      <c r="D172" s="37" t="inlineStr">
        <is>
          <t>ORFS</t>
        </is>
      </c>
      <c r="E172" s="37" t="inlineStr">
        <is>
          <t>Sleeve</t>
        </is>
      </c>
      <c r="F172" s="37" t="inlineStr">
        <is>
          <t>https://parts.air-way.com/hydraulic-fittings/o-ring-face-seal-orfs-hydraulic-fittings/sleeve/ff319-tube-sleeve-series-6</t>
        </is>
      </c>
      <c r="G172" s="37" t="inlineStr">
        <is>
          <t>SAE J1453 520115</t>
        </is>
      </c>
      <c r="H172" s="37" t="inlineStr">
        <is>
          <t>NOT STARTED</t>
        </is>
      </c>
      <c r="I172" s="37" t="n"/>
      <c r="J172" s="37" t="n">
        <v>13</v>
      </c>
      <c r="K172" s="37" t="n"/>
    </row>
    <row r="173" ht="15" customHeight="1" s="35">
      <c r="A173" s="37" t="inlineStr">
        <is>
          <t>319</t>
        </is>
      </c>
      <c r="B173" s="37" t="inlineStr">
        <is>
          <t>224</t>
        </is>
      </c>
      <c r="C173" s="37" t="inlineStr">
        <is>
          <t>SS319 Tube Sleeve series</t>
        </is>
      </c>
      <c r="D173" s="37" t="inlineStr">
        <is>
          <t>Stainless Steel Fittings</t>
        </is>
      </c>
      <c r="E173" s="37" t="inlineStr">
        <is>
          <t>Sleeve</t>
        </is>
      </c>
      <c r="F173" s="37" t="inlineStr">
        <is>
          <t>https://parts.air-way.com/hydraulic-fittings/stainless-steel-hydraulic-fittings/sleeve/ss319-tube-sleeve-series-224</t>
        </is>
      </c>
      <c r="G173" s="37" t="inlineStr">
        <is>
          <t>SAE J514 070115 / MS51533</t>
        </is>
      </c>
      <c r="H173" s="37" t="inlineStr">
        <is>
          <t>NOT STARTED</t>
        </is>
      </c>
      <c r="I173" s="37" t="n"/>
      <c r="J173" s="37" t="n">
        <v>13</v>
      </c>
      <c r="K173" s="37" t="n"/>
    </row>
    <row r="174" ht="15" customHeight="1" s="35">
      <c r="A174" s="37" t="inlineStr">
        <is>
          <t>320</t>
        </is>
      </c>
      <c r="B174" s="37" t="inlineStr">
        <is>
          <t>7</t>
        </is>
      </c>
      <c r="C174" s="37" t="inlineStr">
        <is>
          <t>FF320 Tube Sleeve</t>
        </is>
      </c>
      <c r="D174" s="37" t="inlineStr">
        <is>
          <t>ORFS</t>
        </is>
      </c>
      <c r="E174" s="37" t="inlineStr">
        <is>
          <t>Sleeve</t>
        </is>
      </c>
      <c r="F174" s="37" t="inlineStr">
        <is>
          <t>https://parts.air-way.com/hydraulic-fittings/o-ring-face-seal-orfs-hydraulic-fittings/sleeve/ff320-tube-sleeve-series-7</t>
        </is>
      </c>
      <c r="G174" s="37" t="inlineStr">
        <is>
          <t>—</t>
        </is>
      </c>
      <c r="H174" s="37" t="inlineStr">
        <is>
          <t>NOT STARTED</t>
        </is>
      </c>
      <c r="I174" s="37" t="n"/>
      <c r="J174" s="37" t="n">
        <v>6</v>
      </c>
      <c r="K174" s="37" t="n"/>
    </row>
    <row r="175" ht="15" customHeight="1" s="35">
      <c r="A175" s="37" t="inlineStr">
        <is>
          <t>3220</t>
        </is>
      </c>
      <c r="B175" s="37" t="inlineStr">
        <is>
          <t>435</t>
        </is>
      </c>
      <c r="C175" s="37" t="inlineStr">
        <is>
          <t>Brass - 3220 Pipe Reducer Bushing series</t>
        </is>
      </c>
      <c r="D175" s="37" t="inlineStr">
        <is>
          <t>Brass Fittings</t>
        </is>
      </c>
      <c r="E175" s="37" t="inlineStr">
        <is>
          <t>Straight</t>
        </is>
      </c>
      <c r="F175" s="37" t="inlineStr">
        <is>
          <t>https://parts.air-way.com/hydraulic-fittings/brass-hydraulic-fittings/straight/brass-3220-pipe-reducer-bushing-series-435</t>
        </is>
      </c>
      <c r="G175" s="37" t="inlineStr">
        <is>
          <t>none</t>
        </is>
      </c>
      <c r="H175" s="37" t="inlineStr">
        <is>
          <t>NOT STARTED</t>
        </is>
      </c>
      <c r="I175" s="37" t="n"/>
      <c r="J175" s="37" t="n">
        <v>6</v>
      </c>
      <c r="K175" s="37" t="n"/>
    </row>
    <row r="176" ht="15" customHeight="1" s="35">
      <c r="A176" s="37" t="inlineStr">
        <is>
          <t>3300</t>
        </is>
      </c>
      <c r="B176" s="37" t="inlineStr">
        <is>
          <t>75</t>
        </is>
      </c>
      <c r="C176" s="37" t="inlineStr">
        <is>
          <t>3300-61 Braze Code 61 Flanged Head</t>
        </is>
      </c>
      <c r="D176" s="37" t="inlineStr">
        <is>
          <t>JIC 37 &amp; Beaded Hose</t>
        </is>
      </c>
      <c r="E176" s="37" t="inlineStr">
        <is>
          <t>Straight</t>
        </is>
      </c>
      <c r="F176" s="37" t="inlineStr">
        <is>
          <t>https://parts.air-way.com/hydraulic-fittings/jic-and-beaded-hose-fittings/straight/3300-61-braze-code-61-flanged-head-series-75</t>
        </is>
      </c>
      <c r="G176" s="37" t="inlineStr">
        <is>
          <t>none shown</t>
        </is>
      </c>
      <c r="H176" s="37" t="inlineStr">
        <is>
          <t>NOT STARTED</t>
        </is>
      </c>
      <c r="I176" s="37" t="n"/>
      <c r="J176" s="37" t="n">
        <v>4</v>
      </c>
      <c r="K176" s="37" t="n"/>
    </row>
    <row r="177" ht="15" customHeight="1" s="35">
      <c r="A177" s="37" t="inlineStr">
        <is>
          <t>3500</t>
        </is>
      </c>
      <c r="B177" s="37" t="inlineStr">
        <is>
          <t>425</t>
        </is>
      </c>
      <c r="C177" s="37" t="inlineStr">
        <is>
          <t>Brass - 3500F 90 Degree Female Pipe Elbow series</t>
        </is>
      </c>
      <c r="D177" s="37" t="inlineStr">
        <is>
          <t>Brass Fittings</t>
        </is>
      </c>
      <c r="E177" s="37" t="inlineStr">
        <is>
          <t>90°</t>
        </is>
      </c>
      <c r="F177" s="37" t="inlineStr">
        <is>
          <t>https://parts.air-way.com/hydraulic-fittings/brass-hydraulic-fittings/90/brass-3500f-90-degree-female-pipe-elbow-series-425</t>
        </is>
      </c>
      <c r="G177" s="37" t="inlineStr">
        <is>
          <t>none</t>
        </is>
      </c>
      <c r="H177" s="37" t="inlineStr">
        <is>
          <t>NOT STARTED</t>
        </is>
      </c>
      <c r="I177" s="37" t="n"/>
      <c r="J177" s="37" t="n">
        <v>2</v>
      </c>
      <c r="K177" s="37" t="n"/>
    </row>
    <row r="178" ht="15" customHeight="1" s="35">
      <c r="A178" s="37" t="inlineStr">
        <is>
          <t>3838</t>
        </is>
      </c>
      <c r="B178" s="37" t="inlineStr">
        <is>
          <t>508</t>
        </is>
      </c>
      <c r="C178" s="37" t="inlineStr">
        <is>
          <t>3838 45 DEGREE</t>
        </is>
      </c>
      <c r="D178" s="37" t="inlineStr">
        <is>
          <t>JIC 37 &amp; Beaded Hose</t>
        </is>
      </c>
      <c r="E178" s="37" t="inlineStr">
        <is>
          <t>45°</t>
        </is>
      </c>
      <c r="F178" s="37" t="inlineStr">
        <is>
          <t>https://parts.air-way.com/hydraulic-fittings/jic-and-beaded-hose-fittings/45/3838-45-degree-series-508</t>
        </is>
      </c>
      <c r="G178" s="37" t="inlineStr">
        <is>
          <t>SAE J1926-3 to SAE J514</t>
        </is>
      </c>
      <c r="H178" s="37" t="inlineStr">
        <is>
          <t>NOT STARTED</t>
        </is>
      </c>
      <c r="I178" s="37" t="n"/>
      <c r="J178" s="37" t="n">
        <v>4</v>
      </c>
      <c r="K178" s="37" t="n"/>
    </row>
    <row r="179" ht="15" customHeight="1" s="35">
      <c r="A179" s="37" t="inlineStr">
        <is>
          <t>403</t>
        </is>
      </c>
      <c r="B179" s="37" t="inlineStr">
        <is>
          <t>319</t>
        </is>
      </c>
      <c r="C179" s="37" t="inlineStr">
        <is>
          <t>F403 Braze Tube Union</t>
        </is>
      </c>
      <c r="D179" s="37" t="inlineStr">
        <is>
          <t>FLARE-O</t>
        </is>
      </c>
      <c r="E179" s="37" t="inlineStr">
        <is>
          <t>Straight</t>
        </is>
      </c>
      <c r="F179" s="37" t="inlineStr">
        <is>
          <t>https://parts.air-way.com/hydraulic-fittings/flare-o-hydraulic-fittings/straight/f403-braze-tube-union-series-319</t>
        </is>
      </c>
      <c r="G179" s="37" t="inlineStr">
        <is>
          <t>none shown</t>
        </is>
      </c>
      <c r="H179" s="37" t="inlineStr">
        <is>
          <t>NOT STARTED</t>
        </is>
      </c>
      <c r="I179" s="37" t="n"/>
      <c r="J179" s="37" t="n">
        <v>7</v>
      </c>
      <c r="K179" s="37" t="n"/>
    </row>
    <row r="180" ht="15" customHeight="1" s="35">
      <c r="A180" s="37" t="inlineStr">
        <is>
          <t>403</t>
        </is>
      </c>
      <c r="B180" s="37" t="inlineStr">
        <is>
          <t>49</t>
        </is>
      </c>
      <c r="C180" s="37" t="inlineStr">
        <is>
          <t>403 Braze Tube Union</t>
        </is>
      </c>
      <c r="D180" s="37" t="inlineStr">
        <is>
          <t>JIC 37 &amp; Beaded Hose</t>
        </is>
      </c>
      <c r="E180" s="37" t="inlineStr">
        <is>
          <t>Straight</t>
        </is>
      </c>
      <c r="F180" s="37" t="inlineStr">
        <is>
          <t>https://parts.air-way.com/hydraulic-fittings/jic-and-beaded-hose-fittings/straight/403-braze-tube-union-series-49</t>
        </is>
      </c>
      <c r="G180" s="37" t="inlineStr">
        <is>
          <t>none shown</t>
        </is>
      </c>
      <c r="H180" s="37" t="inlineStr">
        <is>
          <t>TABLED</t>
        </is>
      </c>
      <c r="I180" s="37" t="n"/>
      <c r="J180" s="37" t="n">
        <v>34</v>
      </c>
      <c r="K180" s="37" t="inlineStr">
        <is>
          <t>TABLED 2026-09-23: double-pass extraction 34 rows (sheet said 34); DesignTable_0403.xlsx; scope vs OMi feed: 0 BUILD / 34 DROP / 7 OMi-only (7 differ only by -FG); 2 source anomaly note(s) in 07_RAW_EXTRACTS/airway_anomalies_2026-09-23.txt</t>
        </is>
      </c>
    </row>
    <row r="181" ht="15" customHeight="1" s="35">
      <c r="A181" s="37" t="inlineStr">
        <is>
          <t>403</t>
        </is>
      </c>
      <c r="B181" s="37" t="inlineStr">
        <is>
          <t>8</t>
        </is>
      </c>
      <c r="C181" s="37" t="inlineStr">
        <is>
          <t>FF403 Braze Tube Union</t>
        </is>
      </c>
      <c r="D181" s="37" t="inlineStr">
        <is>
          <t>ORFS</t>
        </is>
      </c>
      <c r="E181" s="37" t="inlineStr">
        <is>
          <t>Straight</t>
        </is>
      </c>
      <c r="F181" s="37" t="inlineStr">
        <is>
          <t>https://parts.air-way.com/hydraulic-fittings/o-ring-face-seal-orfs-hydraulic-fittings/straight/ff403-braze-tube-union-series-8</t>
        </is>
      </c>
      <c r="G181" s="37" t="inlineStr">
        <is>
          <t>SAE J1453 520104</t>
        </is>
      </c>
      <c r="H181" s="37" t="inlineStr">
        <is>
          <t>NOT STARTED</t>
        </is>
      </c>
      <c r="I181" s="37" t="n"/>
      <c r="J181" s="37" t="n">
        <v>19</v>
      </c>
      <c r="K181" s="37" t="n"/>
    </row>
    <row r="182" ht="15" customHeight="1" s="35">
      <c r="A182" s="37" t="inlineStr">
        <is>
          <t>403</t>
        </is>
      </c>
      <c r="B182" s="37" t="inlineStr">
        <is>
          <t>225</t>
        </is>
      </c>
      <c r="C182" s="37" t="inlineStr">
        <is>
          <t>SS403 Braze Tube Union series</t>
        </is>
      </c>
      <c r="D182" s="37" t="inlineStr">
        <is>
          <t>Stainless Steel Fittings</t>
        </is>
      </c>
      <c r="E182" s="37" t="inlineStr">
        <is>
          <t>Straight</t>
        </is>
      </c>
      <c r="F182" s="37" t="inlineStr">
        <is>
          <t>https://parts.air-way.com/hydraulic-fittings/stainless-steel-hydraulic-fittings/straight/ss403-braze-tube-union-series-225</t>
        </is>
      </c>
      <c r="G182" s="37" t="inlineStr">
        <is>
          <t>none</t>
        </is>
      </c>
      <c r="H182" s="37" t="inlineStr">
        <is>
          <t>NOT STARTED</t>
        </is>
      </c>
      <c r="I182" s="37" t="n"/>
      <c r="J182" s="37" t="n">
        <v>8</v>
      </c>
      <c r="K182" s="37" t="n"/>
    </row>
    <row r="183" ht="15" customHeight="1" s="35">
      <c r="A183" s="37" t="inlineStr">
        <is>
          <t>403-L</t>
        </is>
      </c>
      <c r="B183" s="37" t="inlineStr">
        <is>
          <t>50</t>
        </is>
      </c>
      <c r="C183" s="37" t="inlineStr">
        <is>
          <t>403-L Braze Bulkhead Union</t>
        </is>
      </c>
      <c r="D183" s="37" t="inlineStr">
        <is>
          <t>JIC 37 &amp; Beaded Hose</t>
        </is>
      </c>
      <c r="E183" s="37" t="inlineStr">
        <is>
          <t>Straight</t>
        </is>
      </c>
      <c r="F183" s="37" t="inlineStr">
        <is>
          <t>https://parts.air-way.com/hydraulic-fittings/jic-and-beaded-hose-fittings/straight/403-l-braze-bulkhead-union-series-50</t>
        </is>
      </c>
      <c r="G183" s="37" t="inlineStr">
        <is>
          <t>none shown</t>
        </is>
      </c>
      <c r="H183" s="37" t="inlineStr">
        <is>
          <t>NOT STARTED</t>
        </is>
      </c>
      <c r="I183" s="37" t="n"/>
      <c r="J183" s="37" t="n">
        <v>3</v>
      </c>
      <c r="K183" s="37" t="n"/>
    </row>
    <row r="184" ht="15" customHeight="1" s="35">
      <c r="A184" s="37" t="inlineStr">
        <is>
          <t>404</t>
        </is>
      </c>
      <c r="B184" s="37" t="inlineStr">
        <is>
          <t>51</t>
        </is>
      </c>
      <c r="C184" s="37" t="inlineStr">
        <is>
          <t>404 Male Pipe Union</t>
        </is>
      </c>
      <c r="D184" s="37" t="inlineStr">
        <is>
          <t>JIC 37 &amp; Beaded Hose</t>
        </is>
      </c>
      <c r="E184" s="37" t="inlineStr">
        <is>
          <t>Straight</t>
        </is>
      </c>
      <c r="F184" s="37" t="inlineStr">
        <is>
          <t>https://parts.air-way.com/hydraulic-fittings/jic-and-beaded-hose-fittings/straight/404-male-pipe-union-series-51</t>
        </is>
      </c>
      <c r="G184" s="37" t="inlineStr">
        <is>
          <t>none shown</t>
        </is>
      </c>
      <c r="H184" s="37" t="inlineStr">
        <is>
          <t>NOT STARTED</t>
        </is>
      </c>
      <c r="I184" s="37" t="n"/>
      <c r="J184" s="37" t="n">
        <v>10</v>
      </c>
      <c r="K184" s="37" t="n"/>
    </row>
    <row r="185" ht="15" customHeight="1" s="35">
      <c r="A185" s="37" t="inlineStr">
        <is>
          <t>404</t>
        </is>
      </c>
      <c r="B185" s="37" t="inlineStr">
        <is>
          <t>226</t>
        </is>
      </c>
      <c r="C185" s="37" t="inlineStr">
        <is>
          <t>SS404 Braze Male Pipe Union series</t>
        </is>
      </c>
      <c r="D185" s="37" t="inlineStr">
        <is>
          <t>Stainless Steel Fittings</t>
        </is>
      </c>
      <c r="E185" s="37" t="inlineStr">
        <is>
          <t>Straight</t>
        </is>
      </c>
      <c r="F185" s="37" t="inlineStr">
        <is>
          <t>https://parts.air-way.com/hydraulic-fittings/stainless-steel-hydraulic-fittings/straight/ss404-braze-male-pipe-union-series-226</t>
        </is>
      </c>
      <c r="G185" s="37" t="inlineStr">
        <is>
          <t>none</t>
        </is>
      </c>
      <c r="H185" s="37" t="inlineStr">
        <is>
          <t>NOT STARTED</t>
        </is>
      </c>
      <c r="I185" s="37" t="n"/>
      <c r="J185" s="37" t="n">
        <v>1</v>
      </c>
      <c r="K185" s="37" t="n"/>
    </row>
    <row r="186" ht="15" customHeight="1" s="35">
      <c r="A186" s="37" t="inlineStr">
        <is>
          <t>4305</t>
        </is>
      </c>
      <c r="B186" s="37" t="inlineStr">
        <is>
          <t>77</t>
        </is>
      </c>
      <c r="C186" s="37" t="inlineStr">
        <is>
          <t>4305 Barbed Hose/37° Female Swivel Connector</t>
        </is>
      </c>
      <c r="D186" s="37" t="inlineStr">
        <is>
          <t>JIC 37 &amp; Beaded Hose</t>
        </is>
      </c>
      <c r="E186" s="37" t="inlineStr">
        <is>
          <t>Straight</t>
        </is>
      </c>
      <c r="F186" s="37" t="inlineStr">
        <is>
          <t>https://parts.air-way.com/hydraulic-fittings/jic-and-beaded-hose-fittings/straight/4305-barbed-hose-37-female-swivel-connector-series-77</t>
        </is>
      </c>
      <c r="G186" s="37" t="inlineStr">
        <is>
          <t>none shown</t>
        </is>
      </c>
      <c r="H186" s="37" t="inlineStr">
        <is>
          <t>NOT STARTED</t>
        </is>
      </c>
      <c r="I186" s="37" t="n"/>
      <c r="J186" s="37" t="n">
        <v>5</v>
      </c>
      <c r="K186" s="37" t="n"/>
    </row>
    <row r="187" ht="15" customHeight="1" s="35">
      <c r="A187" s="37" t="inlineStr">
        <is>
          <t>4404</t>
        </is>
      </c>
      <c r="B187" s="37" t="inlineStr">
        <is>
          <t>78</t>
        </is>
      </c>
      <c r="C187" s="37" t="inlineStr">
        <is>
          <t>4404 Male Pipe Thread Hose Connector</t>
        </is>
      </c>
      <c r="D187" s="37" t="inlineStr">
        <is>
          <t>JIC 37 &amp; Beaded Hose</t>
        </is>
      </c>
      <c r="E187" s="37" t="inlineStr">
        <is>
          <t>Straight</t>
        </is>
      </c>
      <c r="F187" s="37" t="inlineStr">
        <is>
          <t>https://parts.air-way.com/hydraulic-fittings/jic-and-beaded-hose-fittings/straight/4404-male-pipe-thread-hose-connector-series-78</t>
        </is>
      </c>
      <c r="G187" s="37" t="inlineStr">
        <is>
          <t>SAE J1231 430160</t>
        </is>
      </c>
      <c r="H187" s="37" t="inlineStr">
        <is>
          <t>TABLED</t>
        </is>
      </c>
      <c r="I187" s="37" t="n"/>
      <c r="J187" s="37" t="n">
        <v>34</v>
      </c>
      <c r="K187" s="37" t="inlineStr">
        <is>
          <t>TABLED 2026-09-23: double-pass extraction 33 rows (sheet said 34); DesignTable_4404.xlsx; scope vs OMi feed: 13 BUILD / 20 DROP / 0 OMi-only (0 differ only by -FG); 2 source anomaly note(s) in 07_RAW_EXTRACTS/airway_anomalies_2026-09-23.txt</t>
        </is>
      </c>
    </row>
    <row r="188" ht="15" customHeight="1" s="35">
      <c r="A188" s="37" t="inlineStr">
        <is>
          <t>4404</t>
        </is>
      </c>
      <c r="B188" s="37" t="inlineStr">
        <is>
          <t>241</t>
        </is>
      </c>
      <c r="C188" s="37" t="inlineStr">
        <is>
          <t>SS4404 Male Pipe Thread Hose Connector series</t>
        </is>
      </c>
      <c r="D188" s="37" t="inlineStr">
        <is>
          <t>Stainless Steel Fittings</t>
        </is>
      </c>
      <c r="E188" s="37" t="inlineStr">
        <is>
          <t>Straight</t>
        </is>
      </c>
      <c r="F188" s="37" t="inlineStr">
        <is>
          <t>https://parts.air-way.com/hydraulic-fittings/stainless-steel-hydraulic-fittings/straight/ss4404-male-pipe-thread-hose-connector-series-241</t>
        </is>
      </c>
      <c r="G188" s="37" t="inlineStr">
        <is>
          <t>SAE J1231 430160</t>
        </is>
      </c>
      <c r="H188" s="37" t="inlineStr">
        <is>
          <t>NOT STARTED</t>
        </is>
      </c>
      <c r="I188" s="37" t="n"/>
      <c r="J188" s="37" t="n">
        <v>10</v>
      </c>
      <c r="K188" s="37" t="n"/>
    </row>
    <row r="189" ht="15" customHeight="1" s="35">
      <c r="A189" s="37" t="inlineStr">
        <is>
          <t>4501</t>
        </is>
      </c>
      <c r="B189" s="37" t="inlineStr">
        <is>
          <t>125</t>
        </is>
      </c>
      <c r="C189" s="37" t="inlineStr">
        <is>
          <t>4501 90° Male Pipe Hose Fitting</t>
        </is>
      </c>
      <c r="D189" s="37" t="inlineStr">
        <is>
          <t>JIC 37 &amp; Beaded Hose</t>
        </is>
      </c>
      <c r="E189" s="37" t="inlineStr">
        <is>
          <t>90°</t>
        </is>
      </c>
      <c r="F189" s="37" t="inlineStr">
        <is>
          <t>https://parts.air-way.com/hydraulic-fittings/jic-and-beaded-hose-fittings/90/4501-90-male-pipe-hose-fitting-series-125</t>
        </is>
      </c>
      <c r="G189" s="37" t="inlineStr">
        <is>
          <t>SAE J1231 431460</t>
        </is>
      </c>
      <c r="H189" s="37" t="inlineStr">
        <is>
          <t>TABLED</t>
        </is>
      </c>
      <c r="I189" s="37" t="n"/>
      <c r="J189" s="37" t="n">
        <v>35</v>
      </c>
      <c r="K189" s="37" t="inlineStr">
        <is>
          <t>TABLED 2026-09-23: double-pass extraction 33 rows (sheet said 35); DesignTable_4501.xlsx; scope vs OMi feed: 1 BUILD / 32 DROP / 11 OMi-only (11 differ only by -FG); 1 source anomaly note(s) in 07_RAW_EXTRACTS/airway_anomalies_2026-09-23.txt</t>
        </is>
      </c>
    </row>
    <row r="190" ht="15" customHeight="1" s="35">
      <c r="A190" s="37" t="inlineStr">
        <is>
          <t>4501</t>
        </is>
      </c>
      <c r="B190" s="37" t="inlineStr">
        <is>
          <t>548</t>
        </is>
      </c>
      <c r="C190" s="37" t="inlineStr">
        <is>
          <t>SS4501 90º Male Pipe Hose Fitting series</t>
        </is>
      </c>
      <c r="D190" s="37" t="inlineStr">
        <is>
          <t>Stainless Steel Fittings</t>
        </is>
      </c>
      <c r="E190" s="37" t="inlineStr">
        <is>
          <t>90°</t>
        </is>
      </c>
      <c r="F190" s="37" t="inlineStr">
        <is>
          <t>https://parts.air-way.com/hydraulic-fittings/stainless-steel-hydraulic-fittings/90/ss4501-90º-male-pipe-hose-fitting-series-548</t>
        </is>
      </c>
      <c r="G190" s="37" t="inlineStr">
        <is>
          <t>none (SAE Code field empty)</t>
        </is>
      </c>
      <c r="H190" s="37" t="inlineStr">
        <is>
          <t>NOT STARTED</t>
        </is>
      </c>
      <c r="I190" s="37" t="n"/>
      <c r="J190" s="37" t="n">
        <v>9</v>
      </c>
      <c r="K190" s="37" t="n"/>
    </row>
    <row r="191" ht="15" customHeight="1" s="35">
      <c r="A191" s="37" t="inlineStr">
        <is>
          <t>4503</t>
        </is>
      </c>
      <c r="B191" s="37" t="inlineStr">
        <is>
          <t>151</t>
        </is>
      </c>
      <c r="C191" s="37" t="inlineStr">
        <is>
          <t>4503 45° Male Pipe Hose Fitting</t>
        </is>
      </c>
      <c r="D191" s="37" t="inlineStr">
        <is>
          <t>JIC 37 &amp; Beaded Hose</t>
        </is>
      </c>
      <c r="E191" s="37" t="inlineStr">
        <is>
          <t>45°</t>
        </is>
      </c>
      <c r="F191" s="37" t="inlineStr">
        <is>
          <t>https://parts.air-way.com/hydraulic-fittings/jic-and-beaded-hose-fittings/45/4503-45-male-pipe-hose-fitting-series-151</t>
        </is>
      </c>
      <c r="G191" s="37" t="inlineStr">
        <is>
          <t>SAE J1231 430360</t>
        </is>
      </c>
      <c r="H191" s="37" t="inlineStr">
        <is>
          <t>TABLED</t>
        </is>
      </c>
      <c r="I191" s="37" t="n"/>
      <c r="J191" s="37" t="n">
        <v>25</v>
      </c>
      <c r="K191" s="37" t="inlineStr">
        <is>
          <t>TABLED 2026-09-23: double-pass extraction 25 rows (sheet said 25); DesignTable_4503.xlsx; scope vs OMi feed: 0 BUILD / 25 DROP / 7 OMi-only (7 differ only by -FG); 1 source anomaly note(s) in 07_RAW_EXTRACTS/airway_anomalies_2026-09-23.txt</t>
        </is>
      </c>
    </row>
    <row r="192" ht="15" customHeight="1" s="35">
      <c r="A192" s="37" t="inlineStr">
        <is>
          <t>4503</t>
        </is>
      </c>
      <c r="B192" s="37" t="inlineStr">
        <is>
          <t>550</t>
        </is>
      </c>
      <c r="C192" s="37" t="inlineStr">
        <is>
          <t>SS4503 45º Degree Male Pipe Hose Fitting series</t>
        </is>
      </c>
      <c r="D192" s="37" t="inlineStr">
        <is>
          <t>Stainless Steel Fittings</t>
        </is>
      </c>
      <c r="E192" s="37" t="inlineStr">
        <is>
          <t>45°</t>
        </is>
      </c>
      <c r="F192" s="37" t="inlineStr">
        <is>
          <t>https://parts.air-way.com/hydraulic-fittings/stainless-steel-hydraulic-fittings/45/ss4503-45º-degree-male-pipe-hose-fitting-series-550</t>
        </is>
      </c>
      <c r="G192" s="37" t="inlineStr">
        <is>
          <t>SS J1231 430360 (as printed)</t>
        </is>
      </c>
      <c r="H192" s="37" t="inlineStr">
        <is>
          <t>NOT STARTED</t>
        </is>
      </c>
      <c r="I192" s="37" t="n"/>
      <c r="J192" s="37" t="n">
        <v>6</v>
      </c>
      <c r="K192" s="37" t="n"/>
    </row>
    <row r="193" ht="15" customHeight="1" s="35">
      <c r="A193" s="37" t="inlineStr">
        <is>
          <t>4504</t>
        </is>
      </c>
      <c r="B193" s="37" t="inlineStr">
        <is>
          <t>184</t>
        </is>
      </c>
      <c r="C193" s="37" t="inlineStr">
        <is>
          <t>4504 Beaded Hose Fitting Tee</t>
        </is>
      </c>
      <c r="D193" s="37" t="inlineStr">
        <is>
          <t>JIC 37 &amp; Beaded Hose</t>
        </is>
      </c>
      <c r="E193" s="37" t="inlineStr">
        <is>
          <t>Tee</t>
        </is>
      </c>
      <c r="F193" s="37" t="inlineStr">
        <is>
          <t>https://parts.air-way.com/hydraulic-fittings/jic-and-beaded-hose-fittings/tee/4504-beaded-hose-fitting-tee-series-184</t>
        </is>
      </c>
      <c r="G193" s="37" t="inlineStr">
        <is>
          <t>none shown</t>
        </is>
      </c>
      <c r="H193" s="37" t="inlineStr">
        <is>
          <t>NOT STARTED</t>
        </is>
      </c>
      <c r="I193" s="37" t="n"/>
      <c r="J193" s="37" t="n">
        <v>24</v>
      </c>
      <c r="K193" s="37" t="n"/>
    </row>
    <row r="194" ht="15" customHeight="1" s="35">
      <c r="A194" s="37" t="inlineStr">
        <is>
          <t>4505</t>
        </is>
      </c>
      <c r="B194" s="37" t="inlineStr">
        <is>
          <t>185</t>
        </is>
      </c>
      <c r="C194" s="37" t="inlineStr">
        <is>
          <t>4505 Male Pipe Run Hose Fitting Tee</t>
        </is>
      </c>
      <c r="D194" s="37" t="inlineStr">
        <is>
          <t>JIC 37 &amp; Beaded Hose</t>
        </is>
      </c>
      <c r="E194" s="37" t="inlineStr">
        <is>
          <t>Tee</t>
        </is>
      </c>
      <c r="F194" s="37" t="inlineStr">
        <is>
          <t>https://parts.air-way.com/hydraulic-fittings/jic-and-beaded-hose-fittings/tee/4505-male-pipe-run-hose-fitting-tee-series-185</t>
        </is>
      </c>
      <c r="G194" s="37" t="inlineStr">
        <is>
          <t>none shown</t>
        </is>
      </c>
      <c r="H194" s="37" t="inlineStr">
        <is>
          <t>NOT STARTED</t>
        </is>
      </c>
      <c r="I194" s="37" t="n"/>
      <c r="J194" s="37" t="n">
        <v>1</v>
      </c>
      <c r="K194" s="37" t="n"/>
    </row>
    <row r="195" ht="15" customHeight="1" s="35">
      <c r="A195" s="37" t="inlineStr">
        <is>
          <t>4601</t>
        </is>
      </c>
      <c r="B195" s="37" t="inlineStr">
        <is>
          <t>505</t>
        </is>
      </c>
      <c r="C195" s="37" t="inlineStr">
        <is>
          <t>M4601 90 Degree Straight Thread Hose Fitting</t>
        </is>
      </c>
      <c r="D195" s="37" t="inlineStr">
        <is>
          <t>International &amp; Metric</t>
        </is>
      </c>
      <c r="E195" s="37" t="inlineStr">
        <is>
          <t>Metric</t>
        </is>
      </c>
      <c r="F195" s="37" t="inlineStr">
        <is>
          <t>https://parts.air-way.com/hydraulic-fittings/international-metric/metric/m4601-90-degree-straight-thread-hose-fitting-series-505</t>
        </is>
      </c>
      <c r="G195" s="37" t="inlineStr">
        <is>
          <t>SAE J1231, SAE J2244-3, ISO 6149-3</t>
        </is>
      </c>
      <c r="H195" s="37" t="inlineStr">
        <is>
          <t>NOT STARTED</t>
        </is>
      </c>
      <c r="I195" s="37" t="n"/>
      <c r="J195" s="37" t="n">
        <v>10</v>
      </c>
      <c r="K195" s="37" t="n"/>
    </row>
    <row r="196" ht="15" customHeight="1" s="35">
      <c r="A196" s="37" t="inlineStr">
        <is>
          <t>4601</t>
        </is>
      </c>
      <c r="B196" s="37" t="inlineStr">
        <is>
          <t>126</t>
        </is>
      </c>
      <c r="C196" s="37" t="inlineStr">
        <is>
          <t>4601 90° Straight Thread Hose Fitting</t>
        </is>
      </c>
      <c r="D196" s="37" t="inlineStr">
        <is>
          <t>JIC 37 &amp; Beaded Hose</t>
        </is>
      </c>
      <c r="E196" s="37" t="inlineStr">
        <is>
          <t>90°</t>
        </is>
      </c>
      <c r="F196" s="37" t="inlineStr">
        <is>
          <t>https://parts.air-way.com/hydraulic-fittings/jic-and-beaded-hose-fittings/90/4601-90-straight-thread-hose-fitting-series-126</t>
        </is>
      </c>
      <c r="G196" s="37" t="inlineStr">
        <is>
          <t>SAE J1231 431492</t>
        </is>
      </c>
      <c r="H196" s="37" t="inlineStr">
        <is>
          <t>TABLED</t>
        </is>
      </c>
      <c r="I196" s="37" t="n"/>
      <c r="J196" s="37" t="n">
        <v>43</v>
      </c>
      <c r="K196" s="37" t="inlineStr">
        <is>
          <t>TABLED 2026-09-23: double-pass extraction 42 rows (sheet said 43); DesignTable_4601.xlsx; scope vs OMi feed: 6 BUILD / 36 DROP / 9 OMi-only (9 differ only by -FG); 1 source anomaly note(s) in 07_RAW_EXTRACTS/airway_anomalies_2026-09-23.txt</t>
        </is>
      </c>
    </row>
    <row r="197" ht="15" customHeight="1" s="35">
      <c r="A197" s="37" t="inlineStr">
        <is>
          <t>4601</t>
        </is>
      </c>
      <c r="B197" s="37" t="inlineStr">
        <is>
          <t>484</t>
        </is>
      </c>
      <c r="C197" s="37" t="inlineStr">
        <is>
          <t>SS4601 90 Degree Straight Thread Hose Fitting series</t>
        </is>
      </c>
      <c r="D197" s="37" t="inlineStr">
        <is>
          <t>Stainless Steel Fittings</t>
        </is>
      </c>
      <c r="E197" s="37" t="inlineStr">
        <is>
          <t>90°</t>
        </is>
      </c>
      <c r="F197" s="37" t="inlineStr">
        <is>
          <t>https://parts.air-way.com/hydraulic-fittings/stainless-steel-hydraulic-fittings/90/ss4601-90-degree-straight-thread-hose-fitting-series-484</t>
        </is>
      </c>
      <c r="G197" s="37" t="inlineStr">
        <is>
          <t>SAE J1231 431492</t>
        </is>
      </c>
      <c r="H197" s="37" t="inlineStr">
        <is>
          <t>NOT STARTED</t>
        </is>
      </c>
      <c r="I197" s="37" t="n"/>
      <c r="J197" s="37" t="n">
        <v>9</v>
      </c>
      <c r="K197" s="37" t="n"/>
    </row>
    <row r="198" ht="15" customHeight="1" s="35">
      <c r="A198" s="37" t="inlineStr">
        <is>
          <t>4603</t>
        </is>
      </c>
      <c r="B198" s="37" t="inlineStr">
        <is>
          <t>152</t>
        </is>
      </c>
      <c r="C198" s="37" t="inlineStr">
        <is>
          <t>4603 45° Straight Thread Hose Fitting</t>
        </is>
      </c>
      <c r="D198" s="37" t="inlineStr">
        <is>
          <t>JIC 37 &amp; Beaded Hose</t>
        </is>
      </c>
      <c r="E198" s="37" t="inlineStr">
        <is>
          <t>45°</t>
        </is>
      </c>
      <c r="F198" s="37" t="inlineStr">
        <is>
          <t>https://parts.air-way.com/hydraulic-fittings/jic-and-beaded-hose-fittings/45/4603-45-straight-thread-hose-fitting-series-152</t>
        </is>
      </c>
      <c r="G198" s="37" t="inlineStr">
        <is>
          <t>SAE J1231 430392</t>
        </is>
      </c>
      <c r="H198" s="37" t="inlineStr">
        <is>
          <t>TABLED</t>
        </is>
      </c>
      <c r="I198" s="37" t="n"/>
      <c r="J198" s="37" t="n">
        <v>34</v>
      </c>
      <c r="K198" s="37" t="inlineStr">
        <is>
          <t>TABLED 2026-09-23: double-pass extraction 33 rows (sheet said 34); DesignTable_4603.xlsx; scope vs OMi feed: 4 BUILD / 29 DROP / 1 OMi-only (1 differ only by -FG); 1 source anomaly note(s) in 07_RAW_EXTRACTS/airway_anomalies_2026-09-23.txt</t>
        </is>
      </c>
    </row>
    <row r="199" ht="15" customHeight="1" s="35">
      <c r="A199" s="37" t="inlineStr">
        <is>
          <t>4604</t>
        </is>
      </c>
      <c r="B199" s="37" t="inlineStr">
        <is>
          <t>441</t>
        </is>
      </c>
      <c r="C199" s="37" t="inlineStr">
        <is>
          <t>M4604 Threaded Straight Fitting, Hose Connector to Stud End</t>
        </is>
      </c>
      <c r="D199" s="37" t="inlineStr">
        <is>
          <t>International &amp; Metric</t>
        </is>
      </c>
      <c r="E199" s="37" t="inlineStr">
        <is>
          <t>Metric</t>
        </is>
      </c>
      <c r="F199" s="37" t="inlineStr">
        <is>
          <t>https://parts.air-way.com/hydraulic-fittings/international-metric/metric/m4604-threaded-straight-fitting-hose-connector-to-stud-end-series-441</t>
        </is>
      </c>
      <c r="G199" s="37" t="inlineStr">
        <is>
          <t>SAE J1231, SAE J2244-2, ISO 6149-2</t>
        </is>
      </c>
      <c r="H199" s="37" t="inlineStr">
        <is>
          <t>NOT STARTED</t>
        </is>
      </c>
      <c r="I199" s="37" t="n"/>
      <c r="J199" s="37" t="n">
        <v>22</v>
      </c>
      <c r="K199" s="37" t="n"/>
    </row>
    <row r="200" ht="15" customHeight="1" s="35">
      <c r="A200" s="37" t="inlineStr">
        <is>
          <t>4604</t>
        </is>
      </c>
      <c r="B200" s="37" t="inlineStr">
        <is>
          <t>79</t>
        </is>
      </c>
      <c r="C200" s="37" t="inlineStr">
        <is>
          <t>4604 Male Straight Thread Hose Connector</t>
        </is>
      </c>
      <c r="D200" s="37" t="inlineStr">
        <is>
          <t>JIC 37 &amp; Beaded Hose</t>
        </is>
      </c>
      <c r="E200" s="37" t="inlineStr">
        <is>
          <t>Straight</t>
        </is>
      </c>
      <c r="F200" s="37" t="inlineStr">
        <is>
          <t>https://parts.air-way.com/hydraulic-fittings/jic-and-beaded-hose-fittings/straight/4604-male-straight-thread-hose-connector-series-79</t>
        </is>
      </c>
      <c r="G200" s="37" t="inlineStr">
        <is>
          <t>SAE J1231 430192</t>
        </is>
      </c>
      <c r="H200" s="37" t="inlineStr">
        <is>
          <t>TABLED</t>
        </is>
      </c>
      <c r="I200" s="37" t="n"/>
      <c r="J200" s="37" t="n">
        <v>38</v>
      </c>
      <c r="K200" s="37" t="inlineStr">
        <is>
          <t>TABLED 2026-09-23: double-pass extraction 38 rows (sheet said 38); DesignTable_4604.xlsx; scope vs OMi feed: 14 BUILD / 24 DROP / 0 OMi-only (0 differ only by -FG); 2 source anomaly note(s) in 07_RAW_EXTRACTS/airway_anomalies_2026-09-23.txt</t>
        </is>
      </c>
    </row>
    <row r="201" ht="15" customHeight="1" s="35">
      <c r="A201" s="37" t="inlineStr">
        <is>
          <t>4604</t>
        </is>
      </c>
      <c r="B201" s="37" t="inlineStr">
        <is>
          <t>529</t>
        </is>
      </c>
      <c r="C201" s="37" t="inlineStr">
        <is>
          <t>SS4604 MALE STRAIGHT THREAD HOSE CONNECTOR series</t>
        </is>
      </c>
      <c r="D201" s="37" t="inlineStr">
        <is>
          <t>Stainless Steel Fittings</t>
        </is>
      </c>
      <c r="E201" s="37" t="inlineStr">
        <is>
          <t>Straight</t>
        </is>
      </c>
      <c r="F201" s="37" t="inlineStr">
        <is>
          <t>https://parts.air-way.com/hydraulic-fittings/stainless-steel-hydraulic-fittings/straight/ss4604-male-straight-thread-hose-connector-series-529</t>
        </is>
      </c>
      <c r="G201" s="37" t="inlineStr">
        <is>
          <t>SAE J1231 430192</t>
        </is>
      </c>
      <c r="H201" s="37" t="inlineStr">
        <is>
          <t>NOT STARTED</t>
        </is>
      </c>
      <c r="I201" s="37" t="n"/>
      <c r="J201" s="37" t="n">
        <v>10</v>
      </c>
      <c r="K201" s="37" t="n"/>
    </row>
    <row r="202" ht="15" customHeight="1" s="35">
      <c r="A202" s="37" t="inlineStr">
        <is>
          <t>4605</t>
        </is>
      </c>
      <c r="B202" s="37" t="inlineStr">
        <is>
          <t>80</t>
        </is>
      </c>
      <c r="C202" s="37" t="inlineStr">
        <is>
          <t>4605 Male Straight Thread Run Hose Connector</t>
        </is>
      </c>
      <c r="D202" s="37" t="inlineStr">
        <is>
          <t>JIC 37 &amp; Beaded Hose</t>
        </is>
      </c>
      <c r="E202" s="37" t="inlineStr">
        <is>
          <t>Tee</t>
        </is>
      </c>
      <c r="F202" s="37" t="inlineStr">
        <is>
          <t>https://parts.air-way.com/hydraulic-fittings/jic-and-beaded-hose-fittings/tee/4605-male-straight-thread-run-hose-connector-series-80</t>
        </is>
      </c>
      <c r="G202" s="37" t="inlineStr">
        <is>
          <t>none shown</t>
        </is>
      </c>
      <c r="H202" s="37" t="inlineStr">
        <is>
          <t>NOT STARTED</t>
        </is>
      </c>
      <c r="I202" s="37" t="n"/>
      <c r="J202" s="37" t="n">
        <v>9</v>
      </c>
      <c r="K202" s="37" t="n"/>
    </row>
    <row r="203" ht="15" customHeight="1" s="35">
      <c r="A203" s="37" t="inlineStr">
        <is>
          <t>4606</t>
        </is>
      </c>
      <c r="B203" s="37" t="inlineStr">
        <is>
          <t>81</t>
        </is>
      </c>
      <c r="C203" s="37" t="inlineStr">
        <is>
          <t>4606 Male Straight Thread Branch Hose</t>
        </is>
      </c>
      <c r="D203" s="37" t="inlineStr">
        <is>
          <t>JIC 37 &amp; Beaded Hose</t>
        </is>
      </c>
      <c r="E203" s="37" t="inlineStr">
        <is>
          <t>Tee</t>
        </is>
      </c>
      <c r="F203" s="37" t="inlineStr">
        <is>
          <t>https://parts.air-way.com/hydraulic-fittings/jic-and-beaded-hose-fittings/tee/4606-male-straight-thread-branch-hose-series-81</t>
        </is>
      </c>
      <c r="G203" s="37" t="inlineStr">
        <is>
          <t>none shown</t>
        </is>
      </c>
      <c r="H203" s="37" t="inlineStr">
        <is>
          <t>NOT STARTED</t>
        </is>
      </c>
      <c r="I203" s="37" t="n"/>
      <c r="J203" s="37" t="n">
        <v>3</v>
      </c>
      <c r="K203" s="37" t="n"/>
    </row>
    <row r="204" ht="15" customHeight="1" s="35">
      <c r="A204" s="37" t="inlineStr">
        <is>
          <t>500</t>
        </is>
      </c>
      <c r="B204" s="37" t="inlineStr">
        <is>
          <t>109</t>
        </is>
      </c>
      <c r="C204" s="37" t="inlineStr">
        <is>
          <t>500 Braze 90° Tube Elbow</t>
        </is>
      </c>
      <c r="D204" s="37" t="inlineStr">
        <is>
          <t>JIC 37 &amp; Beaded Hose</t>
        </is>
      </c>
      <c r="E204" s="37" t="inlineStr">
        <is>
          <t>90°</t>
        </is>
      </c>
      <c r="F204" s="37" t="inlineStr">
        <is>
          <t>https://parts.air-way.com/hydraulic-fittings/jic-and-beaded-hose-fittings/90/500-braze-90-tube-elbow-series-109</t>
        </is>
      </c>
      <c r="G204" s="37" t="inlineStr">
        <is>
          <t>none shown</t>
        </is>
      </c>
      <c r="H204" s="37" t="inlineStr">
        <is>
          <t>NOT STARTED</t>
        </is>
      </c>
      <c r="I204" s="37" t="n"/>
      <c r="J204" s="37" t="n">
        <v>11</v>
      </c>
      <c r="K204" s="37" t="n"/>
    </row>
    <row r="205" ht="15" customHeight="1" s="35">
      <c r="A205" s="37" t="inlineStr">
        <is>
          <t>5000</t>
        </is>
      </c>
      <c r="B205" s="37" t="inlineStr">
        <is>
          <t>82</t>
        </is>
      </c>
      <c r="C205" s="37" t="inlineStr">
        <is>
          <t>5000 Hexagon Pipe Coupling</t>
        </is>
      </c>
      <c r="D205" s="37" t="inlineStr">
        <is>
          <t>JIC 37 &amp; Beaded Hose</t>
        </is>
      </c>
      <c r="E205" s="37" t="inlineStr">
        <is>
          <t>Straight</t>
        </is>
      </c>
      <c r="F205" s="37" t="inlineStr">
        <is>
          <t>https://parts.air-way.com/hydraulic-fittings/jic-and-beaded-hose-fittings/straight/5000-hexagon-pipe-coupling-series-82</t>
        </is>
      </c>
      <c r="G205" s="37" t="inlineStr">
        <is>
          <t>SAE J514 140138</t>
        </is>
      </c>
      <c r="H205" s="37" t="inlineStr">
        <is>
          <t>NOT STARTED</t>
        </is>
      </c>
      <c r="I205" s="37" t="n"/>
      <c r="J205" s="37" t="n">
        <v>19</v>
      </c>
      <c r="K205" s="37" t="n"/>
    </row>
    <row r="206" ht="15" customHeight="1" s="35">
      <c r="A206" s="37" t="inlineStr">
        <is>
          <t>5000</t>
        </is>
      </c>
      <c r="B206" s="37" t="inlineStr">
        <is>
          <t>242</t>
        </is>
      </c>
      <c r="C206" s="37" t="inlineStr">
        <is>
          <t>SS5000 Hexagon Pipe Coupling series</t>
        </is>
      </c>
      <c r="D206" s="37" t="inlineStr">
        <is>
          <t>Stainless Steel Fittings</t>
        </is>
      </c>
      <c r="E206" s="37" t="inlineStr">
        <is>
          <t>Straight</t>
        </is>
      </c>
      <c r="F206" s="37" t="inlineStr">
        <is>
          <t>https://parts.air-way.com/hydraulic-fittings/stainless-steel-hydraulic-fittings/straight/ss5000-hexagon-pipe-coupling-series-242</t>
        </is>
      </c>
      <c r="G206" s="37" t="inlineStr">
        <is>
          <t>SAE J514 140138</t>
        </is>
      </c>
      <c r="H206" s="37" t="inlineStr">
        <is>
          <t>NOT STARTED</t>
        </is>
      </c>
      <c r="I206" s="37" t="n"/>
      <c r="J206" s="37" t="n">
        <v>14</v>
      </c>
      <c r="K206" s="37" t="n"/>
    </row>
    <row r="207" ht="15" customHeight="1" s="35">
      <c r="A207" s="37" t="inlineStr">
        <is>
          <t>5404</t>
        </is>
      </c>
      <c r="B207" s="37" t="inlineStr">
        <is>
          <t>83</t>
        </is>
      </c>
      <c r="C207" s="37" t="inlineStr">
        <is>
          <t>5404 Hexagon Pipe Nipple</t>
        </is>
      </c>
      <c r="D207" s="37" t="inlineStr">
        <is>
          <t>JIC 37 &amp; Beaded Hose</t>
        </is>
      </c>
      <c r="E207" s="37" t="inlineStr">
        <is>
          <t>Straight</t>
        </is>
      </c>
      <c r="F207" s="37" t="inlineStr">
        <is>
          <t>https://parts.air-way.com/hydraulic-fittings/jic-and-beaded-hose-fittings/straight/5404-hexagon-pipe-nipple-series-83</t>
        </is>
      </c>
      <c r="G207" s="37" t="inlineStr">
        <is>
          <t>SAE J514 140137</t>
        </is>
      </c>
      <c r="H207" s="37" t="inlineStr">
        <is>
          <t>NOT STARTED</t>
        </is>
      </c>
      <c r="I207" s="37" t="n"/>
      <c r="J207" s="37" t="n">
        <v>26</v>
      </c>
      <c r="K207" s="37" t="n"/>
    </row>
    <row r="208" ht="15" customHeight="1" s="35">
      <c r="A208" s="37" t="inlineStr">
        <is>
          <t>5404</t>
        </is>
      </c>
      <c r="B208" s="37" t="inlineStr">
        <is>
          <t>243</t>
        </is>
      </c>
      <c r="C208" s="37" t="inlineStr">
        <is>
          <t>SS5404 Hexagon Pipe Nipple series</t>
        </is>
      </c>
      <c r="D208" s="37" t="inlineStr">
        <is>
          <t>Stainless Steel Fittings</t>
        </is>
      </c>
      <c r="E208" s="37" t="inlineStr">
        <is>
          <t>Straight</t>
        </is>
      </c>
      <c r="F208" s="37" t="inlineStr">
        <is>
          <t>https://parts.air-way.com/hydraulic-fittings/stainless-steel-hydraulic-fittings/straight/ss5404-hexagon-pipe-nipple-series-243</t>
        </is>
      </c>
      <c r="G208" s="37" t="inlineStr">
        <is>
          <t>SAE J514 140137</t>
        </is>
      </c>
      <c r="H208" s="37" t="inlineStr">
        <is>
          <t>NOT STARTED</t>
        </is>
      </c>
      <c r="I208" s="37" t="n"/>
      <c r="J208" s="37" t="n">
        <v>18</v>
      </c>
      <c r="K208" s="37" t="n"/>
    </row>
    <row r="209" ht="15" customHeight="1" s="35">
      <c r="A209" s="37" t="inlineStr">
        <is>
          <t>5404-N</t>
        </is>
      </c>
      <c r="B209" s="37" t="inlineStr">
        <is>
          <t>84</t>
        </is>
      </c>
      <c r="C209" s="37" t="inlineStr">
        <is>
          <t>5404-N Straight Pipe Nipple</t>
        </is>
      </c>
      <c r="D209" s="37" t="inlineStr">
        <is>
          <t>JIC 37 &amp; Beaded Hose</t>
        </is>
      </c>
      <c r="E209" s="37" t="inlineStr">
        <is>
          <t>Straight</t>
        </is>
      </c>
      <c r="F209" s="37" t="inlineStr">
        <is>
          <t>https://parts.air-way.com/hydraulic-fittings/jic-and-beaded-hose-fittings/straight/5404-n-straight-pipe-nipple-series-84</t>
        </is>
      </c>
      <c r="G209" s="37" t="inlineStr">
        <is>
          <t>none shown</t>
        </is>
      </c>
      <c r="H209" s="37" t="inlineStr">
        <is>
          <t>NOT STARTED</t>
        </is>
      </c>
      <c r="I209" s="37" t="n"/>
      <c r="J209" s="37" t="n">
        <v>14</v>
      </c>
      <c r="K209" s="37" t="n"/>
    </row>
    <row r="210" ht="15" customHeight="1" s="35">
      <c r="A210" s="37" t="inlineStr">
        <is>
          <t>5404-N</t>
        </is>
      </c>
      <c r="B210" s="37" t="inlineStr">
        <is>
          <t>244</t>
        </is>
      </c>
      <c r="C210" s="37" t="inlineStr">
        <is>
          <t>SS5404-N Straight Pipe Nipple series</t>
        </is>
      </c>
      <c r="D210" s="37" t="inlineStr">
        <is>
          <t>Stainless Steel Fittings</t>
        </is>
      </c>
      <c r="E210" s="37" t="inlineStr">
        <is>
          <t>Straight</t>
        </is>
      </c>
      <c r="F210" s="37" t="inlineStr">
        <is>
          <t>https://parts.air-way.com/hydraulic-fittings/stainless-steel-hydraulic-fittings/straight/ss5404-n-straight-pipe-nipple-series-244</t>
        </is>
      </c>
      <c r="G210" s="37" t="inlineStr">
        <is>
          <t>SAE J514 (no numeric code shown)</t>
        </is>
      </c>
      <c r="H210" s="37" t="inlineStr">
        <is>
          <t>NOT STARTED</t>
        </is>
      </c>
      <c r="I210" s="37" t="n"/>
      <c r="J210" s="37" t="n">
        <v>3</v>
      </c>
      <c r="K210" s="37" t="n"/>
    </row>
    <row r="211" ht="15" customHeight="1" s="35">
      <c r="A211" s="37" t="inlineStr">
        <is>
          <t>5405</t>
        </is>
      </c>
      <c r="B211" s="37" t="inlineStr">
        <is>
          <t>472</t>
        </is>
      </c>
      <c r="C211" s="37" t="inlineStr">
        <is>
          <t>MBT5405 Threaded Straight Fitting, BSPT to Female NPTF</t>
        </is>
      </c>
      <c r="D211" s="37" t="inlineStr">
        <is>
          <t>International &amp; Metric</t>
        </is>
      </c>
      <c r="E211" s="37" t="inlineStr">
        <is>
          <t>BSPT</t>
        </is>
      </c>
      <c r="F211" s="37" t="inlineStr">
        <is>
          <t>https://parts.air-way.com/hydraulic-fittings/international-metric/bspt/mbt5405-threaded-straight-fitting-bspt-to-female-nptf-series-472</t>
        </is>
      </c>
      <c r="G211" s="37" t="inlineStr">
        <is>
          <t>—</t>
        </is>
      </c>
      <c r="H211" s="37" t="inlineStr">
        <is>
          <t>NOT STARTED</t>
        </is>
      </c>
      <c r="I211" s="37" t="n"/>
      <c r="J211" s="37" t="n">
        <v>3</v>
      </c>
      <c r="K211" s="37" t="n"/>
    </row>
    <row r="212" ht="15" customHeight="1" s="35">
      <c r="A212" s="37" t="inlineStr">
        <is>
          <t>5405</t>
        </is>
      </c>
      <c r="B212" s="37" t="inlineStr">
        <is>
          <t>85</t>
        </is>
      </c>
      <c r="C212" s="37" t="inlineStr">
        <is>
          <t>5405 Pipe Adapter</t>
        </is>
      </c>
      <c r="D212" s="37" t="inlineStr">
        <is>
          <t>JIC 37 &amp; Beaded Hose</t>
        </is>
      </c>
      <c r="E212" s="37" t="inlineStr">
        <is>
          <t>Straight</t>
        </is>
      </c>
      <c r="F212" s="37" t="inlineStr">
        <is>
          <t>https://parts.air-way.com/hydraulic-fittings/jic-and-beaded-hose-fittings/straight/5405-pipe-adapter-series-85</t>
        </is>
      </c>
      <c r="G212" s="37" t="inlineStr">
        <is>
          <t>SAE J514 140139</t>
        </is>
      </c>
      <c r="H212" s="37" t="inlineStr">
        <is>
          <t>NOT STARTED</t>
        </is>
      </c>
      <c r="I212" s="37" t="n"/>
      <c r="J212" s="37" t="n">
        <v>28</v>
      </c>
      <c r="K212" s="37" t="n"/>
    </row>
    <row r="213" ht="15" customHeight="1" s="35">
      <c r="A213" s="37" t="inlineStr">
        <is>
          <t>5405</t>
        </is>
      </c>
      <c r="B213" s="37" t="inlineStr">
        <is>
          <t>245</t>
        </is>
      </c>
      <c r="C213" s="37" t="inlineStr">
        <is>
          <t>SS5405 Pipe Adapter series</t>
        </is>
      </c>
      <c r="D213" s="37" t="inlineStr">
        <is>
          <t>Stainless Steel Fittings</t>
        </is>
      </c>
      <c r="E213" s="37" t="inlineStr">
        <is>
          <t>Straight</t>
        </is>
      </c>
      <c r="F213" s="37" t="inlineStr">
        <is>
          <t>https://parts.air-way.com/hydraulic-fittings/stainless-steel-hydraulic-fittings/straight/ss5405-pipe-adapter-series-245</t>
        </is>
      </c>
      <c r="G213" s="37" t="inlineStr">
        <is>
          <t>SAE J514 140139</t>
        </is>
      </c>
      <c r="H213" s="37" t="inlineStr">
        <is>
          <t>NOT STARTED</t>
        </is>
      </c>
      <c r="I213" s="37" t="n"/>
      <c r="J213" s="37" t="n">
        <v>12</v>
      </c>
      <c r="K213" s="37" t="n"/>
    </row>
    <row r="214" ht="15" customHeight="1" s="35">
      <c r="A214" s="37" t="inlineStr">
        <is>
          <t>5406</t>
        </is>
      </c>
      <c r="B214" s="37" t="inlineStr">
        <is>
          <t>86</t>
        </is>
      </c>
      <c r="C214" s="37" t="inlineStr">
        <is>
          <t>5406 Pipe Reducer Bushing</t>
        </is>
      </c>
      <c r="D214" s="37" t="inlineStr">
        <is>
          <t>JIC 37 &amp; Beaded Hose</t>
        </is>
      </c>
      <c r="E214" s="37" t="inlineStr">
        <is>
          <t>Straight</t>
        </is>
      </c>
      <c r="F214" s="37" t="inlineStr">
        <is>
          <t>https://parts.air-way.com/hydraulic-fittings/jic-and-beaded-hose-fittings/straight/5406-pipe-reducer-bushing-series-86</t>
        </is>
      </c>
      <c r="G214" s="37" t="inlineStr">
        <is>
          <t>SAE J514 140140</t>
        </is>
      </c>
      <c r="H214" s="37" t="inlineStr">
        <is>
          <t>NOT STARTED</t>
        </is>
      </c>
      <c r="I214" s="37" t="n"/>
      <c r="J214" s="37" t="n">
        <v>31</v>
      </c>
      <c r="K214" s="37" t="n"/>
    </row>
    <row r="215" ht="15" customHeight="1" s="35">
      <c r="A215" s="37" t="inlineStr">
        <is>
          <t>5406</t>
        </is>
      </c>
      <c r="B215" s="37" t="inlineStr">
        <is>
          <t>246</t>
        </is>
      </c>
      <c r="C215" s="37" t="inlineStr">
        <is>
          <t>SS5406 Pipe Reducer Bushing series</t>
        </is>
      </c>
      <c r="D215" s="37" t="inlineStr">
        <is>
          <t>Stainless Steel Fittings</t>
        </is>
      </c>
      <c r="E215" s="37" t="inlineStr">
        <is>
          <t>Straight</t>
        </is>
      </c>
      <c r="F215" s="37" t="inlineStr">
        <is>
          <t>https://parts.air-way.com/hydraulic-fittings/stainless-steel-hydraulic-fittings/straight/ss5406-pipe-reducer-bushing-series-246</t>
        </is>
      </c>
      <c r="G215" s="37" t="inlineStr">
        <is>
          <t>SAE J514 140140</t>
        </is>
      </c>
      <c r="H215" s="37" t="inlineStr">
        <is>
          <t>NOT STARTED</t>
        </is>
      </c>
      <c r="I215" s="37" t="n"/>
      <c r="J215" s="37" t="n">
        <v>23</v>
      </c>
      <c r="K215" s="37" t="n"/>
    </row>
    <row r="216" ht="15" customHeight="1" s="35">
      <c r="A216" s="37" t="inlineStr">
        <is>
          <t>5406-C</t>
        </is>
      </c>
      <c r="B216" s="37" t="inlineStr">
        <is>
          <t>87</t>
        </is>
      </c>
      <c r="C216" s="37" t="inlineStr">
        <is>
          <t>5406-C Heavy Duty Female Pipe Cap Nut</t>
        </is>
      </c>
      <c r="D216" s="37" t="inlineStr">
        <is>
          <t>JIC 37 &amp; Beaded Hose</t>
        </is>
      </c>
      <c r="E216" s="37" t="inlineStr">
        <is>
          <t>Straight</t>
        </is>
      </c>
      <c r="F216" s="37" t="inlineStr">
        <is>
          <t>https://parts.air-way.com/hydraulic-fittings/jic-and-beaded-hose-fittings/straight/5406-c-heavy-duty-female-pipe-cap-nut-series-87</t>
        </is>
      </c>
      <c r="G216" s="37" t="inlineStr">
        <is>
          <t>none shown</t>
        </is>
      </c>
      <c r="H216" s="37" t="inlineStr">
        <is>
          <t>NOT STARTED</t>
        </is>
      </c>
      <c r="I216" s="37" t="n"/>
      <c r="J216" s="37" t="n">
        <v>6</v>
      </c>
      <c r="K216" s="37" t="n"/>
    </row>
    <row r="217" ht="15" customHeight="1" s="35">
      <c r="A217" s="37" t="inlineStr">
        <is>
          <t>5406-C</t>
        </is>
      </c>
      <c r="B217" s="37" t="inlineStr">
        <is>
          <t>265</t>
        </is>
      </c>
      <c r="C217" s="37" t="inlineStr">
        <is>
          <t>SS5406-C Female Pipe Cap Nut series</t>
        </is>
      </c>
      <c r="D217" s="37" t="inlineStr">
        <is>
          <t>Stainless Steel Fittings</t>
        </is>
      </c>
      <c r="E217" s="37" t="inlineStr">
        <is>
          <t>Straight</t>
        </is>
      </c>
      <c r="F217" s="37" t="inlineStr">
        <is>
          <t>https://parts.air-way.com/hydraulic-fittings/stainless-steel-hydraulic-fittings/straight/ss5406-c-female-pipe-cap-nut-series-265</t>
        </is>
      </c>
      <c r="G217" s="37" t="inlineStr">
        <is>
          <t>none</t>
        </is>
      </c>
      <c r="H217" s="37" t="inlineStr">
        <is>
          <t>NOT STARTED</t>
        </is>
      </c>
      <c r="I217" s="37" t="n"/>
      <c r="J217" s="37" t="n">
        <v>3</v>
      </c>
      <c r="K217" s="37" t="n"/>
    </row>
    <row r="218" ht="15" customHeight="1" s="35">
      <c r="A218" s="37" t="inlineStr">
        <is>
          <t>5406-P</t>
        </is>
      </c>
      <c r="B218" s="37" t="inlineStr">
        <is>
          <t>88</t>
        </is>
      </c>
      <c r="C218" s="37" t="inlineStr">
        <is>
          <t>5406-P Male Pipe Plug</t>
        </is>
      </c>
      <c r="D218" s="37" t="inlineStr">
        <is>
          <t>JIC 37 &amp; Beaded Hose</t>
        </is>
      </c>
      <c r="E218" s="37" t="inlineStr">
        <is>
          <t>Straight</t>
        </is>
      </c>
      <c r="F218" s="37" t="inlineStr">
        <is>
          <t>https://parts.air-way.com/hydraulic-fittings/jic-and-beaded-hose-fittings/straight/5406-p-male-pipe-plug-series-88</t>
        </is>
      </c>
      <c r="G218" s="37" t="inlineStr">
        <is>
          <t>SAE J531 130109E</t>
        </is>
      </c>
      <c r="H218" s="37" t="inlineStr">
        <is>
          <t>NOT STARTED</t>
        </is>
      </c>
      <c r="I218" s="37" t="n"/>
      <c r="J218" s="37" t="n">
        <v>9</v>
      </c>
      <c r="K218" s="37" t="n"/>
    </row>
    <row r="219" ht="15" customHeight="1" s="35">
      <c r="A219" s="37" t="inlineStr">
        <is>
          <t>5406-P</t>
        </is>
      </c>
      <c r="B219" s="37" t="inlineStr">
        <is>
          <t>266</t>
        </is>
      </c>
      <c r="C219" s="37" t="inlineStr">
        <is>
          <t>SS5406-P Male Pipe Plug series</t>
        </is>
      </c>
      <c r="D219" s="37" t="inlineStr">
        <is>
          <t>Stainless Steel Fittings</t>
        </is>
      </c>
      <c r="E219" s="37" t="inlineStr">
        <is>
          <t>Straight</t>
        </is>
      </c>
      <c r="F219" s="37" t="inlineStr">
        <is>
          <t>https://parts.air-way.com/hydraulic-fittings/stainless-steel-hydraulic-fittings/straight/ss5406-p-male-pipe-plug-series-266</t>
        </is>
      </c>
      <c r="G219" s="37" t="inlineStr">
        <is>
          <t>SAE J531 130109E</t>
        </is>
      </c>
      <c r="H219" s="37" t="inlineStr">
        <is>
          <t>NOT STARTED</t>
        </is>
      </c>
      <c r="I219" s="37" t="n"/>
      <c r="J219" s="37" t="n">
        <v>9</v>
      </c>
      <c r="K219" s="37" t="n"/>
    </row>
    <row r="220" ht="15" customHeight="1" s="35">
      <c r="A220" s="37" t="inlineStr">
        <is>
          <t>5409</t>
        </is>
      </c>
      <c r="B220" s="37" t="inlineStr">
        <is>
          <t>247</t>
        </is>
      </c>
      <c r="C220" s="37" t="inlineStr">
        <is>
          <t>SS5409 Hexagon Socket Male Pipe Plug series</t>
        </is>
      </c>
      <c r="D220" s="37" t="inlineStr">
        <is>
          <t>Stainless Steel Fittings</t>
        </is>
      </c>
      <c r="E220" s="37" t="inlineStr">
        <is>
          <t>Straight</t>
        </is>
      </c>
      <c r="F220" s="37" t="inlineStr">
        <is>
          <t>https://parts.air-way.com/hydraulic-fittings/stainless-steel-hydraulic-fittings/straight/ss5409-hexagon-socket-male-pipe-plug-series-247</t>
        </is>
      </c>
      <c r="G220" s="37" t="inlineStr">
        <is>
          <t>SAE J531 130109P</t>
        </is>
      </c>
      <c r="H220" s="37" t="inlineStr">
        <is>
          <t>NOT STARTED</t>
        </is>
      </c>
      <c r="I220" s="37" t="n"/>
      <c r="J220" s="37" t="n">
        <v>6</v>
      </c>
      <c r="K220" s="37" t="n"/>
    </row>
    <row r="221" ht="15" customHeight="1" s="35">
      <c r="A221" s="37" t="inlineStr">
        <is>
          <t>5500</t>
        </is>
      </c>
      <c r="B221" s="37" t="inlineStr">
        <is>
          <t>127</t>
        </is>
      </c>
      <c r="C221" s="37" t="inlineStr">
        <is>
          <t>5500 90° Male Pipe Elbow</t>
        </is>
      </c>
      <c r="D221" s="37" t="inlineStr">
        <is>
          <t>JIC 37 &amp; Beaded Hose</t>
        </is>
      </c>
      <c r="E221" s="37" t="inlineStr">
        <is>
          <t>90°</t>
        </is>
      </c>
      <c r="F221" s="37" t="inlineStr">
        <is>
          <t>https://parts.air-way.com/hydraulic-fittings/jic-and-beaded-hose-fittings/90/5500-90-male-pipe-elbow-series-127</t>
        </is>
      </c>
      <c r="G221" s="37" t="inlineStr">
        <is>
          <t>none shown</t>
        </is>
      </c>
      <c r="H221" s="37" t="inlineStr">
        <is>
          <t>NOT STARTED</t>
        </is>
      </c>
      <c r="I221" s="37" t="n"/>
      <c r="J221" s="37" t="n">
        <v>29</v>
      </c>
      <c r="K221" s="37" t="n"/>
    </row>
    <row r="222" ht="15" customHeight="1" s="35">
      <c r="A222" s="37" t="inlineStr">
        <is>
          <t>5500</t>
        </is>
      </c>
      <c r="B222" s="37" t="inlineStr">
        <is>
          <t>275</t>
        </is>
      </c>
      <c r="C222" s="37" t="inlineStr">
        <is>
          <t>SS5500 90° Male Pipe Elbow series</t>
        </is>
      </c>
      <c r="D222" s="37" t="inlineStr">
        <is>
          <t>Stainless Steel Fittings</t>
        </is>
      </c>
      <c r="E222" s="37" t="inlineStr">
        <is>
          <t>90°</t>
        </is>
      </c>
      <c r="F222" s="37" t="inlineStr">
        <is>
          <t>https://parts.air-way.com/hydraulic-fittings/stainless-steel-hydraulic-fittings/90/ss5500-90-male-pipe-elbow-series-275</t>
        </is>
      </c>
      <c r="G222" s="37" t="inlineStr">
        <is>
          <t>none</t>
        </is>
      </c>
      <c r="H222" s="37" t="inlineStr">
        <is>
          <t>NOT STARTED</t>
        </is>
      </c>
      <c r="I222" s="37" t="n"/>
      <c r="J222" s="37" t="n">
        <v>8</v>
      </c>
      <c r="K222" s="37" t="n"/>
    </row>
    <row r="223" ht="15" customHeight="1" s="35">
      <c r="A223" s="37" t="inlineStr">
        <is>
          <t>5501</t>
        </is>
      </c>
      <c r="B223" s="37" t="inlineStr">
        <is>
          <t>153</t>
        </is>
      </c>
      <c r="C223" s="37" t="inlineStr">
        <is>
          <t>5501 45° Male Pipe Elbow</t>
        </is>
      </c>
      <c r="D223" s="37" t="inlineStr">
        <is>
          <t>JIC 37 &amp; Beaded Hose</t>
        </is>
      </c>
      <c r="E223" s="37" t="inlineStr">
        <is>
          <t>45°</t>
        </is>
      </c>
      <c r="F223" s="37" t="inlineStr">
        <is>
          <t>https://parts.air-way.com/hydraulic-fittings/jic-and-beaded-hose-fittings/45/5501-45-male-pipe-elbow-series-153</t>
        </is>
      </c>
      <c r="G223" s="37" t="inlineStr">
        <is>
          <t>none shown</t>
        </is>
      </c>
      <c r="H223" s="37" t="inlineStr">
        <is>
          <t>TABLED</t>
        </is>
      </c>
      <c r="I223" s="37" t="n"/>
      <c r="J223" s="37" t="n">
        <v>7</v>
      </c>
      <c r="K223" s="37" t="inlineStr">
        <is>
          <t>TABLED 2026-09-23: double-pass extraction 7 rows (sheet said 7); DesignTable_5501.xlsx; scope vs OMi feed: 0 BUILD / 7 DROP / 9 OMi-only (7 differ only by -FG)</t>
        </is>
      </c>
    </row>
    <row r="224" ht="15" customHeight="1" s="35">
      <c r="A224" s="37" t="inlineStr">
        <is>
          <t>5501</t>
        </is>
      </c>
      <c r="B224" s="37" t="inlineStr">
        <is>
          <t>290</t>
        </is>
      </c>
      <c r="C224" s="37" t="inlineStr">
        <is>
          <t>SS5501 45° Male Pipe to Elbow series</t>
        </is>
      </c>
      <c r="D224" s="37" t="inlineStr">
        <is>
          <t>Stainless Steel Fittings</t>
        </is>
      </c>
      <c r="E224" s="37" t="inlineStr">
        <is>
          <t>45°</t>
        </is>
      </c>
      <c r="F224" s="37" t="inlineStr">
        <is>
          <t>https://parts.air-way.com/hydraulic-fittings/stainless-steel-hydraulic-fittings/45/ss5501-45-male-pipe-to-elbow-series-290</t>
        </is>
      </c>
      <c r="G224" s="37" t="inlineStr">
        <is>
          <t>none</t>
        </is>
      </c>
      <c r="H224" s="37" t="inlineStr">
        <is>
          <t>NOT STARTED</t>
        </is>
      </c>
      <c r="I224" s="37" t="n"/>
      <c r="J224" s="37" t="n">
        <v>3</v>
      </c>
      <c r="K224" s="37" t="n"/>
    </row>
    <row r="225" ht="15" customHeight="1" s="35">
      <c r="A225" s="37" t="inlineStr">
        <is>
          <t>5502</t>
        </is>
      </c>
      <c r="B225" s="37" t="inlineStr">
        <is>
          <t>128</t>
        </is>
      </c>
      <c r="C225" s="37" t="inlineStr">
        <is>
          <t>5502 90° Street Elbow</t>
        </is>
      </c>
      <c r="D225" s="37" t="inlineStr">
        <is>
          <t>JIC 37 &amp; Beaded Hose</t>
        </is>
      </c>
      <c r="E225" s="37" t="inlineStr">
        <is>
          <t>90°</t>
        </is>
      </c>
      <c r="F225" s="37" t="inlineStr">
        <is>
          <t>https://parts.air-way.com/hydraulic-fittings/jic-and-beaded-hose-fittings/90/5502-90-street-elbow-series-128</t>
        </is>
      </c>
      <c r="G225" s="37" t="inlineStr">
        <is>
          <t>SAE J514 140239</t>
        </is>
      </c>
      <c r="H225" s="37" t="inlineStr">
        <is>
          <t>NOT STARTED</t>
        </is>
      </c>
      <c r="I225" s="37" t="n"/>
      <c r="J225" s="37" t="n">
        <v>46</v>
      </c>
      <c r="K225" s="37" t="n"/>
    </row>
    <row r="226" ht="15" customHeight="1" s="35">
      <c r="A226" s="37" t="inlineStr">
        <is>
          <t>5502</t>
        </is>
      </c>
      <c r="B226" s="37" t="inlineStr">
        <is>
          <t>276</t>
        </is>
      </c>
      <c r="C226" s="37" t="inlineStr">
        <is>
          <t>SS5502 90° Street Elbow series</t>
        </is>
      </c>
      <c r="D226" s="37" t="inlineStr">
        <is>
          <t>Stainless Steel Fittings</t>
        </is>
      </c>
      <c r="E226" s="37" t="inlineStr">
        <is>
          <t>90°</t>
        </is>
      </c>
      <c r="F226" s="37" t="inlineStr">
        <is>
          <t>https://parts.air-way.com/hydraulic-fittings/stainless-steel-hydraulic-fittings/90/ss5502-90-street-elbow-series-276</t>
        </is>
      </c>
      <c r="G226" s="37" t="inlineStr">
        <is>
          <t>SAE J514 140239</t>
        </is>
      </c>
      <c r="H226" s="37" t="inlineStr">
        <is>
          <t>NOT STARTED</t>
        </is>
      </c>
      <c r="I226" s="37" t="n"/>
      <c r="J226" s="37" t="n">
        <v>9</v>
      </c>
      <c r="K226" s="37" t="n"/>
    </row>
    <row r="227" ht="15" customHeight="1" s="35">
      <c r="A227" s="37" t="inlineStr">
        <is>
          <t>5503</t>
        </is>
      </c>
      <c r="B227" s="37" t="inlineStr">
        <is>
          <t>154</t>
        </is>
      </c>
      <c r="C227" s="37" t="inlineStr">
        <is>
          <t>5503 45° Street Elbow</t>
        </is>
      </c>
      <c r="D227" s="37" t="inlineStr">
        <is>
          <t>JIC 37 &amp; Beaded Hose</t>
        </is>
      </c>
      <c r="E227" s="37" t="inlineStr">
        <is>
          <t>45°</t>
        </is>
      </c>
      <c r="F227" s="37" t="inlineStr">
        <is>
          <t>https://parts.air-way.com/hydraulic-fittings/jic-and-beaded-hose-fittings/45/5503-45-street-elbow-series-154</t>
        </is>
      </c>
      <c r="G227" s="37" t="inlineStr">
        <is>
          <t>SAE J514 140339</t>
        </is>
      </c>
      <c r="H227" s="37" t="inlineStr">
        <is>
          <t>TABLED</t>
        </is>
      </c>
      <c r="I227" s="37" t="n"/>
      <c r="J227" s="37" t="n">
        <v>16</v>
      </c>
      <c r="K227" s="37" t="inlineStr">
        <is>
          <t>TABLED 2026-09-23: double-pass extraction 15 rows (sheet said 16); DesignTable_5503.xlsx; scope vs OMi feed: 5 BUILD / 10 DROP / 9 OMi-only (4 differ only by -FG); 1 source anomaly note(s) in 07_RAW_EXTRACTS/airway_anomalies_2026-09-23.txt</t>
        </is>
      </c>
    </row>
    <row r="228" ht="15" customHeight="1" s="35">
      <c r="A228" s="37" t="inlineStr">
        <is>
          <t>5503</t>
        </is>
      </c>
      <c r="B228" s="37" t="inlineStr">
        <is>
          <t>291</t>
        </is>
      </c>
      <c r="C228" s="37" t="inlineStr">
        <is>
          <t>SS5503 45° Street Elbow series</t>
        </is>
      </c>
      <c r="D228" s="37" t="inlineStr">
        <is>
          <t>Stainless Steel Fittings</t>
        </is>
      </c>
      <c r="E228" s="37" t="inlineStr">
        <is>
          <t>45°</t>
        </is>
      </c>
      <c r="F228" s="37" t="inlineStr">
        <is>
          <t>https://parts.air-way.com/hydraulic-fittings/stainless-steel-hydraulic-fittings/45/ss5503-45-street-elbow-series-291</t>
        </is>
      </c>
      <c r="G228" s="37" t="inlineStr">
        <is>
          <t>SAE J514 140339</t>
        </is>
      </c>
      <c r="H228" s="37" t="inlineStr">
        <is>
          <t>NOT STARTED</t>
        </is>
      </c>
      <c r="I228" s="37" t="n"/>
      <c r="J228" s="37" t="n">
        <v>5</v>
      </c>
      <c r="K228" s="37" t="n"/>
    </row>
    <row r="229" ht="15" customHeight="1" s="35">
      <c r="A229" s="37" t="inlineStr">
        <is>
          <t>5504</t>
        </is>
      </c>
      <c r="B229" s="37" t="inlineStr">
        <is>
          <t>129</t>
        </is>
      </c>
      <c r="C229" s="37" t="inlineStr">
        <is>
          <t>5504 90° Female Pipe Elbow</t>
        </is>
      </c>
      <c r="D229" s="37" t="inlineStr">
        <is>
          <t>JIC 37 &amp; Beaded Hose</t>
        </is>
      </c>
      <c r="E229" s="37" t="inlineStr">
        <is>
          <t>90°</t>
        </is>
      </c>
      <c r="F229" s="37" t="inlineStr">
        <is>
          <t>https://parts.air-way.com/hydraulic-fittings/jic-and-beaded-hose-fittings/90/5504-90-female-pipe-elbow-series-129</t>
        </is>
      </c>
      <c r="G229" s="37" t="inlineStr">
        <is>
          <t>SAE J514 140238</t>
        </is>
      </c>
      <c r="H229" s="37" t="inlineStr">
        <is>
          <t>NOT STARTED</t>
        </is>
      </c>
      <c r="I229" s="37" t="n"/>
      <c r="J229" s="37" t="n">
        <v>22</v>
      </c>
      <c r="K229" s="37" t="n"/>
    </row>
    <row r="230" ht="15" customHeight="1" s="35">
      <c r="A230" s="37" t="inlineStr">
        <is>
          <t>5504</t>
        </is>
      </c>
      <c r="B230" s="37" t="inlineStr">
        <is>
          <t>277</t>
        </is>
      </c>
      <c r="C230" s="37" t="inlineStr">
        <is>
          <t>SS5504 90° Female Pipe Elbow series</t>
        </is>
      </c>
      <c r="D230" s="37" t="inlineStr">
        <is>
          <t>Stainless Steel Fittings</t>
        </is>
      </c>
      <c r="E230" s="37" t="inlineStr">
        <is>
          <t>90°</t>
        </is>
      </c>
      <c r="F230" s="37" t="inlineStr">
        <is>
          <t>https://parts.air-way.com/hydraulic-fittings/stainless-steel-hydraulic-fittings/90/ss5504-90-female-pipe-elbow-series-277</t>
        </is>
      </c>
      <c r="G230" s="37" t="inlineStr">
        <is>
          <t>SAE J514 140238</t>
        </is>
      </c>
      <c r="H230" s="37" t="inlineStr">
        <is>
          <t>NOT STARTED</t>
        </is>
      </c>
      <c r="I230" s="37" t="n"/>
      <c r="J230" s="37" t="n">
        <v>9</v>
      </c>
      <c r="K230" s="37" t="n"/>
    </row>
    <row r="231" ht="15" customHeight="1" s="35">
      <c r="A231" s="37" t="inlineStr">
        <is>
          <t>5505</t>
        </is>
      </c>
      <c r="B231" s="37" t="inlineStr">
        <is>
          <t>155</t>
        </is>
      </c>
      <c r="C231" s="37" t="inlineStr">
        <is>
          <t>5505 45° Female Pipe Elbow</t>
        </is>
      </c>
      <c r="D231" s="37" t="inlineStr">
        <is>
          <t>JIC 37 &amp; Beaded Hose</t>
        </is>
      </c>
      <c r="E231" s="37" t="inlineStr">
        <is>
          <t>45°</t>
        </is>
      </c>
      <c r="F231" s="37" t="inlineStr">
        <is>
          <t>https://parts.air-way.com/hydraulic-fittings/jic-and-beaded-hose-fittings/45/5505-45-female-pipe-elbow-series-155</t>
        </is>
      </c>
      <c r="G231" s="37" t="inlineStr">
        <is>
          <t>SAE J514 140338</t>
        </is>
      </c>
      <c r="H231" s="37" t="inlineStr">
        <is>
          <t>TABLED</t>
        </is>
      </c>
      <c r="I231" s="37" t="n"/>
      <c r="J231" s="37" t="n">
        <v>9</v>
      </c>
      <c r="K231" s="37" t="inlineStr">
        <is>
          <t>TABLED 2026-09-23: double-pass extraction 9 rows (sheet said 9); DesignTable_5505.xlsx; scope vs OMi feed: 1 BUILD / 8 DROP / 6 OMi-only (5 differ only by -FG); 1 source anomaly note(s) in 07_RAW_EXTRACTS/airway_anomalies_2026-09-23.txt</t>
        </is>
      </c>
    </row>
    <row r="232" ht="15" customHeight="1" s="35">
      <c r="A232" s="37" t="inlineStr">
        <is>
          <t>5505</t>
        </is>
      </c>
      <c r="B232" s="37" t="inlineStr">
        <is>
          <t>292</t>
        </is>
      </c>
      <c r="C232" s="37" t="inlineStr">
        <is>
          <t>SS5505 45° Female Pipe Elbow series</t>
        </is>
      </c>
      <c r="D232" s="37" t="inlineStr">
        <is>
          <t>Stainless Steel Fittings</t>
        </is>
      </c>
      <c r="E232" s="37" t="inlineStr">
        <is>
          <t>45°</t>
        </is>
      </c>
      <c r="F232" s="37" t="inlineStr">
        <is>
          <t>https://parts.air-way.com/hydraulic-fittings/stainless-steel-hydraulic-fittings/45/ss5505-45-female-pipe-elbow-series-292</t>
        </is>
      </c>
      <c r="G232" s="37" t="inlineStr">
        <is>
          <t>SAE J514 140338</t>
        </is>
      </c>
      <c r="H232" s="37" t="inlineStr">
        <is>
          <t>NOT STARTED</t>
        </is>
      </c>
      <c r="I232" s="37" t="n"/>
      <c r="J232" s="37" t="n">
        <v>2</v>
      </c>
      <c r="K232" s="37" t="n"/>
    </row>
    <row r="233" ht="15" customHeight="1" s="35">
      <c r="A233" s="37" t="inlineStr">
        <is>
          <t>5600</t>
        </is>
      </c>
      <c r="B233" s="37" t="inlineStr">
        <is>
          <t>187</t>
        </is>
      </c>
      <c r="C233" s="37" t="inlineStr">
        <is>
          <t>5600 Male Pipe Tee</t>
        </is>
      </c>
      <c r="D233" s="37" t="inlineStr">
        <is>
          <t>JIC 37 &amp; Beaded Hose</t>
        </is>
      </c>
      <c r="E233" s="37" t="inlineStr">
        <is>
          <t>Tee</t>
        </is>
      </c>
      <c r="F233" s="37" t="inlineStr">
        <is>
          <t>https://parts.air-way.com/hydraulic-fittings/jic-and-beaded-hose-fittings/tee/5600-male-pipe-tee-series-187</t>
        </is>
      </c>
      <c r="G233" s="37" t="inlineStr">
        <is>
          <t>none shown</t>
        </is>
      </c>
      <c r="H233" s="37" t="inlineStr">
        <is>
          <t>TABLED</t>
        </is>
      </c>
      <c r="I233" s="37" t="n"/>
      <c r="J233" s="37" t="n">
        <v>12</v>
      </c>
      <c r="K233" s="37" t="inlineStr">
        <is>
          <t>TABLED 2026-09-23: double-pass extraction 12 rows (sheet said 12); DesignTable_5600.xlsx; scope vs OMi feed: 6 BUILD / 6 DROP / 2 OMi-only (0 differ only by -FG)</t>
        </is>
      </c>
    </row>
    <row r="234" ht="15" customHeight="1" s="35">
      <c r="A234" s="37" t="inlineStr">
        <is>
          <t>5600</t>
        </is>
      </c>
      <c r="B234" s="37" t="inlineStr">
        <is>
          <t>306</t>
        </is>
      </c>
      <c r="C234" s="37" t="inlineStr">
        <is>
          <t>SS5600 Male Pipe Tee series</t>
        </is>
      </c>
      <c r="D234" s="37" t="inlineStr">
        <is>
          <t>Stainless Steel Fittings</t>
        </is>
      </c>
      <c r="E234" s="37" t="inlineStr">
        <is>
          <t>Tee</t>
        </is>
      </c>
      <c r="F234" s="37" t="inlineStr">
        <is>
          <t>https://parts.air-way.com/hydraulic-fittings/stainless-steel-hydraulic-fittings/tee/ss5600-male-pipe-tee-series-306</t>
        </is>
      </c>
      <c r="G234" s="37" t="inlineStr">
        <is>
          <t>none</t>
        </is>
      </c>
      <c r="H234" s="37" t="inlineStr">
        <is>
          <t>NOT STARTED</t>
        </is>
      </c>
      <c r="I234" s="37" t="n"/>
      <c r="J234" s="37" t="n">
        <v>1</v>
      </c>
      <c r="K234" s="37" t="n"/>
    </row>
    <row r="235" ht="15" customHeight="1" s="35">
      <c r="A235" s="37" t="inlineStr">
        <is>
          <t>5601</t>
        </is>
      </c>
      <c r="B235" s="37" t="inlineStr">
        <is>
          <t>188</t>
        </is>
      </c>
      <c r="C235" s="37" t="inlineStr">
        <is>
          <t>5601 Female Branch Pipe Tee</t>
        </is>
      </c>
      <c r="D235" s="37" t="inlineStr">
        <is>
          <t>JIC 37 &amp; Beaded Hose</t>
        </is>
      </c>
      <c r="E235" s="37" t="inlineStr">
        <is>
          <t>Tee</t>
        </is>
      </c>
      <c r="F235" s="37" t="inlineStr">
        <is>
          <t>https://parts.air-way.com/hydraulic-fittings/jic-and-beaded-hose-fittings/tee/5601-female-branch-pipe-tee-series-188</t>
        </is>
      </c>
      <c r="G235" s="37" t="inlineStr">
        <is>
          <t>none shown</t>
        </is>
      </c>
      <c r="H235" s="37" t="inlineStr">
        <is>
          <t>TABLED</t>
        </is>
      </c>
      <c r="I235" s="37" t="n"/>
      <c r="J235" s="37" t="n">
        <v>5</v>
      </c>
      <c r="K235" s="37" t="inlineStr">
        <is>
          <t>TABLED 2026-09-23: double-pass extraction 5 rows (sheet said 5); DesignTable_5601.xlsx; scope vs OMi feed: 0 BUILD / 5 DROP / 5 OMi-only (2 differ only by -FG)</t>
        </is>
      </c>
    </row>
    <row r="236" ht="15" customHeight="1" s="35">
      <c r="A236" s="37" t="inlineStr">
        <is>
          <t>5601</t>
        </is>
      </c>
      <c r="B236" s="37" t="inlineStr">
        <is>
          <t>307</t>
        </is>
      </c>
      <c r="C236" s="37" t="inlineStr">
        <is>
          <t>SS5601 Female Branch Pipe Tee series</t>
        </is>
      </c>
      <c r="D236" s="37" t="inlineStr">
        <is>
          <t>Stainless Steel Fittings</t>
        </is>
      </c>
      <c r="E236" s="37" t="inlineStr">
        <is>
          <t>Tee</t>
        </is>
      </c>
      <c r="F236" s="37" t="inlineStr">
        <is>
          <t>https://parts.air-way.com/hydraulic-fittings/stainless-steel-hydraulic-fittings/tee/ss5601-female-branch-pipe-tee-series-307</t>
        </is>
      </c>
      <c r="G236" s="37" t="inlineStr">
        <is>
          <t>none</t>
        </is>
      </c>
      <c r="H236" s="37" t="inlineStr">
        <is>
          <t>NOT STARTED</t>
        </is>
      </c>
      <c r="I236" s="37" t="n"/>
      <c r="J236" s="37" t="n">
        <v>3</v>
      </c>
      <c r="K236" s="37" t="n"/>
    </row>
    <row r="237" ht="15" customHeight="1" s="35">
      <c r="A237" s="37" t="inlineStr">
        <is>
          <t>5602</t>
        </is>
      </c>
      <c r="B237" s="37" t="inlineStr">
        <is>
          <t>189</t>
        </is>
      </c>
      <c r="C237" s="37" t="inlineStr">
        <is>
          <t>5602 Male Run Pipe Tee</t>
        </is>
      </c>
      <c r="D237" s="37" t="inlineStr">
        <is>
          <t>JIC 37 &amp; Beaded Hose</t>
        </is>
      </c>
      <c r="E237" s="37" t="inlineStr">
        <is>
          <t>Tee</t>
        </is>
      </c>
      <c r="F237" s="37" t="inlineStr">
        <is>
          <t>https://parts.air-way.com/hydraulic-fittings/jic-and-beaded-hose-fittings/tee/5602-male-run-pipe-tee-series-189</t>
        </is>
      </c>
      <c r="G237" s="37" t="inlineStr">
        <is>
          <t>SAE J514 140424</t>
        </is>
      </c>
      <c r="H237" s="37" t="inlineStr">
        <is>
          <t>NOT STARTED</t>
        </is>
      </c>
      <c r="I237" s="37" t="n"/>
      <c r="J237" s="37" t="n">
        <v>14</v>
      </c>
      <c r="K237" s="37" t="n"/>
    </row>
    <row r="238" ht="15" customHeight="1" s="35">
      <c r="A238" s="37" t="inlineStr">
        <is>
          <t>5602</t>
        </is>
      </c>
      <c r="B238" s="37" t="inlineStr">
        <is>
          <t>308</t>
        </is>
      </c>
      <c r="C238" s="37" t="inlineStr">
        <is>
          <t>SS5602 Male Run Pipe Tee series</t>
        </is>
      </c>
      <c r="D238" s="37" t="inlineStr">
        <is>
          <t>Stainless Steel Fittings</t>
        </is>
      </c>
      <c r="E238" s="37" t="inlineStr">
        <is>
          <t>Tee</t>
        </is>
      </c>
      <c r="F238" s="37" t="inlineStr">
        <is>
          <t>https://parts.air-way.com/hydraulic-fittings/stainless-steel-hydraulic-fittings/tee/ss5602-male-run-pipe-tee-series-308</t>
        </is>
      </c>
      <c r="G238" s="37" t="inlineStr">
        <is>
          <t>SAE J514 140424</t>
        </is>
      </c>
      <c r="H238" s="37" t="inlineStr">
        <is>
          <t>NOT STARTED</t>
        </is>
      </c>
      <c r="I238" s="37" t="n"/>
      <c r="J238" s="37" t="n">
        <v>8</v>
      </c>
      <c r="K238" s="37" t="n"/>
    </row>
    <row r="239" ht="15" customHeight="1" s="35">
      <c r="A239" s="37" t="inlineStr">
        <is>
          <t>5603</t>
        </is>
      </c>
      <c r="B239" s="37" t="inlineStr">
        <is>
          <t>190</t>
        </is>
      </c>
      <c r="C239" s="37" t="inlineStr">
        <is>
          <t>5603 Female Run Pipe Tee</t>
        </is>
      </c>
      <c r="D239" s="37" t="inlineStr">
        <is>
          <t>JIC 37 &amp; Beaded Hose</t>
        </is>
      </c>
      <c r="E239" s="37" t="inlineStr">
        <is>
          <t>Tee</t>
        </is>
      </c>
      <c r="F239" s="37" t="inlineStr">
        <is>
          <t>https://parts.air-way.com/hydraulic-fittings/jic-and-beaded-hose-fittings/tee/5603-female-run-pipe-tee-series-190</t>
        </is>
      </c>
      <c r="G239" s="37" t="inlineStr">
        <is>
          <t>none shown</t>
        </is>
      </c>
      <c r="H239" s="37" t="inlineStr">
        <is>
          <t>NOT STARTED</t>
        </is>
      </c>
      <c r="I239" s="37" t="n"/>
      <c r="J239" s="37" t="n">
        <v>6</v>
      </c>
      <c r="K239" s="37" t="n"/>
    </row>
    <row r="240" ht="15" customHeight="1" s="35">
      <c r="A240" s="37" t="inlineStr">
        <is>
          <t>5603</t>
        </is>
      </c>
      <c r="B240" s="37" t="inlineStr">
        <is>
          <t>309</t>
        </is>
      </c>
      <c r="C240" s="37" t="inlineStr">
        <is>
          <t>SS5603 Female Run Pipe Tee series</t>
        </is>
      </c>
      <c r="D240" s="37" t="inlineStr">
        <is>
          <t>Stainless Steel Fittings</t>
        </is>
      </c>
      <c r="E240" s="37" t="inlineStr">
        <is>
          <t>Tee</t>
        </is>
      </c>
      <c r="F240" s="37" t="inlineStr">
        <is>
          <t>https://parts.air-way.com/hydraulic-fittings/stainless-steel-hydraulic-fittings/tee/ss5603-female-run-pipe-tee-series-309</t>
        </is>
      </c>
      <c r="G240" s="37" t="inlineStr">
        <is>
          <t>none</t>
        </is>
      </c>
      <c r="H240" s="37" t="inlineStr">
        <is>
          <t>NOT STARTED</t>
        </is>
      </c>
      <c r="I240" s="37" t="n"/>
      <c r="J240" s="37" t="n">
        <v>2</v>
      </c>
      <c r="K240" s="37" t="n"/>
    </row>
    <row r="241" ht="15" customHeight="1" s="35">
      <c r="A241" s="37" t="inlineStr">
        <is>
          <t>5604</t>
        </is>
      </c>
      <c r="B241" s="37" t="inlineStr">
        <is>
          <t>191</t>
        </is>
      </c>
      <c r="C241" s="37" t="inlineStr">
        <is>
          <t>5604 Male Branch Pipe Tee</t>
        </is>
      </c>
      <c r="D241" s="37" t="inlineStr">
        <is>
          <t>JIC 37 &amp; Beaded Hose</t>
        </is>
      </c>
      <c r="E241" s="37" t="inlineStr">
        <is>
          <t>Tee</t>
        </is>
      </c>
      <c r="F241" s="37" t="inlineStr">
        <is>
          <t>https://parts.air-way.com/hydraulic-fittings/jic-and-beaded-hose-fittings/tee/5604-male-branch-pipe-tee-series-191</t>
        </is>
      </c>
      <c r="G241" s="37" t="inlineStr">
        <is>
          <t>SAE J514 140425</t>
        </is>
      </c>
      <c r="H241" s="37" t="inlineStr">
        <is>
          <t>TABLED</t>
        </is>
      </c>
      <c r="I241" s="37" t="n"/>
      <c r="J241" s="37" t="n">
        <v>13</v>
      </c>
      <c r="K241" s="37" t="inlineStr">
        <is>
          <t>TABLED 2026-09-23: double-pass extraction 12 rows (sheet said 13); DesignTable_5604.xlsx; scope vs OMi feed: 4 BUILD / 8 DROP / 5 OMi-only (4 differ only by -FG); 1 source anomaly note(s) in 07_RAW_EXTRACTS/airway_anomalies_2026-09-23.txt</t>
        </is>
      </c>
    </row>
    <row r="242" ht="15" customHeight="1" s="35">
      <c r="A242" s="37" t="inlineStr">
        <is>
          <t>5604</t>
        </is>
      </c>
      <c r="B242" s="37" t="inlineStr">
        <is>
          <t>310</t>
        </is>
      </c>
      <c r="C242" s="37" t="inlineStr">
        <is>
          <t>SS5604 Male Branch Pipe Tee series</t>
        </is>
      </c>
      <c r="D242" s="37" t="inlineStr">
        <is>
          <t>Stainless Steel Fittings</t>
        </is>
      </c>
      <c r="E242" s="37" t="inlineStr">
        <is>
          <t>Tee</t>
        </is>
      </c>
      <c r="F242" s="37" t="inlineStr">
        <is>
          <t>https://parts.air-way.com/hydraulic-fittings/stainless-steel-hydraulic-fittings/tee/ss5604-male-branch-pipe-tee-series-310</t>
        </is>
      </c>
      <c r="G242" s="37" t="inlineStr">
        <is>
          <t>SAE J514 140425</t>
        </is>
      </c>
      <c r="H242" s="37" t="inlineStr">
        <is>
          <t>NOT STARTED</t>
        </is>
      </c>
      <c r="I242" s="37" t="n"/>
      <c r="J242" s="37" t="n">
        <v>4</v>
      </c>
      <c r="K242" s="37" t="n"/>
    </row>
    <row r="243" ht="15" customHeight="1" s="35">
      <c r="A243" s="37" t="inlineStr">
        <is>
          <t>5605</t>
        </is>
      </c>
      <c r="B243" s="37" t="inlineStr">
        <is>
          <t>192</t>
        </is>
      </c>
      <c r="C243" s="37" t="inlineStr">
        <is>
          <t>5605 Female Pipe Tee</t>
        </is>
      </c>
      <c r="D243" s="37" t="inlineStr">
        <is>
          <t>JIC 37 &amp; Beaded Hose</t>
        </is>
      </c>
      <c r="E243" s="37" t="inlineStr">
        <is>
          <t>Tee</t>
        </is>
      </c>
      <c r="F243" s="37" t="inlineStr">
        <is>
          <t>https://parts.air-way.com/hydraulic-fittings/jic-and-beaded-hose-fittings/tee/5605-female-pipe-tee-series-192</t>
        </is>
      </c>
      <c r="G243" s="37" t="inlineStr">
        <is>
          <t>SAE J514 140438</t>
        </is>
      </c>
      <c r="H243" s="37" t="inlineStr">
        <is>
          <t>TABLED</t>
        </is>
      </c>
      <c r="I243" s="37" t="n"/>
      <c r="J243" s="37" t="n">
        <v>14</v>
      </c>
      <c r="K243" s="37" t="inlineStr">
        <is>
          <t>TABLED 2026-09-23: double-pass extraction 14 rows (sheet said 14); DesignTable_5605.xlsx; scope vs OMi feed: 4 BUILD / 10 DROP / 5 OMi-only (5 differ only by -FG); 1 source anomaly note(s) in 07_RAW_EXTRACTS/airway_anomalies_2026-09-23.txt</t>
        </is>
      </c>
    </row>
    <row r="244" ht="15" customHeight="1" s="35">
      <c r="A244" s="37" t="inlineStr">
        <is>
          <t>5605</t>
        </is>
      </c>
      <c r="B244" s="37" t="inlineStr">
        <is>
          <t>311</t>
        </is>
      </c>
      <c r="C244" s="37" t="inlineStr">
        <is>
          <t>SS5605 Female Pipe Tee series</t>
        </is>
      </c>
      <c r="D244" s="37" t="inlineStr">
        <is>
          <t>Stainless Steel Fittings</t>
        </is>
      </c>
      <c r="E244" s="37" t="inlineStr">
        <is>
          <t>Tee</t>
        </is>
      </c>
      <c r="F244" s="37" t="inlineStr">
        <is>
          <t>https://parts.air-way.com/hydraulic-fittings/stainless-steel-hydraulic-fittings/tee/ss5605-female-pipe-tee-series-311</t>
        </is>
      </c>
      <c r="G244" s="37" t="inlineStr">
        <is>
          <t>SAE J514 140438</t>
        </is>
      </c>
      <c r="H244" s="37" t="inlineStr">
        <is>
          <t>NOT STARTED</t>
        </is>
      </c>
      <c r="I244" s="37" t="n"/>
      <c r="J244" s="37" t="n">
        <v>8</v>
      </c>
      <c r="K244" s="37" t="n"/>
    </row>
    <row r="245" ht="15" customHeight="1" s="35">
      <c r="A245" s="37" t="inlineStr">
        <is>
          <t>5652</t>
        </is>
      </c>
      <c r="B245" s="37" t="inlineStr">
        <is>
          <t>214</t>
        </is>
      </c>
      <c r="C245" s="37" t="inlineStr">
        <is>
          <t>5652 Female Pipe Cross</t>
        </is>
      </c>
      <c r="D245" s="37" t="inlineStr">
        <is>
          <t>JIC 37 &amp; Beaded Hose</t>
        </is>
      </c>
      <c r="E245" s="37" t="inlineStr">
        <is>
          <t>Cross</t>
        </is>
      </c>
      <c r="F245" s="37" t="inlineStr">
        <is>
          <t>https://parts.air-way.com/hydraulic-fittings/jic-and-beaded-hose-fittings/cross/5652-female-pipe-cross-series-214</t>
        </is>
      </c>
      <c r="G245" s="37" t="inlineStr">
        <is>
          <t>none shown</t>
        </is>
      </c>
      <c r="H245" s="37" t="inlineStr">
        <is>
          <t>TABLED</t>
        </is>
      </c>
      <c r="I245" s="37" t="n"/>
      <c r="J245" s="37" t="n">
        <v>8</v>
      </c>
      <c r="K245" s="37" t="inlineStr">
        <is>
          <t>TABLED 2026-09-23: double-pass extraction 8 rows (sheet said 8); DesignTable_5652.xlsx; scope vs OMi feed: 0 BUILD / 8 DROP / 9 OMi-only (8 differ only by -FG)</t>
        </is>
      </c>
    </row>
    <row r="246" ht="15" customHeight="1" s="35">
      <c r="A246" s="37" t="inlineStr">
        <is>
          <t>5652</t>
        </is>
      </c>
      <c r="B246" s="37" t="inlineStr">
        <is>
          <t>318</t>
        </is>
      </c>
      <c r="C246" s="37" t="inlineStr">
        <is>
          <t>SS5652 Female Pipe Cross series</t>
        </is>
      </c>
      <c r="D246" s="37" t="inlineStr">
        <is>
          <t>Stainless Steel Fittings</t>
        </is>
      </c>
      <c r="E246" s="37" t="inlineStr">
        <is>
          <t>Cross</t>
        </is>
      </c>
      <c r="F246" s="37" t="inlineStr">
        <is>
          <t>https://parts.air-way.com/hydraulic-fittings/stainless-steel-hydraulic-fittings/cross/ss5652-female-pipe-cross-series-318</t>
        </is>
      </c>
      <c r="G246" s="37" t="inlineStr">
        <is>
          <t>none</t>
        </is>
      </c>
      <c r="H246" s="37" t="inlineStr">
        <is>
          <t>NOT STARTED</t>
        </is>
      </c>
      <c r="I246" s="37" t="n"/>
      <c r="J246" s="37" t="n">
        <v>3</v>
      </c>
      <c r="K246" s="37" t="n"/>
    </row>
    <row r="247" ht="15" customHeight="1" s="35">
      <c r="A247" s="37" t="inlineStr">
        <is>
          <t>5655</t>
        </is>
      </c>
      <c r="B247" s="37" t="inlineStr">
        <is>
          <t>217</t>
        </is>
      </c>
      <c r="C247" s="37" t="inlineStr">
        <is>
          <t>5655 Male Run Pipe Cross</t>
        </is>
      </c>
      <c r="D247" s="37" t="inlineStr">
        <is>
          <t>JIC 37 &amp; Beaded Hose</t>
        </is>
      </c>
      <c r="E247" s="37" t="inlineStr">
        <is>
          <t>Cross</t>
        </is>
      </c>
      <c r="F247" s="37" t="inlineStr">
        <is>
          <t>https://parts.air-way.com/hydraulic-fittings/jic-and-beaded-hose-fittings/cross/5655-male-run-pipe-cross-series-217</t>
        </is>
      </c>
      <c r="G247" s="37" t="inlineStr">
        <is>
          <t>none shown</t>
        </is>
      </c>
      <c r="H247" s="37" t="inlineStr">
        <is>
          <t>NOT STARTED</t>
        </is>
      </c>
      <c r="I247" s="37" t="n"/>
      <c r="J247" s="37" t="n">
        <v>5</v>
      </c>
      <c r="K247" s="37" t="n"/>
    </row>
    <row r="248" ht="15" customHeight="1" s="35">
      <c r="A248" s="37" t="inlineStr">
        <is>
          <t>600</t>
        </is>
      </c>
      <c r="B248" s="37" t="inlineStr">
        <is>
          <t>162</t>
        </is>
      </c>
      <c r="C248" s="37" t="inlineStr">
        <is>
          <t>600 Braze Tube Run/Run Tee</t>
        </is>
      </c>
      <c r="D248" s="37" t="inlineStr">
        <is>
          <t>JIC 37 &amp; Beaded Hose</t>
        </is>
      </c>
      <c r="E248" s="37" t="inlineStr">
        <is>
          <t>Tee</t>
        </is>
      </c>
      <c r="F248" s="37" t="inlineStr">
        <is>
          <t>https://parts.air-way.com/hydraulic-fittings/jic-and-beaded-hose-fittings/tee/600-braze-tube-run-run-tee-series-162</t>
        </is>
      </c>
      <c r="G248" s="37" t="inlineStr">
        <is>
          <t>none shown</t>
        </is>
      </c>
      <c r="H248" s="37" t="inlineStr">
        <is>
          <t>NOT STARTED</t>
        </is>
      </c>
      <c r="I248" s="37" t="n"/>
      <c r="J248" s="37" t="n">
        <v>8</v>
      </c>
      <c r="K248" s="37" t="n"/>
    </row>
    <row r="249" ht="15" customHeight="1" s="35">
      <c r="A249" s="37" t="inlineStr">
        <is>
          <t>603</t>
        </is>
      </c>
      <c r="B249" s="37" t="inlineStr">
        <is>
          <t>165</t>
        </is>
      </c>
      <c r="C249" s="37" t="inlineStr">
        <is>
          <t>603 Braze Junction Tee</t>
        </is>
      </c>
      <c r="D249" s="37" t="inlineStr">
        <is>
          <t>JIC 37 &amp; Beaded Hose</t>
        </is>
      </c>
      <c r="E249" s="37" t="inlineStr">
        <is>
          <t>Tee</t>
        </is>
      </c>
      <c r="F249" s="37" t="inlineStr">
        <is>
          <t>https://parts.air-way.com/hydraulic-fittings/jic-and-beaded-hose-fittings/tee/603-braze-junction-tee-series-165</t>
        </is>
      </c>
      <c r="G249" s="37" t="inlineStr">
        <is>
          <t>none shown</t>
        </is>
      </c>
      <c r="H249" s="37" t="inlineStr">
        <is>
          <t>NOT STARTED</t>
        </is>
      </c>
      <c r="I249" s="37" t="n"/>
      <c r="J249" s="37" t="n">
        <v>1</v>
      </c>
      <c r="K249" s="37" t="n"/>
    </row>
    <row r="250" ht="15" customHeight="1" s="35">
      <c r="A250" s="37" t="inlineStr">
        <is>
          <t>6400</t>
        </is>
      </c>
      <c r="B250" s="37" t="inlineStr">
        <is>
          <t>335</t>
        </is>
      </c>
      <c r="C250" s="37" t="inlineStr">
        <is>
          <t>F6400 Straight Thread Connector</t>
        </is>
      </c>
      <c r="D250" s="37" t="inlineStr">
        <is>
          <t>FLARE-O</t>
        </is>
      </c>
      <c r="E250" s="37" t="inlineStr">
        <is>
          <t>Straight</t>
        </is>
      </c>
      <c r="F250" s="37" t="inlineStr">
        <is>
          <t>https://parts.air-way.com/hydraulic-fittings/flare-o-hydraulic-fittings/straight/f6400-straight-thread-connector-series-335</t>
        </is>
      </c>
      <c r="G250" s="37" t="inlineStr">
        <is>
          <t>SAE J514 070120</t>
        </is>
      </c>
      <c r="H250" s="37" t="inlineStr">
        <is>
          <t>NOT STARTED</t>
        </is>
      </c>
      <c r="I250" s="37" t="n"/>
      <c r="J250" s="37" t="n">
        <v>35</v>
      </c>
      <c r="K250" s="37" t="n"/>
    </row>
    <row r="251" ht="15" customHeight="1" s="35">
      <c r="A251" s="37" t="inlineStr">
        <is>
          <t>6400</t>
        </is>
      </c>
      <c r="B251" s="37" t="inlineStr">
        <is>
          <t>450</t>
        </is>
      </c>
      <c r="C251" s="37" t="inlineStr">
        <is>
          <t>MBP6400 Threaded Straight Fitting, JIC to BSPP Stud End</t>
        </is>
      </c>
      <c r="D251" s="37" t="inlineStr">
        <is>
          <t>International &amp; Metric</t>
        </is>
      </c>
      <c r="E251" s="37" t="inlineStr">
        <is>
          <t>BSPP</t>
        </is>
      </c>
      <c r="F251" s="37" t="inlineStr">
        <is>
          <t>https://parts.air-way.com/hydraulic-fittings/international-metric/bspp/mbp6400-threaded-straight-fitting-jic-to-bspp-stud-end-series-450</t>
        </is>
      </c>
      <c r="G251" s="37" t="inlineStr">
        <is>
          <t>SAE J514, ISO 1179-3</t>
        </is>
      </c>
      <c r="H251" s="37" t="inlineStr">
        <is>
          <t>NOT STARTED</t>
        </is>
      </c>
      <c r="I251" s="37" t="n"/>
      <c r="J251" s="37" t="n">
        <v>24</v>
      </c>
      <c r="K251" s="37" t="n"/>
    </row>
    <row r="252" ht="15" customHeight="1" s="35">
      <c r="A252" s="37" t="inlineStr">
        <is>
          <t>6400</t>
        </is>
      </c>
      <c r="B252" s="37" t="inlineStr">
        <is>
          <t>464</t>
        </is>
      </c>
      <c r="C252" s="37" t="inlineStr">
        <is>
          <t>MBS6400 Threaded Straight Fitting, BSPP 60° Cone to SAE Stud End</t>
        </is>
      </c>
      <c r="D252" s="37" t="inlineStr">
        <is>
          <t>International &amp; Metric</t>
        </is>
      </c>
      <c r="E252" s="37" t="inlineStr">
        <is>
          <t>BSPP ISO 8434-6</t>
        </is>
      </c>
      <c r="F252" s="37" t="inlineStr">
        <is>
          <t>https://parts.air-way.com/hydraulic-fittings/international-metric/bspp-iso-8434-6/mbs6400-threaded-straight-fitting-bspp-60-cone-to-sae-stud-end-series-464</t>
        </is>
      </c>
      <c r="G252" s="37" t="inlineStr">
        <is>
          <t>ISO 8434-6 to SAE J1926-3</t>
        </is>
      </c>
      <c r="H252" s="37" t="inlineStr">
        <is>
          <t>NOT STARTED</t>
        </is>
      </c>
      <c r="I252" s="37" t="n"/>
      <c r="J252" s="37" t="n">
        <v>1</v>
      </c>
      <c r="K252" s="37" t="n"/>
    </row>
    <row r="253" ht="15" customHeight="1" s="35">
      <c r="A253" s="37" t="inlineStr">
        <is>
          <t>6400</t>
        </is>
      </c>
      <c r="B253" s="37" t="inlineStr">
        <is>
          <t>442</t>
        </is>
      </c>
      <c r="C253" s="37" t="inlineStr">
        <is>
          <t>M6400 Threaded Straight Fitting, JIC to Metric Stud End</t>
        </is>
      </c>
      <c r="D253" s="37" t="inlineStr">
        <is>
          <t>International &amp; Metric</t>
        </is>
      </c>
      <c r="E253" s="37" t="inlineStr">
        <is>
          <t>Metric</t>
        </is>
      </c>
      <c r="F253" s="37" t="inlineStr">
        <is>
          <t>https://parts.air-way.com/hydraulic-fittings/international-metric/metric/m6400-threaded-straight-fitting-jic-to-metric-stud-end-series-442</t>
        </is>
      </c>
      <c r="G253" s="37" t="inlineStr">
        <is>
          <t>SAE J514, ISO 9974</t>
        </is>
      </c>
      <c r="H253" s="37" t="inlineStr">
        <is>
          <t>NOT STARTED</t>
        </is>
      </c>
      <c r="I253" s="37" t="n"/>
      <c r="J253" s="37" t="n">
        <v>19</v>
      </c>
      <c r="K253" s="37" t="n"/>
    </row>
    <row r="254" ht="15" customHeight="1" s="35">
      <c r="A254" s="37" t="inlineStr">
        <is>
          <t>6400</t>
        </is>
      </c>
      <c r="B254" s="37" t="inlineStr">
        <is>
          <t>474</t>
        </is>
      </c>
      <c r="C254" s="37" t="inlineStr">
        <is>
          <t>MFF6400 Threaded Straight Fitting, ORFS to Metric Stud End</t>
        </is>
      </c>
      <c r="D254" s="37" t="inlineStr">
        <is>
          <t>International &amp; Metric</t>
        </is>
      </c>
      <c r="E254" s="37" t="inlineStr">
        <is>
          <t>ORFS metric</t>
        </is>
      </c>
      <c r="F254" s="37" t="inlineStr">
        <is>
          <t>https://parts.air-way.com/hydraulic-fittings/international-metric/orfs-metric/mff6400-threaded-straight-fitting-orfs-to-metric-stud-end-series-474</t>
        </is>
      </c>
      <c r="G254" s="37" t="inlineStr">
        <is>
          <t>SAE J1453, ISO 8434-3, ISO 6149</t>
        </is>
      </c>
      <c r="H254" s="37" t="inlineStr">
        <is>
          <t>NOT STARTED</t>
        </is>
      </c>
      <c r="I254" s="37" t="n"/>
      <c r="J254" s="37" t="n">
        <v>36</v>
      </c>
      <c r="K254" s="37" t="n"/>
    </row>
    <row r="255" ht="15" customHeight="1" s="35">
      <c r="A255" s="37" t="inlineStr">
        <is>
          <t>6400</t>
        </is>
      </c>
      <c r="B255" s="37" t="inlineStr">
        <is>
          <t>89</t>
        </is>
      </c>
      <c r="C255" s="37" t="inlineStr">
        <is>
          <t>6400 Straight Thread Connector</t>
        </is>
      </c>
      <c r="D255" s="37" t="inlineStr">
        <is>
          <t>JIC 37 &amp; Beaded Hose</t>
        </is>
      </c>
      <c r="E255" s="37" t="inlineStr">
        <is>
          <t>Straight</t>
        </is>
      </c>
      <c r="F255" s="37" t="inlineStr">
        <is>
          <t>https://parts.air-way.com/hydraulic-fittings/jic-and-beaded-hose-fittings/straight/6400-straight-thread-connector-series-89</t>
        </is>
      </c>
      <c r="G255" s="37" t="inlineStr">
        <is>
          <t>SAE J514 070120 / MS51525 / MS39324</t>
        </is>
      </c>
      <c r="H255" s="37" t="inlineStr">
        <is>
          <t>NOT STARTED</t>
        </is>
      </c>
      <c r="I255" s="37" t="n"/>
      <c r="J255" s="37" t="n">
        <v>65</v>
      </c>
      <c r="K255" s="37" t="n"/>
    </row>
    <row r="256" ht="15" customHeight="1" s="35">
      <c r="A256" s="37" t="inlineStr">
        <is>
          <t>6400</t>
        </is>
      </c>
      <c r="B256" s="37" t="inlineStr">
        <is>
          <t>14</t>
        </is>
      </c>
      <c r="C256" s="37" t="inlineStr">
        <is>
          <t>FF6400 Straight Thread Connector</t>
        </is>
      </c>
      <c r="D256" s="37" t="inlineStr">
        <is>
          <t>ORFS</t>
        </is>
      </c>
      <c r="E256" s="37" t="inlineStr">
        <is>
          <t>Straight</t>
        </is>
      </c>
      <c r="F256" s="37" t="inlineStr">
        <is>
          <t>https://parts.air-way.com/hydraulic-fittings/o-ring-face-seal-orfs-hydraulic-fittings/straight/ff6400-straight-thread-connector-series-14</t>
        </is>
      </c>
      <c r="G256" s="37" t="inlineStr">
        <is>
          <t>SAE J1453 520120</t>
        </is>
      </c>
      <c r="H256" s="37" t="inlineStr">
        <is>
          <t>NOT STARTED</t>
        </is>
      </c>
      <c r="I256" s="37" t="n"/>
      <c r="J256" s="37" t="n">
        <v>41</v>
      </c>
      <c r="K256" s="37" t="n"/>
    </row>
    <row r="257" ht="15" customHeight="1" s="35">
      <c r="A257" s="37" t="inlineStr">
        <is>
          <t>6400</t>
        </is>
      </c>
      <c r="B257" s="37" t="inlineStr">
        <is>
          <t>248</t>
        </is>
      </c>
      <c r="C257" s="37" t="inlineStr">
        <is>
          <t>SS6400 Straight Thread Connector series</t>
        </is>
      </c>
      <c r="D257" s="37" t="inlineStr">
        <is>
          <t>Stainless Steel Fittings</t>
        </is>
      </c>
      <c r="E257" s="37" t="inlineStr">
        <is>
          <t>Straight</t>
        </is>
      </c>
      <c r="F257" s="37" t="inlineStr">
        <is>
          <t>https://parts.air-way.com/hydraulic-fittings/stainless-steel-hydraulic-fittings/straight/ss6400-straight-thread-connector-series-248</t>
        </is>
      </c>
      <c r="G257" s="37" t="inlineStr">
        <is>
          <t>SAE J514 070120 / MS51525 / MS39324</t>
        </is>
      </c>
      <c r="H257" s="37" t="inlineStr">
        <is>
          <t>NOT STARTED</t>
        </is>
      </c>
      <c r="I257" s="37" t="n"/>
      <c r="J257" s="37" t="n">
        <v>38</v>
      </c>
      <c r="K257" s="37" t="n"/>
    </row>
    <row r="258" ht="15" customHeight="1" s="35">
      <c r="A258" s="37" t="inlineStr">
        <is>
          <t>6400-L</t>
        </is>
      </c>
      <c r="B258" s="37" t="inlineStr">
        <is>
          <t>336</t>
        </is>
      </c>
      <c r="C258" s="37" t="inlineStr">
        <is>
          <t>F6400-L Straight Thread Connector Long</t>
        </is>
      </c>
      <c r="D258" s="37" t="inlineStr">
        <is>
          <t>FLARE-O</t>
        </is>
      </c>
      <c r="E258" s="37" t="inlineStr">
        <is>
          <t>Straight</t>
        </is>
      </c>
      <c r="F258" s="37" t="inlineStr">
        <is>
          <t>https://parts.air-way.com/hydraulic-fittings/flare-o-hydraulic-fittings/straight/f6400-l-straight-thread-connector-long-series-336</t>
        </is>
      </c>
      <c r="G258" s="37" t="inlineStr">
        <is>
          <t>SAE J514 071720</t>
        </is>
      </c>
      <c r="H258" s="37" t="inlineStr">
        <is>
          <t>NOT STARTED</t>
        </is>
      </c>
      <c r="I258" s="37" t="n"/>
      <c r="J258" s="37" t="n">
        <v>5</v>
      </c>
      <c r="K258" s="37" t="n"/>
    </row>
    <row r="259" ht="15" customHeight="1" s="35">
      <c r="A259" s="37" t="inlineStr">
        <is>
          <t>6400-L</t>
        </is>
      </c>
      <c r="B259" s="37" t="inlineStr">
        <is>
          <t>475</t>
        </is>
      </c>
      <c r="C259" s="37" t="inlineStr">
        <is>
          <t>MFF6400-L Threaded Straight Fitting, ORFS to Metric Stud End - Long</t>
        </is>
      </c>
      <c r="D259" s="37" t="inlineStr">
        <is>
          <t>International &amp; Metric</t>
        </is>
      </c>
      <c r="E259" s="37" t="inlineStr">
        <is>
          <t>ORFS metric</t>
        </is>
      </c>
      <c r="F259" s="37" t="inlineStr">
        <is>
          <t>https://parts.air-way.com/hydraulic-fittings/international-metric/orfs-metric/mff6400-l-threaded-straight-fitting-orfs-to-metric-stud-end-long-series-475</t>
        </is>
      </c>
      <c r="G259" s="37" t="inlineStr">
        <is>
          <t>SAE J1453, ISO 8434-3, ISO 6149</t>
        </is>
      </c>
      <c r="H259" s="37" t="inlineStr">
        <is>
          <t>NOT STARTED</t>
        </is>
      </c>
      <c r="I259" s="37" t="n"/>
      <c r="J259" s="37" t="n">
        <v>20</v>
      </c>
      <c r="K259" s="37" t="n"/>
    </row>
    <row r="260" ht="15" customHeight="1" s="35">
      <c r="A260" s="37" t="inlineStr">
        <is>
          <t>6400-L</t>
        </is>
      </c>
      <c r="B260" s="37" t="inlineStr">
        <is>
          <t>90</t>
        </is>
      </c>
      <c r="C260" s="37" t="inlineStr">
        <is>
          <t>6400-L Straight Thread Connector Long</t>
        </is>
      </c>
      <c r="D260" s="37" t="inlineStr">
        <is>
          <t>JIC 37 &amp; Beaded Hose</t>
        </is>
      </c>
      <c r="E260" s="37" t="inlineStr">
        <is>
          <t>Straight</t>
        </is>
      </c>
      <c r="F260" s="37" t="inlineStr">
        <is>
          <t>https://parts.air-way.com/hydraulic-fittings/jic-and-beaded-hose-fittings/straight/6400-l-straight-thread-connector-long-series-90</t>
        </is>
      </c>
      <c r="G260" s="37" t="inlineStr">
        <is>
          <t>SAE J514 071720 formally 070122 / MS51526</t>
        </is>
      </c>
      <c r="H260" s="37" t="inlineStr">
        <is>
          <t>NOT STARTED</t>
        </is>
      </c>
      <c r="I260" s="37" t="n"/>
      <c r="J260" s="37" t="n">
        <v>15</v>
      </c>
      <c r="K260" s="37" t="n"/>
    </row>
    <row r="261" ht="15" customHeight="1" s="35">
      <c r="A261" s="37" t="inlineStr">
        <is>
          <t>6400-L</t>
        </is>
      </c>
      <c r="B261" s="37" t="inlineStr">
        <is>
          <t>15</t>
        </is>
      </c>
      <c r="C261" s="37" t="inlineStr">
        <is>
          <t>FF6400-L Straight Thread Connector Long</t>
        </is>
      </c>
      <c r="D261" s="37" t="inlineStr">
        <is>
          <t>ORFS</t>
        </is>
      </c>
      <c r="E261" s="37" t="inlineStr">
        <is>
          <t>Straight</t>
        </is>
      </c>
      <c r="F261" s="37" t="inlineStr">
        <is>
          <t>https://parts.air-way.com/hydraulic-fittings/o-ring-face-seal-orfs-hydraulic-fittings/straight/ff6400-l-straight-thread-connector-long-series-15</t>
        </is>
      </c>
      <c r="G261" s="37" t="inlineStr">
        <is>
          <t>SAE J1453 521820/521720</t>
        </is>
      </c>
      <c r="H261" s="37" t="inlineStr">
        <is>
          <t>NOT STARTED</t>
        </is>
      </c>
      <c r="I261" s="37" t="n"/>
      <c r="J261" s="37" t="n">
        <v>16</v>
      </c>
      <c r="K261" s="37" t="n"/>
    </row>
    <row r="262" ht="15" customHeight="1" s="35">
      <c r="A262" s="37" t="inlineStr">
        <is>
          <t>6400-L</t>
        </is>
      </c>
      <c r="B262" s="37" t="inlineStr">
        <is>
          <t>249</t>
        </is>
      </c>
      <c r="C262" s="37" t="inlineStr">
        <is>
          <t>SS6400-L Straight Thread Connector Long series</t>
        </is>
      </c>
      <c r="D262" s="37" t="inlineStr">
        <is>
          <t>Stainless Steel Fittings</t>
        </is>
      </c>
      <c r="E262" s="37" t="inlineStr">
        <is>
          <t>Straight</t>
        </is>
      </c>
      <c r="F262" s="37" t="inlineStr">
        <is>
          <t>https://parts.air-way.com/hydraulic-fittings/stainless-steel-hydraulic-fittings/straight/ss6400-l-straight-thread-connector-long-series-249</t>
        </is>
      </c>
      <c r="G262" s="37" t="inlineStr">
        <is>
          <t>SAE J514 071720 formally 070122 / MS51526</t>
        </is>
      </c>
      <c r="H262" s="37" t="inlineStr">
        <is>
          <t>NOT STARTED</t>
        </is>
      </c>
      <c r="I262" s="37" t="n"/>
      <c r="J262" s="37" t="n">
        <v>2</v>
      </c>
      <c r="K262" s="37" t="n"/>
    </row>
    <row r="263" ht="15" customHeight="1" s="35">
      <c r="A263" s="37" t="inlineStr">
        <is>
          <t>6400-LL</t>
        </is>
      </c>
      <c r="B263" s="37" t="inlineStr">
        <is>
          <t>497</t>
        </is>
      </c>
      <c r="C263" s="37" t="inlineStr">
        <is>
          <t>MFF6400-LL ORFS to Metric Stud End - Long</t>
        </is>
      </c>
      <c r="D263" s="37" t="inlineStr">
        <is>
          <t>International &amp; Metric</t>
        </is>
      </c>
      <c r="E263" s="37" t="inlineStr">
        <is>
          <t>ORFS metric</t>
        </is>
      </c>
      <c r="F263" s="37" t="inlineStr">
        <is>
          <t>https://parts.air-way.com/hydraulic-fittings/international-metric/orfs-metric/mff6400-ll-orfs-to-metric-stud-end-long-series-497</t>
        </is>
      </c>
      <c r="G263" s="37" t="inlineStr">
        <is>
          <t>SAE J1453, ISO 8434-3, ISO 6149</t>
        </is>
      </c>
      <c r="H263" s="37" t="inlineStr">
        <is>
          <t>NOT STARTED</t>
        </is>
      </c>
      <c r="I263" s="37" t="n"/>
      <c r="J263" s="37" t="n">
        <v>4</v>
      </c>
      <c r="K263" s="37" t="n"/>
    </row>
    <row r="264" ht="15" customHeight="1" s="35">
      <c r="A264" s="37" t="inlineStr">
        <is>
          <t>6401</t>
        </is>
      </c>
      <c r="B264" s="37" t="inlineStr">
        <is>
          <t>91</t>
        </is>
      </c>
      <c r="C264" s="37" t="inlineStr">
        <is>
          <t>6401 Straight Thread/Male Pipe Adapter</t>
        </is>
      </c>
      <c r="D264" s="37" t="inlineStr">
        <is>
          <t>JIC 37 &amp; Beaded Hose</t>
        </is>
      </c>
      <c r="E264" s="37" t="inlineStr">
        <is>
          <t>Straight</t>
        </is>
      </c>
      <c r="F264" s="37" t="inlineStr">
        <is>
          <t>https://parts.air-way.com/hydraulic-fittings/jic-and-beaded-hose-fittings/straight/6401-straight-thread-male-pipe-adapter-series-91</t>
        </is>
      </c>
      <c r="G264" s="37" t="inlineStr">
        <is>
          <t>none shown</t>
        </is>
      </c>
      <c r="H264" s="37" t="inlineStr">
        <is>
          <t>NOT STARTED</t>
        </is>
      </c>
      <c r="I264" s="37" t="n"/>
      <c r="J264" s="37" t="n">
        <v>26</v>
      </c>
      <c r="K264" s="37" t="n"/>
    </row>
    <row r="265" ht="15" customHeight="1" s="35">
      <c r="A265" s="37" t="inlineStr">
        <is>
          <t>6401</t>
        </is>
      </c>
      <c r="B265" s="37" t="inlineStr">
        <is>
          <t>250</t>
        </is>
      </c>
      <c r="C265" s="37" t="inlineStr">
        <is>
          <t>SS6401 Straight Thread/Male Pipe Adapter series</t>
        </is>
      </c>
      <c r="D265" s="37" t="inlineStr">
        <is>
          <t>Stainless Steel Fittings</t>
        </is>
      </c>
      <c r="E265" s="37" t="inlineStr">
        <is>
          <t>Straight</t>
        </is>
      </c>
      <c r="F265" s="37" t="inlineStr">
        <is>
          <t>https://parts.air-way.com/hydraulic-fittings/stainless-steel-hydraulic-fittings/straight/ss6401-straight-thread-male-pipe-adapter-series-250</t>
        </is>
      </c>
      <c r="G265" s="37" t="inlineStr">
        <is>
          <t>SAE J514 (no numeric code shown)</t>
        </is>
      </c>
      <c r="H265" s="37" t="inlineStr">
        <is>
          <t>NOT STARTED</t>
        </is>
      </c>
      <c r="I265" s="37" t="n"/>
      <c r="J265" s="37" t="n">
        <v>11</v>
      </c>
      <c r="K265" s="37" t="n"/>
    </row>
    <row r="266" ht="15" customHeight="1" s="35">
      <c r="A266" s="37" t="inlineStr">
        <is>
          <t>6402</t>
        </is>
      </c>
      <c r="B266" s="37" t="inlineStr">
        <is>
          <t>512</t>
        </is>
      </c>
      <c r="C266" s="37" t="inlineStr">
        <is>
          <t>MFF6402 Straight Thread / Swivel Adapter</t>
        </is>
      </c>
      <c r="D266" s="37" t="inlineStr">
        <is>
          <t>International &amp; Metric</t>
        </is>
      </c>
      <c r="E266" s="37" t="inlineStr">
        <is>
          <t>ORFS metric</t>
        </is>
      </c>
      <c r="F266" s="37" t="inlineStr">
        <is>
          <t>https://parts.air-way.com/hydraulic-fittings/international-metric/orfs-metric/mff6402-straight-thread-swivel-adapter-series-512</t>
        </is>
      </c>
      <c r="G266" s="37" t="inlineStr">
        <is>
          <t>SAE J1432-2 52M0196 (as printed)</t>
        </is>
      </c>
      <c r="H266" s="37" t="inlineStr">
        <is>
          <t>NOT STARTED</t>
        </is>
      </c>
      <c r="I266" s="37" t="n"/>
      <c r="J266" s="37" t="n">
        <v>5</v>
      </c>
      <c r="K266" s="37" t="n"/>
    </row>
    <row r="267" ht="15" customHeight="1" s="35">
      <c r="A267" s="37" t="inlineStr">
        <is>
          <t>6402</t>
        </is>
      </c>
      <c r="B267" s="37" t="inlineStr">
        <is>
          <t>92</t>
        </is>
      </c>
      <c r="C267" s="37" t="inlineStr">
        <is>
          <t>6402 Straight Thread/37° Female Swivel Adapter</t>
        </is>
      </c>
      <c r="D267" s="37" t="inlineStr">
        <is>
          <t>JIC 37 &amp; Beaded Hose</t>
        </is>
      </c>
      <c r="E267" s="37" t="inlineStr">
        <is>
          <t>Straight</t>
        </is>
      </c>
      <c r="F267" s="37" t="inlineStr">
        <is>
          <t>https://parts.air-way.com/hydraulic-fittings/jic-and-beaded-hose-fittings/straight/6402-straight-thread-37-female-swivel-adapter-series-92</t>
        </is>
      </c>
      <c r="G267" s="37" t="inlineStr">
        <is>
          <t>none shown</t>
        </is>
      </c>
      <c r="H267" s="37" t="inlineStr">
        <is>
          <t>TABLED</t>
        </is>
      </c>
      <c r="I267" s="37" t="n"/>
      <c r="J267" s="37" t="n">
        <v>22</v>
      </c>
      <c r="K267" s="37" t="inlineStr">
        <is>
          <t>TABLED 2026-09-23: double-pass extraction 22 rows (sheet said 22); DesignTable_6402.xlsx; scope vs OMi feed: 15 BUILD / 7 DROP / 0 OMi-only (0 differ only by -FG); 1 source anomaly note(s) in 07_RAW_EXTRACTS/airway_anomalies_2026-09-23.txt</t>
        </is>
      </c>
    </row>
    <row r="268" ht="15" customHeight="1" s="35">
      <c r="A268" s="37" t="inlineStr">
        <is>
          <t>6402</t>
        </is>
      </c>
      <c r="B268" s="37" t="inlineStr">
        <is>
          <t>16</t>
        </is>
      </c>
      <c r="C268" s="37" t="inlineStr">
        <is>
          <t>FF6402 Straight Thread / Female ORFS Swivel Adapter</t>
        </is>
      </c>
      <c r="D268" s="37" t="inlineStr">
        <is>
          <t>ORFS</t>
        </is>
      </c>
      <c r="E268" s="37" t="inlineStr">
        <is>
          <t>Straight</t>
        </is>
      </c>
      <c r="F268" s="37" t="inlineStr">
        <is>
          <t>https://parts.air-way.com/hydraulic-fittings/o-ring-face-seal-orfs-hydraulic-fittings/straight/ff6402-straight-thread-female-orfs-swivel-adapter-series-16</t>
        </is>
      </c>
      <c r="G268" s="37" t="inlineStr">
        <is>
          <t>SAE J1453 520181</t>
        </is>
      </c>
      <c r="H268" s="37" t="inlineStr">
        <is>
          <t>NOT STARTED</t>
        </is>
      </c>
      <c r="I268" s="37" t="n"/>
      <c r="J268" s="37" t="n">
        <v>11</v>
      </c>
      <c r="K268" s="37" t="n"/>
    </row>
    <row r="269" ht="15" customHeight="1" s="35">
      <c r="A269" s="37" t="inlineStr">
        <is>
          <t>6402</t>
        </is>
      </c>
      <c r="B269" s="37" t="inlineStr">
        <is>
          <t>251</t>
        </is>
      </c>
      <c r="C269" s="37" t="inlineStr">
        <is>
          <t>SS6402 Straight Thread/37° Female Swivel Adapter series</t>
        </is>
      </c>
      <c r="D269" s="37" t="inlineStr">
        <is>
          <t>Stainless Steel Fittings</t>
        </is>
      </c>
      <c r="E269" s="37" t="inlineStr">
        <is>
          <t>Straight</t>
        </is>
      </c>
      <c r="F269" s="37" t="inlineStr">
        <is>
          <t>https://parts.air-way.com/hydraulic-fittings/stainless-steel-hydraulic-fittings/straight/ss6402-straight-thread-37-female-swivel-adapter-series-251</t>
        </is>
      </c>
      <c r="G269" s="37" t="inlineStr">
        <is>
          <t>SAE J514 (no numeric code shown)</t>
        </is>
      </c>
      <c r="H269" s="37" t="inlineStr">
        <is>
          <t>NOT STARTED</t>
        </is>
      </c>
      <c r="I269" s="37" t="n"/>
      <c r="J269" s="37" t="n">
        <v>8</v>
      </c>
      <c r="K269" s="37" t="n"/>
    </row>
    <row r="270" ht="15" customHeight="1" s="35">
      <c r="A270" s="37" t="inlineStr">
        <is>
          <t>6403</t>
        </is>
      </c>
      <c r="B270" s="37" t="inlineStr">
        <is>
          <t>93</t>
        </is>
      </c>
      <c r="C270" s="37" t="inlineStr">
        <is>
          <t>6403 Straight Thread Union</t>
        </is>
      </c>
      <c r="D270" s="37" t="inlineStr">
        <is>
          <t>JIC 37 &amp; Beaded Hose</t>
        </is>
      </c>
      <c r="E270" s="37" t="inlineStr">
        <is>
          <t>Straight</t>
        </is>
      </c>
      <c r="F270" s="37" t="inlineStr">
        <is>
          <t>https://parts.air-way.com/hydraulic-fittings/jic-and-beaded-hose-fittings/straight/6403-straight-thread-union-series-93</t>
        </is>
      </c>
      <c r="G270" s="37" t="inlineStr">
        <is>
          <t>none shown</t>
        </is>
      </c>
      <c r="H270" s="37" t="inlineStr">
        <is>
          <t>NOT STARTED</t>
        </is>
      </c>
      <c r="I270" s="37" t="n"/>
      <c r="J270" s="37" t="n">
        <v>8</v>
      </c>
      <c r="K270" s="37" t="n"/>
    </row>
    <row r="271" ht="15" customHeight="1" s="35">
      <c r="A271" s="37" t="inlineStr">
        <is>
          <t>6404</t>
        </is>
      </c>
      <c r="B271" s="37" t="inlineStr">
        <is>
          <t>94</t>
        </is>
      </c>
      <c r="C271" s="37" t="inlineStr">
        <is>
          <t>6404 O-ring Port/Male Pipe Adapter</t>
        </is>
      </c>
      <c r="D271" s="37" t="inlineStr">
        <is>
          <t>JIC 37 &amp; Beaded Hose</t>
        </is>
      </c>
      <c r="E271" s="37" t="inlineStr">
        <is>
          <t>Straight</t>
        </is>
      </c>
      <c r="F271" s="37" t="inlineStr">
        <is>
          <t>https://parts.air-way.com/hydraulic-fittings/jic-and-beaded-hose-fittings/straight/6404-o-ring-port-male-pipe-adapter-series-94</t>
        </is>
      </c>
      <c r="G271" s="37" t="inlineStr">
        <is>
          <t>none shown</t>
        </is>
      </c>
      <c r="H271" s="37" t="inlineStr">
        <is>
          <t>NOT STARTED</t>
        </is>
      </c>
      <c r="I271" s="37" t="n"/>
      <c r="J271" s="37" t="n">
        <v>26</v>
      </c>
      <c r="K271" s="37" t="n"/>
    </row>
    <row r="272" ht="15" customHeight="1" s="35">
      <c r="A272" s="37" t="inlineStr">
        <is>
          <t>6404</t>
        </is>
      </c>
      <c r="B272" s="37" t="inlineStr">
        <is>
          <t>252</t>
        </is>
      </c>
      <c r="C272" s="37" t="inlineStr">
        <is>
          <t>SS6404 O-ring Port/Male Pipe Adapter series</t>
        </is>
      </c>
      <c r="D272" s="37" t="inlineStr">
        <is>
          <t>Stainless Steel Fittings</t>
        </is>
      </c>
      <c r="E272" s="37" t="inlineStr">
        <is>
          <t>Straight</t>
        </is>
      </c>
      <c r="F272" s="37" t="inlineStr">
        <is>
          <t>https://parts.air-way.com/hydraulic-fittings/stainless-steel-hydraulic-fittings/straight/ss6404-o-ring-port-male-pipe-adapter-series-252</t>
        </is>
      </c>
      <c r="G272" s="37" t="inlineStr">
        <is>
          <t>SAE J514 (no numeric code shown)</t>
        </is>
      </c>
      <c r="H272" s="37" t="inlineStr">
        <is>
          <t>NOT STARTED</t>
        </is>
      </c>
      <c r="I272" s="37" t="n"/>
      <c r="J272" s="37" t="n">
        <v>9</v>
      </c>
      <c r="K272" s="37" t="n"/>
    </row>
    <row r="273" ht="15" customHeight="1" s="35">
      <c r="A273" s="37" t="inlineStr">
        <is>
          <t>6405</t>
        </is>
      </c>
      <c r="B273" s="37" t="inlineStr">
        <is>
          <t>496</t>
        </is>
      </c>
      <c r="C273" s="37" t="inlineStr">
        <is>
          <t>MBP6405 BSPP End to Female NPTF Stud</t>
        </is>
      </c>
      <c r="D273" s="37" t="inlineStr">
        <is>
          <t>International &amp; Metric</t>
        </is>
      </c>
      <c r="E273" s="37" t="inlineStr">
        <is>
          <t>BSPP</t>
        </is>
      </c>
      <c r="F273" s="37" t="inlineStr">
        <is>
          <t>https://parts.air-way.com/hydraulic-fittings/international-metric/bspp/mbp6405-bspp-end-to-female-nptf-stud-series-496</t>
        </is>
      </c>
      <c r="G273" s="37" t="inlineStr">
        <is>
          <t>ISO 1179-3, SAE J514</t>
        </is>
      </c>
      <c r="H273" s="37" t="inlineStr">
        <is>
          <t>NOT STARTED</t>
        </is>
      </c>
      <c r="I273" s="37" t="n"/>
      <c r="J273" s="37" t="n">
        <v>2</v>
      </c>
      <c r="K273" s="37" t="n"/>
    </row>
    <row r="274" ht="15" customHeight="1" s="35">
      <c r="A274" s="37" t="inlineStr">
        <is>
          <t>6405</t>
        </is>
      </c>
      <c r="B274" s="37" t="inlineStr">
        <is>
          <t>443</t>
        </is>
      </c>
      <c r="C274" s="37" t="inlineStr">
        <is>
          <t>M6405 Threaded Straight Fitting, Metric Stud End to Female NPTF</t>
        </is>
      </c>
      <c r="D274" s="37" t="inlineStr">
        <is>
          <t>International &amp; Metric</t>
        </is>
      </c>
      <c r="E274" s="37" t="inlineStr">
        <is>
          <t>Metric</t>
        </is>
      </c>
      <c r="F274" s="37" t="inlineStr">
        <is>
          <t>https://parts.air-way.com/hydraulic-fittings/international-metric/metric/m6405-threaded-straight-fitting-metric-stud-end-to-female-nptf-series-443</t>
        </is>
      </c>
      <c r="G274" s="37" t="inlineStr">
        <is>
          <t>ISO 9974, SAE J514</t>
        </is>
      </c>
      <c r="H274" s="37" t="inlineStr">
        <is>
          <t>NOT STARTED</t>
        </is>
      </c>
      <c r="I274" s="37" t="n"/>
      <c r="J274" s="37" t="n">
        <v>10</v>
      </c>
      <c r="K274" s="37" t="n"/>
    </row>
    <row r="275" ht="15" customHeight="1" s="35">
      <c r="A275" s="37" t="inlineStr">
        <is>
          <t>6405</t>
        </is>
      </c>
      <c r="B275" s="37" t="inlineStr">
        <is>
          <t>95</t>
        </is>
      </c>
      <c r="C275" s="37" t="inlineStr">
        <is>
          <t>6405 Straight Thread/Female Pipe Adapter</t>
        </is>
      </c>
      <c r="D275" s="37" t="inlineStr">
        <is>
          <t>JIC 37 &amp; Beaded Hose</t>
        </is>
      </c>
      <c r="E275" s="37" t="inlineStr">
        <is>
          <t>Straight</t>
        </is>
      </c>
      <c r="F275" s="37" t="inlineStr">
        <is>
          <t>https://parts.air-way.com/hydraulic-fittings/jic-and-beaded-hose-fittings/straight/6405-straight-thread-female-pipe-adapter-series-95</t>
        </is>
      </c>
      <c r="G275" s="37" t="inlineStr">
        <is>
          <t>none shown</t>
        </is>
      </c>
      <c r="H275" s="37" t="inlineStr">
        <is>
          <t>NOT STARTED</t>
        </is>
      </c>
      <c r="I275" s="37" t="n"/>
      <c r="J275" s="37" t="n">
        <v>44</v>
      </c>
      <c r="K275" s="37" t="n"/>
    </row>
    <row r="276" ht="15" customHeight="1" s="35">
      <c r="A276" s="37" t="inlineStr">
        <is>
          <t>6405</t>
        </is>
      </c>
      <c r="B276" s="37" t="inlineStr">
        <is>
          <t>253</t>
        </is>
      </c>
      <c r="C276" s="37" t="inlineStr">
        <is>
          <t>SS6405 Straight/Female Pipe Adapter series</t>
        </is>
      </c>
      <c r="D276" s="37" t="inlineStr">
        <is>
          <t>Stainless Steel Fittings</t>
        </is>
      </c>
      <c r="E276" s="37" t="inlineStr">
        <is>
          <t>Straight</t>
        </is>
      </c>
      <c r="F276" s="37" t="inlineStr">
        <is>
          <t>https://parts.air-way.com/hydraulic-fittings/stainless-steel-hydraulic-fittings/straight/ss6405-straight-female-pipe-adapter-series-253</t>
        </is>
      </c>
      <c r="G276" s="37" t="inlineStr">
        <is>
          <t>SAE J514 (no numeric code shown)</t>
        </is>
      </c>
      <c r="H276" s="37" t="inlineStr">
        <is>
          <t>NOT STARTED</t>
        </is>
      </c>
      <c r="I276" s="37" t="n"/>
      <c r="J276" s="37" t="n">
        <v>23</v>
      </c>
      <c r="K276" s="37" t="n"/>
    </row>
    <row r="277" ht="15" customHeight="1" s="35">
      <c r="A277" s="37" t="inlineStr">
        <is>
          <t>6407</t>
        </is>
      </c>
      <c r="B277" s="37" t="inlineStr">
        <is>
          <t>506</t>
        </is>
      </c>
      <c r="C277" s="37" t="inlineStr">
        <is>
          <t>M6407 Straight Thread Adjustable Union</t>
        </is>
      </c>
      <c r="D277" s="37" t="inlineStr">
        <is>
          <t>International &amp; Metric</t>
        </is>
      </c>
      <c r="E277" s="37" t="inlineStr">
        <is>
          <t>Metric</t>
        </is>
      </c>
      <c r="F277" s="37" t="inlineStr">
        <is>
          <t>https://parts.air-way.com/hydraulic-fittings/international-metric/metric/m6407-straight-thread-adjustable-union-series-506</t>
        </is>
      </c>
      <c r="G277" s="37" t="inlineStr">
        <is>
          <t>ISO 6149-3</t>
        </is>
      </c>
      <c r="H277" s="37" t="inlineStr">
        <is>
          <t>NOT STARTED</t>
        </is>
      </c>
      <c r="I277" s="37" t="n"/>
      <c r="J277" s="37" t="n">
        <v>4</v>
      </c>
      <c r="K277" s="37" t="n"/>
    </row>
    <row r="278" ht="15" customHeight="1" s="35">
      <c r="A278" s="37" t="inlineStr">
        <is>
          <t>6407</t>
        </is>
      </c>
      <c r="B278" s="37" t="inlineStr">
        <is>
          <t>96</t>
        </is>
      </c>
      <c r="C278" s="37" t="inlineStr">
        <is>
          <t>6407 Straight Thread Adjustable Union</t>
        </is>
      </c>
      <c r="D278" s="37" t="inlineStr">
        <is>
          <t>JIC 37 &amp; Beaded Hose</t>
        </is>
      </c>
      <c r="E278" s="37" t="inlineStr">
        <is>
          <t>Straight</t>
        </is>
      </c>
      <c r="F278" s="37" t="inlineStr">
        <is>
          <t>https://parts.air-way.com/hydraulic-fittings/jic-and-beaded-hose-fittings/straight/6407-straight-thread-adjustable-union-series-96</t>
        </is>
      </c>
      <c r="G278" s="37" t="inlineStr">
        <is>
          <t>none shown</t>
        </is>
      </c>
      <c r="H278" s="37" t="inlineStr">
        <is>
          <t>NOT STARTED</t>
        </is>
      </c>
      <c r="I278" s="37" t="n"/>
      <c r="J278" s="37" t="n">
        <v>17</v>
      </c>
      <c r="K278" s="37" t="n"/>
    </row>
    <row r="279" ht="15" customHeight="1" s="35">
      <c r="A279" s="37" t="inlineStr">
        <is>
          <t>6407</t>
        </is>
      </c>
      <c r="B279" s="37" t="inlineStr">
        <is>
          <t>254</t>
        </is>
      </c>
      <c r="C279" s="37" t="inlineStr">
        <is>
          <t>SS6407 Straight Thread Union series</t>
        </is>
      </c>
      <c r="D279" s="37" t="inlineStr">
        <is>
          <t>Stainless Steel Fittings</t>
        </is>
      </c>
      <c r="E279" s="37" t="inlineStr">
        <is>
          <t>Straight</t>
        </is>
      </c>
      <c r="F279" s="37" t="inlineStr">
        <is>
          <t>https://parts.air-way.com/hydraulic-fittings/stainless-steel-hydraulic-fittings/straight/ss6407-straight-thread-union-series-254</t>
        </is>
      </c>
      <c r="G279" s="37" t="inlineStr">
        <is>
          <t>SAE J514 (no numeric code shown)</t>
        </is>
      </c>
      <c r="H279" s="37" t="inlineStr">
        <is>
          <t>NOT STARTED</t>
        </is>
      </c>
      <c r="I279" s="37" t="n"/>
      <c r="J279" s="37" t="n">
        <v>6</v>
      </c>
      <c r="K279" s="37" t="n"/>
    </row>
    <row r="280" ht="15" customHeight="1" s="35">
      <c r="A280" s="37" t="inlineStr">
        <is>
          <t>6408</t>
        </is>
      </c>
      <c r="B280" s="37" t="inlineStr">
        <is>
          <t>444</t>
        </is>
      </c>
      <c r="C280" s="37" t="inlineStr">
        <is>
          <t>M6408 Threaded Straight Fitting, Metric Hex Head O-Ring Plug</t>
        </is>
      </c>
      <c r="D280" s="37" t="inlineStr">
        <is>
          <t>International &amp; Metric</t>
        </is>
      </c>
      <c r="E280" s="37" t="inlineStr">
        <is>
          <t>Metric</t>
        </is>
      </c>
      <c r="F280" s="37" t="inlineStr">
        <is>
          <t>https://parts.air-way.com/hydraulic-fittings/international-metric/metric/m6408-threaded-straight-fitting-metric-hex-head-o-ring-plug-series-444</t>
        </is>
      </c>
      <c r="G280" s="37" t="inlineStr">
        <is>
          <t>ISO 6149-4</t>
        </is>
      </c>
      <c r="H280" s="37" t="inlineStr">
        <is>
          <t>NOT STARTED</t>
        </is>
      </c>
      <c r="I280" s="37" t="n"/>
      <c r="J280" s="37" t="n">
        <v>13</v>
      </c>
      <c r="K280" s="37" t="n"/>
    </row>
    <row r="281" ht="15" customHeight="1" s="35">
      <c r="A281" s="37" t="inlineStr">
        <is>
          <t>6408</t>
        </is>
      </c>
      <c r="B281" s="37" t="inlineStr">
        <is>
          <t>97</t>
        </is>
      </c>
      <c r="C281" s="37" t="inlineStr">
        <is>
          <t>6408 Hexagon Head O-ring Boss Plug</t>
        </is>
      </c>
      <c r="D281" s="37" t="inlineStr">
        <is>
          <t>JIC 37 &amp; Beaded Hose</t>
        </is>
      </c>
      <c r="E281" s="37" t="inlineStr">
        <is>
          <t>Straight</t>
        </is>
      </c>
      <c r="F281" s="37" t="inlineStr">
        <is>
          <t>https://parts.air-way.com/hydraulic-fittings/jic-and-beaded-hose-fittings/straight/6408-hexagon-head-o-ring-boss-plug-series-97</t>
        </is>
      </c>
      <c r="G281" s="37" t="inlineStr">
        <is>
          <t>SAE J1926-4 / J514 090109A</t>
        </is>
      </c>
      <c r="H281" s="37" t="inlineStr">
        <is>
          <t>NOT STARTED</t>
        </is>
      </c>
      <c r="I281" s="37" t="n"/>
      <c r="J281" s="37" t="n">
        <v>23</v>
      </c>
      <c r="K281" s="37" t="n"/>
    </row>
    <row r="282" ht="15" customHeight="1" s="35">
      <c r="A282" s="37" t="inlineStr">
        <is>
          <t>6408</t>
        </is>
      </c>
      <c r="B282" s="37" t="inlineStr">
        <is>
          <t>255</t>
        </is>
      </c>
      <c r="C282" s="37" t="inlineStr">
        <is>
          <t>SS6408 Hexagon Head O-ring Boss Plug series</t>
        </is>
      </c>
      <c r="D282" s="37" t="inlineStr">
        <is>
          <t>Stainless Steel Fittings</t>
        </is>
      </c>
      <c r="E282" s="37" t="inlineStr">
        <is>
          <t>Straight</t>
        </is>
      </c>
      <c r="F282" s="37" t="inlineStr">
        <is>
          <t>https://parts.air-way.com/hydraulic-fittings/stainless-steel-hydraulic-fittings/straight/ss6408-hexagon-head-o-ring-boss-plug-series-255</t>
        </is>
      </c>
      <c r="G282" s="37" t="inlineStr">
        <is>
          <t>SAE J514 090109A</t>
        </is>
      </c>
      <c r="H282" s="37" t="inlineStr">
        <is>
          <t>NOT STARTED</t>
        </is>
      </c>
      <c r="I282" s="37" t="n"/>
      <c r="J282" s="37" t="n">
        <v>13</v>
      </c>
      <c r="K282" s="37" t="n"/>
    </row>
    <row r="283" ht="15" customHeight="1" s="35">
      <c r="A283" s="37" t="inlineStr">
        <is>
          <t>6409</t>
        </is>
      </c>
      <c r="B283" s="37" t="inlineStr">
        <is>
          <t>445</t>
        </is>
      </c>
      <c r="C283" s="37" t="inlineStr">
        <is>
          <t>M6409 Threaded Straight Fitting, Metric Hexagon Socket O-Ring Boss Plug</t>
        </is>
      </c>
      <c r="D283" s="37" t="inlineStr">
        <is>
          <t>International &amp; Metric</t>
        </is>
      </c>
      <c r="E283" s="37" t="inlineStr">
        <is>
          <t>Metric</t>
        </is>
      </c>
      <c r="F283" s="37" t="inlineStr">
        <is>
          <t>https://parts.air-way.com/hydraulic-fittings/international-metric/metric/m6409-threaded-straight-fitting-metric-hexagon-socket-o-ring-boss-plug-series-445</t>
        </is>
      </c>
      <c r="G283" s="37" t="inlineStr">
        <is>
          <t>ISO 6149-4</t>
        </is>
      </c>
      <c r="H283" s="37" t="inlineStr">
        <is>
          <t>NOT STARTED</t>
        </is>
      </c>
      <c r="I283" s="37" t="n"/>
      <c r="J283" s="37" t="n">
        <v>13</v>
      </c>
      <c r="K283" s="37" t="n"/>
    </row>
    <row r="284" ht="15" customHeight="1" s="35">
      <c r="A284" s="37" t="inlineStr">
        <is>
          <t>6409</t>
        </is>
      </c>
      <c r="B284" s="37" t="inlineStr">
        <is>
          <t>98</t>
        </is>
      </c>
      <c r="C284" s="37" t="inlineStr">
        <is>
          <t>6409 Hexagon Socket O-ring Boss Plug</t>
        </is>
      </c>
      <c r="D284" s="37" t="inlineStr">
        <is>
          <t>JIC 37 &amp; Beaded Hose</t>
        </is>
      </c>
      <c r="E284" s="37" t="inlineStr">
        <is>
          <t>Straight</t>
        </is>
      </c>
      <c r="F284" s="37" t="inlineStr">
        <is>
          <t>https://parts.air-way.com/hydraulic-fittings/jic-and-beaded-hose-fittings/straight/6409-hexagon-socket-o-ring-boss-plug-series-98</t>
        </is>
      </c>
      <c r="G284" s="37" t="inlineStr">
        <is>
          <t>SAE J1926-4</t>
        </is>
      </c>
      <c r="H284" s="37" t="inlineStr">
        <is>
          <t>NOT STARTED</t>
        </is>
      </c>
      <c r="I284" s="37" t="n"/>
      <c r="J284" s="37" t="n">
        <v>14</v>
      </c>
      <c r="K284" s="37" t="n"/>
    </row>
    <row r="285" ht="15" customHeight="1" s="35">
      <c r="A285" s="37" t="inlineStr">
        <is>
          <t>6409</t>
        </is>
      </c>
      <c r="B285" s="37" t="inlineStr">
        <is>
          <t>256</t>
        </is>
      </c>
      <c r="C285" s="37" t="inlineStr">
        <is>
          <t>SS6409 Hexagon Socket O-ring Boss Plug series</t>
        </is>
      </c>
      <c r="D285" s="37" t="inlineStr">
        <is>
          <t>Stainless Steel Fittings</t>
        </is>
      </c>
      <c r="E285" s="37" t="inlineStr">
        <is>
          <t>Straight</t>
        </is>
      </c>
      <c r="F285" s="37" t="inlineStr">
        <is>
          <t>https://parts.air-way.com/hydraulic-fittings/stainless-steel-hydraulic-fittings/straight/ss6409-hexagon-socket-o-ring-boss-plug-series-256</t>
        </is>
      </c>
      <c r="G285" s="37" t="inlineStr">
        <is>
          <t>SAE J514 090109B</t>
        </is>
      </c>
      <c r="H285" s="37" t="inlineStr">
        <is>
          <t>NOT STARTED</t>
        </is>
      </c>
      <c r="I285" s="37" t="n"/>
      <c r="J285" s="37" t="n">
        <v>12</v>
      </c>
      <c r="K285" s="37" t="n"/>
    </row>
    <row r="286" ht="15" customHeight="1" s="35">
      <c r="A286" s="37" t="inlineStr">
        <is>
          <t>6410</t>
        </is>
      </c>
      <c r="B286" s="37" t="inlineStr">
        <is>
          <t>451</t>
        </is>
      </c>
      <c r="C286" s="37" t="inlineStr">
        <is>
          <t>MBP6410 Threaded Straight Fitting, BSPP Stud End to BSPP Port</t>
        </is>
      </c>
      <c r="D286" s="37" t="inlineStr">
        <is>
          <t>International &amp; Metric</t>
        </is>
      </c>
      <c r="E286" s="37" t="inlineStr">
        <is>
          <t>BSPP</t>
        </is>
      </c>
      <c r="F286" s="37" t="inlineStr">
        <is>
          <t>https://parts.air-way.com/hydraulic-fittings/international-metric/bspp/mbp6410-threaded-straight-fitting-bspp-stud-end-to-bspp-port-series-451</t>
        </is>
      </c>
      <c r="G286" s="37" t="inlineStr">
        <is>
          <t>ISO 1179-3, ISO 1179-1</t>
        </is>
      </c>
      <c r="H286" s="37" t="inlineStr">
        <is>
          <t>NOT STARTED</t>
        </is>
      </c>
      <c r="I286" s="37" t="n"/>
      <c r="J286" s="37" t="n">
        <v>4</v>
      </c>
      <c r="K286" s="37" t="n"/>
    </row>
    <row r="287" ht="15" customHeight="1" s="35">
      <c r="A287" s="37" t="inlineStr">
        <is>
          <t>6410</t>
        </is>
      </c>
      <c r="B287" s="37" t="inlineStr">
        <is>
          <t>507</t>
        </is>
      </c>
      <c r="C287" s="37" t="inlineStr">
        <is>
          <t>M6410 Straight Thread Reducer/Expander</t>
        </is>
      </c>
      <c r="D287" s="37" t="inlineStr">
        <is>
          <t>International &amp; Metric</t>
        </is>
      </c>
      <c r="E287" s="37" t="inlineStr">
        <is>
          <t>Metric</t>
        </is>
      </c>
      <c r="F287" s="37" t="inlineStr">
        <is>
          <t>https://parts.air-way.com/hydraulic-fittings/international-metric/metric/m6410-straight-thread-reducer-expander-series-507</t>
        </is>
      </c>
      <c r="G287" s="37" t="inlineStr">
        <is>
          <t>ISO 6149-1, ISO 6149-3, SAE J1926-1, SAE J1926-3</t>
        </is>
      </c>
      <c r="H287" s="37" t="inlineStr">
        <is>
          <t>NOT STARTED</t>
        </is>
      </c>
      <c r="I287" s="37" t="n"/>
      <c r="J287" s="37" t="n">
        <v>8</v>
      </c>
      <c r="K287" s="37" t="n"/>
    </row>
    <row r="288" ht="15" customHeight="1" s="35">
      <c r="A288" s="37" t="inlineStr">
        <is>
          <t>6410</t>
        </is>
      </c>
      <c r="B288" s="37" t="inlineStr">
        <is>
          <t>500</t>
        </is>
      </c>
      <c r="C288" s="37" t="inlineStr">
        <is>
          <t>MFF6410 Straight Thread Reducer/Expander</t>
        </is>
      </c>
      <c r="D288" s="37" t="inlineStr">
        <is>
          <t>International &amp; Metric</t>
        </is>
      </c>
      <c r="E288" s="37" t="inlineStr">
        <is>
          <t>ORFS metric</t>
        </is>
      </c>
      <c r="F288" s="37" t="inlineStr">
        <is>
          <t>https://parts.air-way.com/hydraulic-fittings/international-metric/orfs-metric/mff6410-straight-thread-reducer-expander-series-500</t>
        </is>
      </c>
      <c r="G288" s="37" t="inlineStr">
        <is>
          <t>—</t>
        </is>
      </c>
      <c r="H288" s="37" t="inlineStr">
        <is>
          <t>NOT STARTED</t>
        </is>
      </c>
      <c r="I288" s="37" t="n"/>
      <c r="J288" s="37" t="n">
        <v>7</v>
      </c>
      <c r="K288" s="37" t="n"/>
    </row>
    <row r="289" ht="15" customHeight="1" s="35">
      <c r="A289" s="37" t="inlineStr">
        <is>
          <t>6410</t>
        </is>
      </c>
      <c r="B289" s="37" t="inlineStr">
        <is>
          <t>99</t>
        </is>
      </c>
      <c r="C289" s="37" t="inlineStr">
        <is>
          <t>6410 Straight Thread Reducer/Expander</t>
        </is>
      </c>
      <c r="D289" s="37" t="inlineStr">
        <is>
          <t>JIC 37 &amp; Beaded Hose</t>
        </is>
      </c>
      <c r="E289" s="37" t="inlineStr">
        <is>
          <t>Straight</t>
        </is>
      </c>
      <c r="F289" s="37" t="inlineStr">
        <is>
          <t>https://parts.air-way.com/hydraulic-fittings/jic-and-beaded-hose-fittings/straight/6410-straight-thread-reducer-expander-series-99</t>
        </is>
      </c>
      <c r="G289" s="37" t="inlineStr">
        <is>
          <t>none shown</t>
        </is>
      </c>
      <c r="H289" s="37" t="inlineStr">
        <is>
          <t>NOT STARTED</t>
        </is>
      </c>
      <c r="I289" s="37" t="n"/>
      <c r="J289" s="37" t="n">
        <v>45</v>
      </c>
      <c r="K289" s="37" t="n"/>
    </row>
    <row r="290" ht="15" customHeight="1" s="35">
      <c r="A290" s="37" t="inlineStr">
        <is>
          <t>6410</t>
        </is>
      </c>
      <c r="B290" s="37" t="inlineStr">
        <is>
          <t>257</t>
        </is>
      </c>
      <c r="C290" s="37" t="inlineStr">
        <is>
          <t>SS6410 Straight Thread Reducer/Expander series</t>
        </is>
      </c>
      <c r="D290" s="37" t="inlineStr">
        <is>
          <t>Stainless Steel Fittings</t>
        </is>
      </c>
      <c r="E290" s="37" t="inlineStr">
        <is>
          <t>Straight</t>
        </is>
      </c>
      <c r="F290" s="37" t="inlineStr">
        <is>
          <t>https://parts.air-way.com/hydraulic-fittings/stainless-steel-hydraulic-fittings/straight/ss6410-straight-thread-reducer-expander-series-257</t>
        </is>
      </c>
      <c r="G290" s="37" t="inlineStr">
        <is>
          <t>SAE J514 (no numeric code shown)</t>
        </is>
      </c>
      <c r="H290" s="37" t="inlineStr">
        <is>
          <t>NOT STARTED</t>
        </is>
      </c>
      <c r="I290" s="37" t="n"/>
      <c r="J290" s="37" t="n">
        <v>22</v>
      </c>
      <c r="K290" s="37" t="n"/>
    </row>
    <row r="291" ht="15" customHeight="1" s="35">
      <c r="A291" s="37" t="inlineStr">
        <is>
          <t>6410-SAE</t>
        </is>
      </c>
      <c r="B291" s="37" t="inlineStr">
        <is>
          <t>452</t>
        </is>
      </c>
      <c r="C291" s="37" t="inlineStr">
        <is>
          <t>MBP6410-SAE Threaded Straight Fitting, BSPP Stud End to SAE Port</t>
        </is>
      </c>
      <c r="D291" s="37" t="inlineStr">
        <is>
          <t>International &amp; Metric</t>
        </is>
      </c>
      <c r="E291" s="37" t="inlineStr">
        <is>
          <t>BSPP</t>
        </is>
      </c>
      <c r="F291" s="37" t="inlineStr">
        <is>
          <t>https://parts.air-way.com/hydraulic-fittings/international-metric/bspp/mbp6410-sae-threaded-straight-fitting-bspp-stud-end-to-sae-port-series-452</t>
        </is>
      </c>
      <c r="G291" s="37" t="inlineStr">
        <is>
          <t>ISO 1179-3, SAE J1926-1</t>
        </is>
      </c>
      <c r="H291" s="37" t="inlineStr">
        <is>
          <t>NOT STARTED</t>
        </is>
      </c>
      <c r="I291" s="37" t="n"/>
      <c r="J291" s="37" t="n">
        <v>3</v>
      </c>
      <c r="K291" s="37" t="n"/>
    </row>
    <row r="292" ht="15" customHeight="1" s="35">
      <c r="A292" s="37" t="inlineStr">
        <is>
          <t>6500</t>
        </is>
      </c>
      <c r="B292" s="37" t="inlineStr">
        <is>
          <t>428</t>
        </is>
      </c>
      <c r="C292" s="37" t="inlineStr">
        <is>
          <t>Brass - 6500 - EBS 37° JIC Swivel 90° Elbow series</t>
        </is>
      </c>
      <c r="D292" s="37" t="inlineStr">
        <is>
          <t>Brass Fittings</t>
        </is>
      </c>
      <c r="E292" s="37" t="inlineStr">
        <is>
          <t>90°</t>
        </is>
      </c>
      <c r="F292" s="37" t="inlineStr">
        <is>
          <t>https://parts.air-way.com/hydraulic-fittings/brass-hydraulic-fittings/90/brass-6500-ebs-37-jic-swivel-90-elbow-series-428</t>
        </is>
      </c>
      <c r="G292" s="37" t="inlineStr">
        <is>
          <t>none</t>
        </is>
      </c>
      <c r="H292" s="37" t="inlineStr">
        <is>
          <t>NOT STARTED</t>
        </is>
      </c>
      <c r="I292" s="37" t="n"/>
      <c r="J292" s="37" t="n">
        <v>2</v>
      </c>
      <c r="K292" s="37" t="n"/>
    </row>
    <row r="293" ht="15" customHeight="1" s="35">
      <c r="A293" s="37" t="inlineStr">
        <is>
          <t>6500</t>
        </is>
      </c>
      <c r="B293" s="37" t="inlineStr">
        <is>
          <t>347</t>
        </is>
      </c>
      <c r="C293" s="37" t="inlineStr">
        <is>
          <t>F6500 37° JIC Swivel 90° Elbow</t>
        </is>
      </c>
      <c r="D293" s="37" t="inlineStr">
        <is>
          <t>FLARE-O</t>
        </is>
      </c>
      <c r="E293" s="37" t="inlineStr">
        <is>
          <t>90°</t>
        </is>
      </c>
      <c r="F293" s="37" t="inlineStr">
        <is>
          <t>https://parts.air-way.com/hydraulic-fittings/flare-o-hydraulic-fittings/90/f6500-37-jic-swivel-90-elbow-series-347</t>
        </is>
      </c>
      <c r="G293" s="37" t="inlineStr">
        <is>
          <t>SAE J514 070221</t>
        </is>
      </c>
      <c r="H293" s="37" t="inlineStr">
        <is>
          <t>NOT STARTED</t>
        </is>
      </c>
      <c r="I293" s="37" t="n"/>
      <c r="J293" s="37" t="n">
        <v>9</v>
      </c>
      <c r="K293" s="37" t="n"/>
    </row>
    <row r="294" ht="15" customHeight="1" s="35">
      <c r="A294" s="37" t="inlineStr">
        <is>
          <t>6500</t>
        </is>
      </c>
      <c r="B294" s="37" t="inlineStr">
        <is>
          <t>467</t>
        </is>
      </c>
      <c r="C294" s="37" t="inlineStr">
        <is>
          <t>MBS6500 Threaded Fitting, BSPP 60° Cone to BSPP 60° Cone Swivel 90° Elbow</t>
        </is>
      </c>
      <c r="D294" s="37" t="inlineStr">
        <is>
          <t>International &amp; Metric</t>
        </is>
      </c>
      <c r="E294" s="37" t="inlineStr">
        <is>
          <t>BSPP ISO 8434-6</t>
        </is>
      </c>
      <c r="F294" s="37" t="inlineStr">
        <is>
          <t>https://parts.air-way.com/hydraulic-fittings/international-metric/bspp-iso-8434-6/mbs6500-threaded-fitting-bspp-60-cone-to-bspp-60-cone-swivel-90-elbow-series-467</t>
        </is>
      </c>
      <c r="G294" s="37" t="inlineStr">
        <is>
          <t>ISO 8434-6</t>
        </is>
      </c>
      <c r="H294" s="37" t="inlineStr">
        <is>
          <t>NOT STARTED</t>
        </is>
      </c>
      <c r="I294" s="37" t="n"/>
      <c r="J294" s="37" t="n">
        <v>2</v>
      </c>
      <c r="K294" s="37" t="n"/>
    </row>
    <row r="295" ht="15" customHeight="1" s="35">
      <c r="A295" s="37" t="inlineStr">
        <is>
          <t>6500</t>
        </is>
      </c>
      <c r="B295" s="37" t="inlineStr">
        <is>
          <t>513</t>
        </is>
      </c>
      <c r="C295" s="37" t="inlineStr">
        <is>
          <t>MFF6500 90° ORFS Swivel Elbow</t>
        </is>
      </c>
      <c r="D295" s="37" t="inlineStr">
        <is>
          <t>International &amp; Metric</t>
        </is>
      </c>
      <c r="E295" s="37" t="inlineStr">
        <is>
          <t>ORFS metric</t>
        </is>
      </c>
      <c r="F295" s="37" t="inlineStr">
        <is>
          <t>https://parts.air-way.com/hydraulic-fittings/international-metric/orfs-metric/mff6500-90-orfs-swivel-elbow-series-513</t>
        </is>
      </c>
      <c r="G295" s="37" t="inlineStr">
        <is>
          <t>SAE J1453-2 52M0221</t>
        </is>
      </c>
      <c r="H295" s="37" t="inlineStr">
        <is>
          <t>NOT STARTED</t>
        </is>
      </c>
      <c r="I295" s="37" t="n"/>
      <c r="J295" s="37" t="n">
        <v>6</v>
      </c>
      <c r="K295" s="37" t="n"/>
    </row>
    <row r="296" ht="15" customHeight="1" s="35">
      <c r="A296" s="37" t="inlineStr">
        <is>
          <t>6500</t>
        </is>
      </c>
      <c r="B296" s="37" t="inlineStr">
        <is>
          <t>130</t>
        </is>
      </c>
      <c r="C296" s="37" t="inlineStr">
        <is>
          <t>6500 37° Female Swivel 90° Elbow</t>
        </is>
      </c>
      <c r="D296" s="37" t="inlineStr">
        <is>
          <t>JIC 37 &amp; Beaded Hose</t>
        </is>
      </c>
      <c r="E296" s="37" t="inlineStr">
        <is>
          <t>90°</t>
        </is>
      </c>
      <c r="F296" s="37" t="inlineStr">
        <is>
          <t>https://parts.air-way.com/hydraulic-fittings/jic-and-beaded-hose-fittings/90/6500-37-female-swivel-90-elbow-series-130</t>
        </is>
      </c>
      <c r="G296" s="37" t="inlineStr">
        <is>
          <t>SAE J514 070221 / MS51521</t>
        </is>
      </c>
      <c r="H296" s="37" t="inlineStr">
        <is>
          <t>NOT STARTED</t>
        </is>
      </c>
      <c r="I296" s="37" t="n"/>
      <c r="J296" s="37" t="n">
        <v>42</v>
      </c>
      <c r="K296" s="37" t="n"/>
    </row>
    <row r="297" ht="15" customHeight="1" s="35">
      <c r="A297" s="37" t="inlineStr">
        <is>
          <t>6500</t>
        </is>
      </c>
      <c r="B297" s="37" t="inlineStr">
        <is>
          <t>24</t>
        </is>
      </c>
      <c r="C297" s="37" t="inlineStr">
        <is>
          <t>FF6500 90° ORFS Swivel Elbow</t>
        </is>
      </c>
      <c r="D297" s="37" t="inlineStr">
        <is>
          <t>ORFS</t>
        </is>
      </c>
      <c r="E297" s="37" t="inlineStr">
        <is>
          <t>90°</t>
        </is>
      </c>
      <c r="F297" s="37" t="inlineStr">
        <is>
          <t>https://parts.air-way.com/hydraulic-fittings/o-ring-face-seal-orfs-hydraulic-fittings/90/ff6500-90-orfs-swivel-elbow-series-24</t>
        </is>
      </c>
      <c r="G297" s="37" t="inlineStr">
        <is>
          <t>SAE J1453 520221</t>
        </is>
      </c>
      <c r="H297" s="37" t="inlineStr">
        <is>
          <t>NOT STARTED</t>
        </is>
      </c>
      <c r="I297" s="37" t="n"/>
      <c r="J297" s="37" t="n">
        <v>14</v>
      </c>
      <c r="K297" s="37" t="n"/>
    </row>
    <row r="298" ht="15" customHeight="1" s="35">
      <c r="A298" s="37" t="inlineStr">
        <is>
          <t>6500</t>
        </is>
      </c>
      <c r="B298" s="37" t="inlineStr">
        <is>
          <t>278</t>
        </is>
      </c>
      <c r="C298" s="37" t="inlineStr">
        <is>
          <t>SS6500 37° JIC Swivel 90° Elbow series</t>
        </is>
      </c>
      <c r="D298" s="37" t="inlineStr">
        <is>
          <t>Stainless Steel Fittings</t>
        </is>
      </c>
      <c r="E298" s="37" t="inlineStr">
        <is>
          <t>90°</t>
        </is>
      </c>
      <c r="F298" s="37" t="inlineStr">
        <is>
          <t>https://parts.air-way.com/hydraulic-fittings/stainless-steel-hydraulic-fittings/90/ss6500-37-jic-swivel-90-elbow-series-278</t>
        </is>
      </c>
      <c r="G298" s="37" t="inlineStr">
        <is>
          <t>SAE J514 070221 / MS51521</t>
        </is>
      </c>
      <c r="H298" s="37" t="inlineStr">
        <is>
          <t>NOT STARTED</t>
        </is>
      </c>
      <c r="I298" s="37" t="n"/>
      <c r="J298" s="37" t="n">
        <v>8</v>
      </c>
      <c r="K298" s="37" t="n"/>
    </row>
    <row r="299" ht="15" customHeight="1" s="35">
      <c r="A299" s="37" t="inlineStr">
        <is>
          <t>6500-L</t>
        </is>
      </c>
      <c r="B299" s="37" t="inlineStr">
        <is>
          <t>131</t>
        </is>
      </c>
      <c r="C299" s="37" t="inlineStr">
        <is>
          <t>6500-L 90° Long 37° Female Swivel Elbow</t>
        </is>
      </c>
      <c r="D299" s="37" t="inlineStr">
        <is>
          <t>JIC 37 &amp; Beaded Hose</t>
        </is>
      </c>
      <c r="E299" s="37" t="inlineStr">
        <is>
          <t>90°</t>
        </is>
      </c>
      <c r="F299" s="37" t="inlineStr">
        <is>
          <t>https://parts.air-way.com/hydraulic-fittings/jic-and-beaded-hose-fittings/90/6500-l-90-long-37-female-swivel-elbow-series-131</t>
        </is>
      </c>
      <c r="G299" s="37" t="inlineStr">
        <is>
          <t>none shown</t>
        </is>
      </c>
      <c r="H299" s="37" t="inlineStr">
        <is>
          <t>NOT STARTED</t>
        </is>
      </c>
      <c r="I299" s="37" t="n"/>
      <c r="J299" s="37" t="n">
        <v>6</v>
      </c>
      <c r="K299" s="37" t="n"/>
    </row>
    <row r="300" ht="15" customHeight="1" s="35">
      <c r="A300" s="37" t="inlineStr">
        <is>
          <t>6501</t>
        </is>
      </c>
      <c r="B300" s="37" t="inlineStr">
        <is>
          <t>132</t>
        </is>
      </c>
      <c r="C300" s="37" t="inlineStr">
        <is>
          <t>6501 90° Male Pipe/37° Female Swivel Elbow</t>
        </is>
      </c>
      <c r="D300" s="37" t="inlineStr">
        <is>
          <t>JIC 37 &amp; Beaded Hose</t>
        </is>
      </c>
      <c r="E300" s="37" t="inlineStr">
        <is>
          <t>90°</t>
        </is>
      </c>
      <c r="F300" s="37" t="inlineStr">
        <is>
          <t>https://parts.air-way.com/hydraulic-fittings/jic-and-beaded-hose-fittings/90/6501-90-male-pipe-37-female-swivel-elbow-series-132</t>
        </is>
      </c>
      <c r="G300" s="37" t="inlineStr">
        <is>
          <t>none shown</t>
        </is>
      </c>
      <c r="H300" s="37" t="inlineStr">
        <is>
          <t>TABLED</t>
        </is>
      </c>
      <c r="I300" s="37" t="n"/>
      <c r="J300" s="37" t="n">
        <v>16</v>
      </c>
      <c r="K300" s="37" t="inlineStr">
        <is>
          <t>TABLED 2026-09-23: double-pass extraction 16 rows (sheet said 16); DesignTable_6501.xlsx; scope vs OMi feed: 1 BUILD / 15 DROP / 14 OMi-only (10 differ only by -FG); 1 source anomaly note(s) in 07_RAW_EXTRACTS/airway_anomalies_2026-09-23.txt</t>
        </is>
      </c>
    </row>
    <row r="301" ht="15" customHeight="1" s="35">
      <c r="A301" s="37" t="inlineStr">
        <is>
          <t>6501</t>
        </is>
      </c>
      <c r="B301" s="37" t="inlineStr">
        <is>
          <t>279</t>
        </is>
      </c>
      <c r="C301" s="37" t="inlineStr">
        <is>
          <t>SS6501 90° Male Pipe/37° Female Swivel Elbow series</t>
        </is>
      </c>
      <c r="D301" s="37" t="inlineStr">
        <is>
          <t>Stainless Steel Fittings</t>
        </is>
      </c>
      <c r="E301" s="37" t="inlineStr">
        <is>
          <t>90°</t>
        </is>
      </c>
      <c r="F301" s="37" t="inlineStr">
        <is>
          <t>https://parts.air-way.com/hydraulic-fittings/stainless-steel-hydraulic-fittings/90/ss6501-90-male-pipe-37-female-swivel-elbow-series-279</t>
        </is>
      </c>
      <c r="G301" s="37" t="inlineStr">
        <is>
          <t>none</t>
        </is>
      </c>
      <c r="H301" s="37" t="inlineStr">
        <is>
          <t>NOT STARTED</t>
        </is>
      </c>
      <c r="I301" s="37" t="n"/>
      <c r="J301" s="37" t="n">
        <v>6</v>
      </c>
      <c r="K301" s="37" t="n"/>
    </row>
    <row r="302" ht="15" customHeight="1" s="35">
      <c r="A302" s="37" t="inlineStr">
        <is>
          <t>6502</t>
        </is>
      </c>
      <c r="B302" s="37" t="inlineStr">
        <is>
          <t>358</t>
        </is>
      </c>
      <c r="C302" s="37" t="inlineStr">
        <is>
          <t>F6502 37° JIC Swivel 45° Elbow</t>
        </is>
      </c>
      <c r="D302" s="37" t="inlineStr">
        <is>
          <t>FLARE-O</t>
        </is>
      </c>
      <c r="E302" s="37" t="inlineStr">
        <is>
          <t>45°</t>
        </is>
      </c>
      <c r="F302" s="37" t="inlineStr">
        <is>
          <t>https://parts.air-way.com/hydraulic-fittings/flare-o-hydraulic-fittings/45/f6502-37-jic-swivel-45-elbow-series-358</t>
        </is>
      </c>
      <c r="G302" s="37" t="inlineStr">
        <is>
          <t>SAE J514 070321</t>
        </is>
      </c>
      <c r="H302" s="37" t="inlineStr">
        <is>
          <t>NOT STARTED</t>
        </is>
      </c>
      <c r="I302" s="37" t="n"/>
      <c r="J302" s="37" t="n">
        <v>7</v>
      </c>
      <c r="K302" s="37" t="n"/>
    </row>
    <row r="303" ht="15" customHeight="1" s="35">
      <c r="A303" s="37" t="inlineStr">
        <is>
          <t>6502</t>
        </is>
      </c>
      <c r="B303" s="37" t="inlineStr">
        <is>
          <t>514</t>
        </is>
      </c>
      <c r="C303" s="37" t="inlineStr">
        <is>
          <t>MFF6502 45° ORFS Swivel Elbow</t>
        </is>
      </c>
      <c r="D303" s="37" t="inlineStr">
        <is>
          <t>International &amp; Metric</t>
        </is>
      </c>
      <c r="E303" s="37" t="inlineStr">
        <is>
          <t>ORFS metric</t>
        </is>
      </c>
      <c r="F303" s="37" t="inlineStr">
        <is>
          <t>https://parts.air-way.com/hydraulic-fittings/international-metric/orfs-metric/mff6502-45-orfs-swivel-elbow-series-514</t>
        </is>
      </c>
      <c r="G303" s="37" t="inlineStr">
        <is>
          <t>SAE J1453-2 52M0321</t>
        </is>
      </c>
      <c r="H303" s="37" t="inlineStr">
        <is>
          <t>NOT STARTED</t>
        </is>
      </c>
      <c r="I303" s="37" t="n"/>
      <c r="J303" s="37" t="n">
        <v>3</v>
      </c>
      <c r="K303" s="37" t="n"/>
    </row>
    <row r="304" ht="15" customHeight="1" s="35">
      <c r="A304" s="37" t="inlineStr">
        <is>
          <t>6502</t>
        </is>
      </c>
      <c r="B304" s="37" t="inlineStr">
        <is>
          <t>156</t>
        </is>
      </c>
      <c r="C304" s="37" t="inlineStr">
        <is>
          <t>6502 37° Female Swivel 45° Elbow</t>
        </is>
      </c>
      <c r="D304" s="37" t="inlineStr">
        <is>
          <t>JIC 37 &amp; Beaded Hose</t>
        </is>
      </c>
      <c r="E304" s="37" t="inlineStr">
        <is>
          <t>45°</t>
        </is>
      </c>
      <c r="F304" s="37" t="inlineStr">
        <is>
          <t>https://parts.air-way.com/hydraulic-fittings/jic-and-beaded-hose-fittings/45/6502-37-female-swivel-45-elbow-series-156</t>
        </is>
      </c>
      <c r="G304" s="37" t="inlineStr">
        <is>
          <t>SAE J514 070321 / MS51522</t>
        </is>
      </c>
      <c r="H304" s="37" t="inlineStr">
        <is>
          <t>TABLED</t>
        </is>
      </c>
      <c r="I304" s="37" t="n"/>
      <c r="J304" s="37" t="n">
        <v>22</v>
      </c>
      <c r="K304" s="37" t="inlineStr">
        <is>
          <t>TABLED 2026-09-23: double-pass extraction 22 rows (sheet said 22); DesignTable_6502.xlsx; scope vs OMi feed: 10 BUILD / 12 DROP / 5 OMi-only (0 differ only by -FG); 1 source anomaly note(s) in 07_RAW_EXTRACTS/airway_anomalies_2026-09-23.txt</t>
        </is>
      </c>
    </row>
    <row r="305" ht="15" customHeight="1" s="35">
      <c r="A305" s="37" t="inlineStr">
        <is>
          <t>6502</t>
        </is>
      </c>
      <c r="B305" s="37" t="inlineStr">
        <is>
          <t>30</t>
        </is>
      </c>
      <c r="C305" s="37" t="inlineStr">
        <is>
          <t>FF6502 45° ORFS Swivel Elbow</t>
        </is>
      </c>
      <c r="D305" s="37" t="inlineStr">
        <is>
          <t>ORFS</t>
        </is>
      </c>
      <c r="E305" s="37" t="inlineStr">
        <is>
          <t>45°</t>
        </is>
      </c>
      <c r="F305" s="37" t="inlineStr">
        <is>
          <t>https://parts.air-way.com/hydraulic-fittings/o-ring-face-seal-orfs-hydraulic-fittings/45/ff6502-45-orfs-swivel-elbow-series-30</t>
        </is>
      </c>
      <c r="G305" s="37" t="inlineStr">
        <is>
          <t>—</t>
        </is>
      </c>
      <c r="H305" s="37" t="inlineStr">
        <is>
          <t>NOT STARTED</t>
        </is>
      </c>
      <c r="I305" s="37" t="n"/>
      <c r="J305" s="37" t="n">
        <v>8</v>
      </c>
      <c r="K305" s="37" t="n"/>
    </row>
    <row r="306" ht="15" customHeight="1" s="35">
      <c r="A306" s="37" t="inlineStr">
        <is>
          <t>6502</t>
        </is>
      </c>
      <c r="B306" s="37" t="inlineStr">
        <is>
          <t>293</t>
        </is>
      </c>
      <c r="C306" s="37" t="inlineStr">
        <is>
          <t>SS6502 37° Female Swivel 45° Elbow series</t>
        </is>
      </c>
      <c r="D306" s="37" t="inlineStr">
        <is>
          <t>Stainless Steel Fittings</t>
        </is>
      </c>
      <c r="E306" s="37" t="inlineStr">
        <is>
          <t>45°</t>
        </is>
      </c>
      <c r="F306" s="37" t="inlineStr">
        <is>
          <t>https://parts.air-way.com/hydraulic-fittings/stainless-steel-hydraulic-fittings/45/ss6502-37-female-swivel-45-elbow-series-293</t>
        </is>
      </c>
      <c r="G306" s="37" t="inlineStr">
        <is>
          <t>SAE J514 070321 / MS51522</t>
        </is>
      </c>
      <c r="H306" s="37" t="inlineStr">
        <is>
          <t>NOT STARTED</t>
        </is>
      </c>
      <c r="I306" s="37" t="n"/>
      <c r="J306" s="37" t="n">
        <v>7</v>
      </c>
      <c r="K306" s="37" t="n"/>
    </row>
    <row r="307" ht="15" customHeight="1" s="35">
      <c r="A307" s="37" t="inlineStr">
        <is>
          <t>6503</t>
        </is>
      </c>
      <c r="B307" s="37" t="inlineStr">
        <is>
          <t>133</t>
        </is>
      </c>
      <c r="C307" s="37" t="inlineStr">
        <is>
          <t>6503 90° Female Pipe/37° Female Swivel Elbow</t>
        </is>
      </c>
      <c r="D307" s="37" t="inlineStr">
        <is>
          <t>JIC 37 &amp; Beaded Hose</t>
        </is>
      </c>
      <c r="E307" s="37" t="inlineStr">
        <is>
          <t>90°</t>
        </is>
      </c>
      <c r="F307" s="37" t="inlineStr">
        <is>
          <t>https://parts.air-way.com/hydraulic-fittings/jic-and-beaded-hose-fittings/90/6503-90-female-pipe-37-female-swivel-elbow-series-133</t>
        </is>
      </c>
      <c r="G307" s="37" t="inlineStr">
        <is>
          <t>none shown</t>
        </is>
      </c>
      <c r="H307" s="37" t="inlineStr">
        <is>
          <t>TABLED</t>
        </is>
      </c>
      <c r="I307" s="37" t="n"/>
      <c r="J307" s="37" t="n">
        <v>11</v>
      </c>
      <c r="K307" s="37" t="inlineStr">
        <is>
          <t>TABLED 2026-09-23: double-pass extraction 11 rows (sheet said 11); DesignTable_6503.xlsx; scope vs OMi feed: 1 BUILD / 10 DROP / 4 OMi-only (4 differ only by -FG)</t>
        </is>
      </c>
    </row>
    <row r="308" ht="15" customHeight="1" s="35">
      <c r="A308" s="37" t="inlineStr">
        <is>
          <t>6503</t>
        </is>
      </c>
      <c r="B308" s="37" t="inlineStr">
        <is>
          <t>280</t>
        </is>
      </c>
      <c r="C308" s="37" t="inlineStr">
        <is>
          <t>SS6503 90° Female Pipe/37° Female Swivel Elbow series</t>
        </is>
      </c>
      <c r="D308" s="37" t="inlineStr">
        <is>
          <t>Stainless Steel Fittings</t>
        </is>
      </c>
      <c r="E308" s="37" t="inlineStr">
        <is>
          <t>90°</t>
        </is>
      </c>
      <c r="F308" s="37" t="inlineStr">
        <is>
          <t>https://parts.air-way.com/hydraulic-fittings/stainless-steel-hydraulic-fittings/90/ss6503-90-female-pipe-37-female-swivel-elbow-series-280</t>
        </is>
      </c>
      <c r="G308" s="37" t="inlineStr">
        <is>
          <t>none</t>
        </is>
      </c>
      <c r="H308" s="37" t="inlineStr">
        <is>
          <t>NOT STARTED</t>
        </is>
      </c>
      <c r="I308" s="37" t="n"/>
      <c r="J308" s="37" t="n">
        <v>1</v>
      </c>
      <c r="K308" s="37" t="n"/>
    </row>
    <row r="309" ht="15" customHeight="1" s="35">
      <c r="A309" s="37" t="inlineStr">
        <is>
          <t>6504</t>
        </is>
      </c>
      <c r="B309" s="37" t="inlineStr">
        <is>
          <t>337</t>
        </is>
      </c>
      <c r="C309" s="37" t="inlineStr">
        <is>
          <t>F6504 JIC/37° Female Swivel Union</t>
        </is>
      </c>
      <c r="D309" s="37" t="inlineStr">
        <is>
          <t>FLARE-O</t>
        </is>
      </c>
      <c r="E309" s="37" t="inlineStr">
        <is>
          <t>Straight</t>
        </is>
      </c>
      <c r="F309" s="37" t="inlineStr">
        <is>
          <t>https://parts.air-way.com/hydraulic-fittings/flare-o-hydraulic-fittings/straight/f6504-jic-37-female-swivel-union-series-337</t>
        </is>
      </c>
      <c r="G309" s="37" t="inlineStr">
        <is>
          <t>none shown</t>
        </is>
      </c>
      <c r="H309" s="37" t="inlineStr">
        <is>
          <t>NOT STARTED</t>
        </is>
      </c>
      <c r="I309" s="37" t="n"/>
      <c r="J309" s="37" t="n">
        <v>4</v>
      </c>
      <c r="K309" s="37" t="n"/>
    </row>
    <row r="310" ht="15" customHeight="1" s="35">
      <c r="A310" s="37" t="inlineStr">
        <is>
          <t>6504</t>
        </is>
      </c>
      <c r="B310" s="37" t="inlineStr">
        <is>
          <t>100</t>
        </is>
      </c>
      <c r="C310" s="37" t="inlineStr">
        <is>
          <t>6504 Tube/37° Female Swivel Union</t>
        </is>
      </c>
      <c r="D310" s="37" t="inlineStr">
        <is>
          <t>JIC 37 &amp; Beaded Hose</t>
        </is>
      </c>
      <c r="E310" s="37" t="inlineStr">
        <is>
          <t>Straight</t>
        </is>
      </c>
      <c r="F310" s="37" t="inlineStr">
        <is>
          <t>https://parts.air-way.com/hydraulic-fittings/jic-and-beaded-hose-fittings/straight/6504-tube-37-female-swivel-union-series-100</t>
        </is>
      </c>
      <c r="G310" s="37" t="inlineStr">
        <is>
          <t>none shown</t>
        </is>
      </c>
      <c r="H310" s="37" t="inlineStr">
        <is>
          <t>TABLED</t>
        </is>
      </c>
      <c r="I310" s="37" t="n"/>
      <c r="J310" s="37" t="n">
        <v>14</v>
      </c>
      <c r="K310" s="37" t="inlineStr">
        <is>
          <t>TABLED 2026-09-23: double-pass extraction 14 rows (sheet said 14); DesignTable_6504.xlsx; scope vs OMi feed: 10 BUILD / 4 DROP / 10 OMi-only (0 differ only by -FG); 2 source anomaly note(s) in 07_RAW_EXTRACTS/airway_anomalies_2026-09-23.txt</t>
        </is>
      </c>
    </row>
    <row r="311" ht="15" customHeight="1" s="35">
      <c r="A311" s="37" t="inlineStr">
        <is>
          <t>6504</t>
        </is>
      </c>
      <c r="B311" s="37" t="inlineStr">
        <is>
          <t>17</t>
        </is>
      </c>
      <c r="C311" s="37" t="inlineStr">
        <is>
          <t>FF6504 Male ORFS / Female ORFS Swivel Union</t>
        </is>
      </c>
      <c r="D311" s="37" t="inlineStr">
        <is>
          <t>ORFS</t>
        </is>
      </c>
      <c r="E311" s="37" t="inlineStr">
        <is>
          <t>Straight</t>
        </is>
      </c>
      <c r="F311" s="37" t="inlineStr">
        <is>
          <t>https://parts.air-way.com/hydraulic-fittings/o-ring-face-seal-orfs-hydraulic-fittings/straight/ff6504-male-orfs-female-orfs-swivel-union-series-17</t>
        </is>
      </c>
      <c r="G311" s="37" t="inlineStr">
        <is>
          <t>—</t>
        </is>
      </c>
      <c r="H311" s="37" t="inlineStr">
        <is>
          <t>NOT STARTED</t>
        </is>
      </c>
      <c r="I311" s="37" t="n"/>
      <c r="J311" s="37" t="n">
        <v>15</v>
      </c>
      <c r="K311" s="37" t="n"/>
    </row>
    <row r="312" ht="15" customHeight="1" s="35">
      <c r="A312" s="37" t="inlineStr">
        <is>
          <t>6504</t>
        </is>
      </c>
      <c r="B312" s="37" t="inlineStr">
        <is>
          <t>258</t>
        </is>
      </c>
      <c r="C312" s="37" t="inlineStr">
        <is>
          <t>SS6504 Male JIC /37° Female Swivel Union series</t>
        </is>
      </c>
      <c r="D312" s="37" t="inlineStr">
        <is>
          <t>Stainless Steel Fittings</t>
        </is>
      </c>
      <c r="E312" s="37" t="inlineStr">
        <is>
          <t>Straight</t>
        </is>
      </c>
      <c r="F312" s="37" t="inlineStr">
        <is>
          <t>https://parts.air-way.com/hydraulic-fittings/stainless-steel-hydraulic-fittings/straight/ss6504-male-jic-37-female-swivel-union-series-258</t>
        </is>
      </c>
      <c r="G312" s="37" t="inlineStr">
        <is>
          <t>SAE J514 070121S</t>
        </is>
      </c>
      <c r="H312" s="37" t="inlineStr">
        <is>
          <t>NOT STARTED</t>
        </is>
      </c>
      <c r="I312" s="37" t="n"/>
      <c r="J312" s="37" t="n">
        <v>6</v>
      </c>
      <c r="K312" s="37" t="n"/>
    </row>
    <row r="313" ht="15" customHeight="1" s="35">
      <c r="A313" s="37" t="inlineStr">
        <is>
          <t>6505</t>
        </is>
      </c>
      <c r="B313" s="37" t="inlineStr">
        <is>
          <t>101</t>
        </is>
      </c>
      <c r="C313" s="37" t="inlineStr">
        <is>
          <t>6505 Male Pipe/37° Female Swivel Connector</t>
        </is>
      </c>
      <c r="D313" s="37" t="inlineStr">
        <is>
          <t>JIC 37 &amp; Beaded Hose</t>
        </is>
      </c>
      <c r="E313" s="37" t="inlineStr">
        <is>
          <t>Straight</t>
        </is>
      </c>
      <c r="F313" s="37" t="inlineStr">
        <is>
          <t>https://parts.air-way.com/hydraulic-fittings/jic-and-beaded-hose-fittings/straight/6505-male-pipe-37-female-swivel-connector-series-101</t>
        </is>
      </c>
      <c r="G313" s="37" t="inlineStr">
        <is>
          <t>none shown</t>
        </is>
      </c>
      <c r="H313" s="37" t="inlineStr">
        <is>
          <t>TABLED</t>
        </is>
      </c>
      <c r="I313" s="37" t="n"/>
      <c r="J313" s="37" t="n">
        <v>20</v>
      </c>
      <c r="K313" s="37" t="inlineStr">
        <is>
          <t>TABLED 2026-09-23: double-pass extraction 20 rows (sheet said 20); DesignTable_6505.xlsx; scope vs OMi feed: 16 BUILD / 4 DROP / 4 OMi-only (0 differ only by -FG); 1 source anomaly note(s) in 07_RAW_EXTRACTS/airway_anomalies_2026-09-23.txt</t>
        </is>
      </c>
    </row>
    <row r="314" ht="15" customHeight="1" s="35">
      <c r="A314" s="37" t="inlineStr">
        <is>
          <t>6505</t>
        </is>
      </c>
      <c r="B314" s="37" t="inlineStr">
        <is>
          <t>485</t>
        </is>
      </c>
      <c r="C314" s="37" t="inlineStr">
        <is>
          <t>FF6505 Male Pipe / Female ORFS Swivel Connector</t>
        </is>
      </c>
      <c r="D314" s="37" t="inlineStr">
        <is>
          <t>ORFS</t>
        </is>
      </c>
      <c r="E314" s="37" t="inlineStr">
        <is>
          <t>Straight</t>
        </is>
      </c>
      <c r="F314" s="37" t="inlineStr">
        <is>
          <t>https://parts.air-way.com/hydraulic-fittings/o-ring-face-seal-orfs-hydraulic-fittings/straight/ff6505-male-pipe-female-orfs-swivel-connector-series-485</t>
        </is>
      </c>
      <c r="G314" s="37" t="inlineStr">
        <is>
          <t>—</t>
        </is>
      </c>
      <c r="H314" s="37" t="inlineStr">
        <is>
          <t>NOT STARTED</t>
        </is>
      </c>
      <c r="I314" s="37" t="n"/>
      <c r="J314" s="37" t="n">
        <v>4</v>
      </c>
      <c r="K314" s="37" t="n"/>
    </row>
    <row r="315" ht="15" customHeight="1" s="35">
      <c r="A315" s="37" t="inlineStr">
        <is>
          <t>6505</t>
        </is>
      </c>
      <c r="B315" s="37" t="inlineStr">
        <is>
          <t>259</t>
        </is>
      </c>
      <c r="C315" s="37" t="inlineStr">
        <is>
          <t>SS6505 Male Pipe/37° Female Swivel Connector series</t>
        </is>
      </c>
      <c r="D315" s="37" t="inlineStr">
        <is>
          <t>Stainless Steel Fittings</t>
        </is>
      </c>
      <c r="E315" s="37" t="inlineStr">
        <is>
          <t>Straight</t>
        </is>
      </c>
      <c r="F315" s="37" t="inlineStr">
        <is>
          <t>https://parts.air-way.com/hydraulic-fittings/stainless-steel-hydraulic-fittings/straight/ss6505-male-pipe-37-female-swivel-connector-series-259</t>
        </is>
      </c>
      <c r="G315" s="37" t="inlineStr">
        <is>
          <t>SAE J514 (no numeric code shown)</t>
        </is>
      </c>
      <c r="H315" s="37" t="inlineStr">
        <is>
          <t>NOT STARTED</t>
        </is>
      </c>
      <c r="I315" s="37" t="n"/>
      <c r="J315" s="37" t="n">
        <v>13</v>
      </c>
      <c r="K315" s="37" t="n"/>
    </row>
    <row r="316" ht="15" customHeight="1" s="35">
      <c r="A316" s="37" t="inlineStr">
        <is>
          <t>6506</t>
        </is>
      </c>
      <c r="B316" s="37" t="inlineStr">
        <is>
          <t>102</t>
        </is>
      </c>
      <c r="C316" s="37" t="inlineStr">
        <is>
          <t>6506 Female Pipe/37° Female Swivel Connector</t>
        </is>
      </c>
      <c r="D316" s="37" t="inlineStr">
        <is>
          <t>JIC 37 &amp; Beaded Hose</t>
        </is>
      </c>
      <c r="E316" s="37" t="inlineStr">
        <is>
          <t>Straight</t>
        </is>
      </c>
      <c r="F316" s="37" t="inlineStr">
        <is>
          <t>https://parts.air-way.com/hydraulic-fittings/jic-and-beaded-hose-fittings/straight/6506-female-pipe-37-female-swivel-connector-series-102</t>
        </is>
      </c>
      <c r="G316" s="37" t="inlineStr">
        <is>
          <t>none shown</t>
        </is>
      </c>
      <c r="H316" s="37" t="inlineStr">
        <is>
          <t>TABLED</t>
        </is>
      </c>
      <c r="I316" s="37" t="n"/>
      <c r="J316" s="37" t="n">
        <v>19</v>
      </c>
      <c r="K316" s="37" t="inlineStr">
        <is>
          <t>TABLED 2026-09-23: double-pass extraction 18 rows (sheet said 19); DesignTable_6506.xlsx; scope vs OMi feed: 15 BUILD / 3 DROP / 4 OMi-only (0 differ only by -FG); 1 source anomaly note(s) in 07_RAW_EXTRACTS/airway_anomalies_2026-09-23.txt</t>
        </is>
      </c>
    </row>
    <row r="317" ht="15" customHeight="1" s="35">
      <c r="A317" s="37" t="inlineStr">
        <is>
          <t>6506</t>
        </is>
      </c>
      <c r="B317" s="37" t="inlineStr">
        <is>
          <t>521</t>
        </is>
      </c>
      <c r="C317" s="37" t="inlineStr">
        <is>
          <t>FF6506 Female Pipe / Female ORFS Swivel Connector</t>
        </is>
      </c>
      <c r="D317" s="37" t="inlineStr">
        <is>
          <t>ORFS</t>
        </is>
      </c>
      <c r="E317" s="37" t="inlineStr">
        <is>
          <t>Straight</t>
        </is>
      </c>
      <c r="F317" s="37" t="inlineStr">
        <is>
          <t>https://parts.air-way.com/hydraulic-fittings/o-ring-face-seal-orfs-hydraulic-fittings/straight/ff6506-female-pipe-female-orfs-swivel-connector-series-521</t>
        </is>
      </c>
      <c r="G317" s="37" t="inlineStr">
        <is>
          <t>SAE J1453</t>
        </is>
      </c>
      <c r="H317" s="37" t="inlineStr">
        <is>
          <t>NOT STARTED</t>
        </is>
      </c>
      <c r="I317" s="37" t="n"/>
      <c r="J317" s="37" t="n">
        <v>2</v>
      </c>
      <c r="K317" s="37" t="n"/>
    </row>
    <row r="318" ht="15" customHeight="1" s="35">
      <c r="A318" s="37" t="inlineStr">
        <is>
          <t>6506</t>
        </is>
      </c>
      <c r="B318" s="37" t="inlineStr">
        <is>
          <t>260</t>
        </is>
      </c>
      <c r="C318" s="37" t="inlineStr">
        <is>
          <t>SS6506 Female Pipe/37° Female Swivel Connector series</t>
        </is>
      </c>
      <c r="D318" s="37" t="inlineStr">
        <is>
          <t>Stainless Steel Fittings</t>
        </is>
      </c>
      <c r="E318" s="37" t="inlineStr">
        <is>
          <t>Straight</t>
        </is>
      </c>
      <c r="F318" s="37" t="inlineStr">
        <is>
          <t>https://parts.air-way.com/hydraulic-fittings/stainless-steel-hydraulic-fittings/straight/ss6506-female-pipe-37-female-swivel-connector-series-260</t>
        </is>
      </c>
      <c r="G318" s="37" t="inlineStr">
        <is>
          <t>SAE J514 (no numeric code shown)</t>
        </is>
      </c>
      <c r="H318" s="37" t="inlineStr">
        <is>
          <t>NOT STARTED</t>
        </is>
      </c>
      <c r="I318" s="37" t="n"/>
      <c r="J318" s="37" t="n">
        <v>10</v>
      </c>
      <c r="K318" s="37" t="n"/>
    </row>
    <row r="319" ht="15" customHeight="1" s="35">
      <c r="A319" s="37" t="inlineStr">
        <is>
          <t>6507</t>
        </is>
      </c>
      <c r="B319" s="37" t="inlineStr">
        <is>
          <t>157</t>
        </is>
      </c>
      <c r="C319" s="37" t="inlineStr">
        <is>
          <t>6507 45° Female Pipe/37° Female Swivel Elbow</t>
        </is>
      </c>
      <c r="D319" s="37" t="inlineStr">
        <is>
          <t>JIC 37 &amp; Beaded Hose</t>
        </is>
      </c>
      <c r="E319" s="37" t="inlineStr">
        <is>
          <t>45°</t>
        </is>
      </c>
      <c r="F319" s="37" t="inlineStr">
        <is>
          <t>https://parts.air-way.com/hydraulic-fittings/jic-and-beaded-hose-fittings/45/6507-45-female-pipe-37-female-swivel-elbow-series-157</t>
        </is>
      </c>
      <c r="G319" s="37" t="inlineStr">
        <is>
          <t>none shown</t>
        </is>
      </c>
      <c r="H319" s="37" t="inlineStr">
        <is>
          <t>NOT STARTED</t>
        </is>
      </c>
      <c r="I319" s="37" t="n"/>
      <c r="J319" s="37" t="n">
        <v>1</v>
      </c>
      <c r="K319" s="37" t="n"/>
    </row>
    <row r="320" ht="15" customHeight="1" s="35">
      <c r="A320" s="37" t="inlineStr">
        <is>
          <t>6509</t>
        </is>
      </c>
      <c r="B320" s="37" t="inlineStr">
        <is>
          <t>103</t>
        </is>
      </c>
      <c r="C320" s="37" t="inlineStr">
        <is>
          <t>6509 37° Female Swivel/Female Straight Thread Connector</t>
        </is>
      </c>
      <c r="D320" s="37" t="inlineStr">
        <is>
          <t>JIC 37 &amp; Beaded Hose</t>
        </is>
      </c>
      <c r="E320" s="37" t="inlineStr">
        <is>
          <t>Straight</t>
        </is>
      </c>
      <c r="F320" s="37" t="inlineStr">
        <is>
          <t>https://parts.air-way.com/hydraulic-fittings/jic-and-beaded-hose-fittings/straight/6509-37-female-swivel-female-straight-thread-connector-series-103</t>
        </is>
      </c>
      <c r="G320" s="37" t="inlineStr">
        <is>
          <t>none shown</t>
        </is>
      </c>
      <c r="H320" s="37" t="inlineStr">
        <is>
          <t>NOT STARTED</t>
        </is>
      </c>
      <c r="I320" s="37" t="n"/>
      <c r="J320" s="37" t="n">
        <v>2</v>
      </c>
      <c r="K320" s="37" t="n"/>
    </row>
    <row r="321" ht="15" customHeight="1" s="35">
      <c r="A321" s="37" t="inlineStr">
        <is>
          <t>6509</t>
        </is>
      </c>
      <c r="B321" s="37" t="inlineStr">
        <is>
          <t>522</t>
        </is>
      </c>
      <c r="C321" s="37" t="inlineStr">
        <is>
          <t>FF6509 ORFS Swivel / Female Straight Thread Connector</t>
        </is>
      </c>
      <c r="D321" s="37" t="inlineStr">
        <is>
          <t>ORFS</t>
        </is>
      </c>
      <c r="E321" s="37" t="inlineStr">
        <is>
          <t>Straight</t>
        </is>
      </c>
      <c r="F321" s="37" t="inlineStr">
        <is>
          <t>https://parts.air-way.com/hydraulic-fittings/o-ring-face-seal-orfs-hydraulic-fittings/straight/ff6509-orfs-swivel-female-straight-thread-connector-series-522</t>
        </is>
      </c>
      <c r="G321" s="37" t="inlineStr">
        <is>
          <t>SAE J1453, SAE J1926-1</t>
        </is>
      </c>
      <c r="H321" s="37" t="inlineStr">
        <is>
          <t>NOT STARTED</t>
        </is>
      </c>
      <c r="I321" s="37" t="n"/>
      <c r="J321" s="37" t="n">
        <v>5</v>
      </c>
      <c r="K321" s="37" t="n"/>
    </row>
    <row r="322" ht="15" customHeight="1" s="35">
      <c r="A322" s="37" t="inlineStr">
        <is>
          <t>6565</t>
        </is>
      </c>
      <c r="B322" s="37" t="inlineStr">
        <is>
          <t>104</t>
        </is>
      </c>
      <c r="C322" s="37" t="inlineStr">
        <is>
          <t>6565 Double 37° Female Swivel Union</t>
        </is>
      </c>
      <c r="D322" s="37" t="inlineStr">
        <is>
          <t>JIC 37 &amp; Beaded Hose</t>
        </is>
      </c>
      <c r="E322" s="37" t="inlineStr">
        <is>
          <t>Straight</t>
        </is>
      </c>
      <c r="F322" s="37" t="inlineStr">
        <is>
          <t>https://parts.air-way.com/hydraulic-fittings/jic-and-beaded-hose-fittings/straight/6565-double-37-female-swivel-union-series-104</t>
        </is>
      </c>
      <c r="G322" s="37" t="inlineStr">
        <is>
          <t>none shown</t>
        </is>
      </c>
      <c r="H322" s="37" t="inlineStr">
        <is>
          <t>TABLED</t>
        </is>
      </c>
      <c r="I322" s="37" t="n"/>
      <c r="J322" s="37" t="n">
        <v>9</v>
      </c>
      <c r="K322" s="37" t="inlineStr">
        <is>
          <t>TABLED 2026-09-23: double-pass extraction 9 rows (sheet said 9); DesignTable_6565.xlsx; scope vs OMi feed: 9 BUILD / 0 DROP / 0 OMi-only (0 differ only by -FG); 1 source anomaly note(s) in 07_RAW_EXTRACTS/airway_anomalies_2026-09-23.txt</t>
        </is>
      </c>
    </row>
    <row r="323" ht="15" customHeight="1" s="35">
      <c r="A323" s="37" t="inlineStr">
        <is>
          <t>6565</t>
        </is>
      </c>
      <c r="B323" s="37" t="inlineStr">
        <is>
          <t>523</t>
        </is>
      </c>
      <c r="C323" s="37" t="inlineStr">
        <is>
          <t>FF6565 Male ORFS / Female Double Swivel Union</t>
        </is>
      </c>
      <c r="D323" s="37" t="inlineStr">
        <is>
          <t>ORFS</t>
        </is>
      </c>
      <c r="E323" s="37" t="inlineStr">
        <is>
          <t>Straight</t>
        </is>
      </c>
      <c r="F323" s="37" t="inlineStr">
        <is>
          <t>https://parts.air-way.com/hydraulic-fittings/o-ring-face-seal-orfs-hydraulic-fittings/straight/ff6565-male-orfs-female-double-swivel-union-series-523</t>
        </is>
      </c>
      <c r="G323" s="37" t="inlineStr">
        <is>
          <t>—</t>
        </is>
      </c>
      <c r="H323" s="37" t="inlineStr">
        <is>
          <t>NOT STARTED</t>
        </is>
      </c>
      <c r="I323" s="37" t="n"/>
      <c r="J323" s="37" t="n">
        <v>5</v>
      </c>
      <c r="K323" s="37" t="n"/>
    </row>
    <row r="324" ht="15" customHeight="1" s="35">
      <c r="A324" s="37" t="inlineStr">
        <is>
          <t>6565</t>
        </is>
      </c>
      <c r="B324" s="37" t="inlineStr">
        <is>
          <t>262</t>
        </is>
      </c>
      <c r="C324" s="37" t="inlineStr">
        <is>
          <t>SS6565 Double 37° Female Swivel Union series</t>
        </is>
      </c>
      <c r="D324" s="37" t="inlineStr">
        <is>
          <t>Stainless Steel Fittings</t>
        </is>
      </c>
      <c r="E324" s="37" t="inlineStr">
        <is>
          <t>Straight</t>
        </is>
      </c>
      <c r="F324" s="37" t="inlineStr">
        <is>
          <t>https://parts.air-way.com/hydraulic-fittings/stainless-steel-hydraulic-fittings/straight/ss6565-double-37-female-swivel-union-series-262</t>
        </is>
      </c>
      <c r="G324" s="37" t="inlineStr">
        <is>
          <t>SAE J514 (no numeric code shown)</t>
        </is>
      </c>
      <c r="H324" s="37" t="inlineStr">
        <is>
          <t>NOT STARTED</t>
        </is>
      </c>
      <c r="I324" s="37" t="n"/>
      <c r="J324" s="37" t="n">
        <v>9</v>
      </c>
      <c r="K324" s="37" t="n"/>
    </row>
    <row r="325" ht="15" customHeight="1" s="35">
      <c r="A325" s="37" t="inlineStr">
        <is>
          <t>6600</t>
        </is>
      </c>
      <c r="B325" s="37" t="inlineStr">
        <is>
          <t>377</t>
        </is>
      </c>
      <c r="C325" s="37" t="inlineStr">
        <is>
          <t>F6600 37° JIC Swivel Branch Tee</t>
        </is>
      </c>
      <c r="D325" s="37" t="inlineStr">
        <is>
          <t>FLARE-O</t>
        </is>
      </c>
      <c r="E325" s="37" t="inlineStr">
        <is>
          <t>Tee</t>
        </is>
      </c>
      <c r="F325" s="37" t="inlineStr">
        <is>
          <t>https://parts.air-way.com/hydraulic-fittings/flare-o-hydraulic-fittings/tee/f6600-37-jic-swivel-branch-tee-series-377</t>
        </is>
      </c>
      <c r="G325" s="37" t="inlineStr">
        <is>
          <t>SAE J514 070433</t>
        </is>
      </c>
      <c r="H325" s="37" t="inlineStr">
        <is>
          <t>NOT STARTED</t>
        </is>
      </c>
      <c r="I325" s="37" t="n"/>
      <c r="J325" s="37" t="n">
        <v>7</v>
      </c>
      <c r="K325" s="37" t="n"/>
    </row>
    <row r="326" ht="15" customHeight="1" s="35">
      <c r="A326" s="37" t="inlineStr">
        <is>
          <t>6600</t>
        </is>
      </c>
      <c r="B326" s="37" t="inlineStr">
        <is>
          <t>515</t>
        </is>
      </c>
      <c r="C326" s="37" t="inlineStr">
        <is>
          <t>MFF6600 ORFS Swivel Branch Tee</t>
        </is>
      </c>
      <c r="D326" s="37" t="inlineStr">
        <is>
          <t>International &amp; Metric</t>
        </is>
      </c>
      <c r="E326" s="37" t="inlineStr">
        <is>
          <t>ORFS metric</t>
        </is>
      </c>
      <c r="F326" s="37" t="inlineStr">
        <is>
          <t>https://parts.air-way.com/hydraulic-fittings/international-metric/orfs-metric/mff6600-orfs-swivel-branch-tee-series-515</t>
        </is>
      </c>
      <c r="G326" s="37" t="inlineStr">
        <is>
          <t>SAE J1453-2 52M0433</t>
        </is>
      </c>
      <c r="H326" s="37" t="inlineStr">
        <is>
          <t>NOT STARTED</t>
        </is>
      </c>
      <c r="I326" s="37" t="n"/>
      <c r="J326" s="37" t="n">
        <v>2</v>
      </c>
      <c r="K326" s="37" t="n"/>
    </row>
    <row r="327" ht="15" customHeight="1" s="35">
      <c r="A327" s="37" t="inlineStr">
        <is>
          <t>6600</t>
        </is>
      </c>
      <c r="B327" s="37" t="inlineStr">
        <is>
          <t>193</t>
        </is>
      </c>
      <c r="C327" s="37" t="inlineStr">
        <is>
          <t>6600 37° Female Swivel Branch Tee</t>
        </is>
      </c>
      <c r="D327" s="37" t="inlineStr">
        <is>
          <t>JIC 37 &amp; Beaded Hose</t>
        </is>
      </c>
      <c r="E327" s="37" t="inlineStr">
        <is>
          <t>Tee</t>
        </is>
      </c>
      <c r="F327" s="37" t="inlineStr">
        <is>
          <t>https://parts.air-way.com/hydraulic-fittings/jic-and-beaded-hose-fittings/tee/6600-37-female-swivel-branch-tee-series-193</t>
        </is>
      </c>
      <c r="G327" s="37" t="inlineStr">
        <is>
          <t>SAE J514 070433 / MS51524</t>
        </is>
      </c>
      <c r="H327" s="37" t="inlineStr">
        <is>
          <t>TABLED</t>
        </is>
      </c>
      <c r="I327" s="37" t="n"/>
      <c r="J327" s="37" t="n">
        <v>19</v>
      </c>
      <c r="K327" s="37" t="inlineStr">
        <is>
          <t>TABLED 2026-09-23: double-pass extraction 20 rows (sheet said 19); DesignTable_6600.xlsx; scope vs OMi feed: 10 BUILD / 10 DROP / 0 OMi-only (0 differ only by -FG); 1 source anomaly note(s) in 07_RAW_EXTRACTS/airway_anomalies_2026-09-23.txt</t>
        </is>
      </c>
    </row>
    <row r="328" ht="15" customHeight="1" s="35">
      <c r="A328" s="37" t="inlineStr">
        <is>
          <t>6600</t>
        </is>
      </c>
      <c r="B328" s="37" t="inlineStr">
        <is>
          <t>35</t>
        </is>
      </c>
      <c r="C328" s="37" t="inlineStr">
        <is>
          <t>FF6600 ORFS Swivel Branch Tee</t>
        </is>
      </c>
      <c r="D328" s="37" t="inlineStr">
        <is>
          <t>ORFS</t>
        </is>
      </c>
      <c r="E328" s="37" t="inlineStr">
        <is>
          <t>Tee</t>
        </is>
      </c>
      <c r="F328" s="37" t="inlineStr">
        <is>
          <t>https://parts.air-way.com/hydraulic-fittings/o-ring-face-seal-orfs-hydraulic-fittings/tee/ff6600-orfs-swivel-branch-tee-series-35</t>
        </is>
      </c>
      <c r="G328" s="37" t="inlineStr">
        <is>
          <t>SAE J1453 520433</t>
        </is>
      </c>
      <c r="H328" s="37" t="inlineStr">
        <is>
          <t>NOT STARTED</t>
        </is>
      </c>
      <c r="I328" s="37" t="n"/>
      <c r="J328" s="37" t="n">
        <v>7</v>
      </c>
      <c r="K328" s="37" t="n"/>
    </row>
    <row r="329" ht="15" customHeight="1" s="35">
      <c r="A329" s="37" t="inlineStr">
        <is>
          <t>6600</t>
        </is>
      </c>
      <c r="B329" s="37" t="inlineStr">
        <is>
          <t>312</t>
        </is>
      </c>
      <c r="C329" s="37" t="inlineStr">
        <is>
          <t>SS6600 37° Female Swivel Branch Tee series</t>
        </is>
      </c>
      <c r="D329" s="37" t="inlineStr">
        <is>
          <t>Stainless Steel Fittings</t>
        </is>
      </c>
      <c r="E329" s="37" t="inlineStr">
        <is>
          <t>Tee</t>
        </is>
      </c>
      <c r="F329" s="37" t="inlineStr">
        <is>
          <t>https://parts.air-way.com/hydraulic-fittings/stainless-steel-hydraulic-fittings/tee/ss6600-37-female-swivel-branch-tee-series-312</t>
        </is>
      </c>
      <c r="G329" s="37" t="inlineStr">
        <is>
          <t>SAE J514 070433 / MS51524</t>
        </is>
      </c>
      <c r="H329" s="37" t="inlineStr">
        <is>
          <t>NOT STARTED</t>
        </is>
      </c>
      <c r="I329" s="37" t="n"/>
      <c r="J329" s="37" t="n">
        <v>6</v>
      </c>
      <c r="K329" s="37" t="n"/>
    </row>
    <row r="330" ht="15" customHeight="1" s="35">
      <c r="A330" s="37" t="inlineStr">
        <is>
          <t>6602</t>
        </is>
      </c>
      <c r="B330" s="37" t="inlineStr">
        <is>
          <t>378</t>
        </is>
      </c>
      <c r="C330" s="37" t="inlineStr">
        <is>
          <t>F6602 37° JIC Swivel Run Tee</t>
        </is>
      </c>
      <c r="D330" s="37" t="inlineStr">
        <is>
          <t>FLARE-O</t>
        </is>
      </c>
      <c r="E330" s="37" t="inlineStr">
        <is>
          <t>Tee</t>
        </is>
      </c>
      <c r="F330" s="37" t="inlineStr">
        <is>
          <t>https://parts.air-way.com/hydraulic-fittings/flare-o-hydraulic-fittings/tee/f6602-37-jic-swivel-run-tee-series-378</t>
        </is>
      </c>
      <c r="G330" s="37" t="inlineStr">
        <is>
          <t>SAE J514 070432</t>
        </is>
      </c>
      <c r="H330" s="37" t="inlineStr">
        <is>
          <t>NOT STARTED</t>
        </is>
      </c>
      <c r="I330" s="37" t="n"/>
      <c r="J330" s="37" t="n">
        <v>7</v>
      </c>
      <c r="K330" s="37" t="n"/>
    </row>
    <row r="331" ht="15" customHeight="1" s="35">
      <c r="A331" s="37" t="inlineStr">
        <is>
          <t>6602</t>
        </is>
      </c>
      <c r="B331" s="37" t="inlineStr">
        <is>
          <t>470</t>
        </is>
      </c>
      <c r="C331" s="37" t="inlineStr">
        <is>
          <t>MBS6602 Threaded Fitting, BSPP 60° Cone Swivel Run Tee</t>
        </is>
      </c>
      <c r="D331" s="37" t="inlineStr">
        <is>
          <t>International &amp; Metric</t>
        </is>
      </c>
      <c r="E331" s="37" t="inlineStr">
        <is>
          <t>BSPP ISO 8434-6</t>
        </is>
      </c>
      <c r="F331" s="37" t="inlineStr">
        <is>
          <t>https://parts.air-way.com/hydraulic-fittings/international-metric/bspp-iso-8434-6/mbs6602-threaded-fitting-bspp-60-cone-swivel-run-tee-series-470</t>
        </is>
      </c>
      <c r="G331" s="37" t="inlineStr">
        <is>
          <t>ISO 8434-6</t>
        </is>
      </c>
      <c r="H331" s="37" t="inlineStr">
        <is>
          <t>NOT STARTED</t>
        </is>
      </c>
      <c r="I331" s="37" t="n"/>
      <c r="J331" s="37" t="n">
        <v>1</v>
      </c>
      <c r="K331" s="37" t="n"/>
    </row>
    <row r="332" ht="15" customHeight="1" s="35">
      <c r="A332" s="37" t="inlineStr">
        <is>
          <t>6602</t>
        </is>
      </c>
      <c r="B332" s="37" t="inlineStr">
        <is>
          <t>516</t>
        </is>
      </c>
      <c r="C332" s="37" t="inlineStr">
        <is>
          <t>MFF6602 ORFS Swivel Run Tee</t>
        </is>
      </c>
      <c r="D332" s="37" t="inlineStr">
        <is>
          <t>International &amp; Metric</t>
        </is>
      </c>
      <c r="E332" s="37" t="inlineStr">
        <is>
          <t>ORFS metric</t>
        </is>
      </c>
      <c r="F332" s="37" t="inlineStr">
        <is>
          <t>https://parts.air-way.com/hydraulic-fittings/international-metric/orfs-metric/mff6602-orfs-swivel-run-tee-series-516</t>
        </is>
      </c>
      <c r="G332" s="37" t="inlineStr">
        <is>
          <t>SAE J1453-2 52M0432</t>
        </is>
      </c>
      <c r="H332" s="37" t="inlineStr">
        <is>
          <t>NOT STARTED</t>
        </is>
      </c>
      <c r="I332" s="37" t="n"/>
      <c r="J332" s="37" t="n">
        <v>13</v>
      </c>
      <c r="K332" s="37" t="n"/>
    </row>
    <row r="333" ht="15" customHeight="1" s="35">
      <c r="A333" s="37" t="inlineStr">
        <is>
          <t>6602</t>
        </is>
      </c>
      <c r="B333" s="37" t="inlineStr">
        <is>
          <t>194</t>
        </is>
      </c>
      <c r="C333" s="37" t="inlineStr">
        <is>
          <t>6602 37° Female Swivel Run Tee</t>
        </is>
      </c>
      <c r="D333" s="37" t="inlineStr">
        <is>
          <t>JIC 37 &amp; Beaded Hose</t>
        </is>
      </c>
      <c r="E333" s="37" t="inlineStr">
        <is>
          <t>Tee</t>
        </is>
      </c>
      <c r="F333" s="37" t="inlineStr">
        <is>
          <t>https://parts.air-way.com/hydraulic-fittings/jic-and-beaded-hose-fittings/tee/6602-37-female-swivel-run-tee-series-194</t>
        </is>
      </c>
      <c r="G333" s="37" t="inlineStr">
        <is>
          <t>SAE J514 070432 / MS51523</t>
        </is>
      </c>
      <c r="H333" s="37" t="inlineStr">
        <is>
          <t>TABLED</t>
        </is>
      </c>
      <c r="I333" s="37" t="n"/>
      <c r="J333" s="37" t="n">
        <v>39</v>
      </c>
      <c r="K333" s="37" t="inlineStr">
        <is>
          <t>TABLED 2026-09-23: double-pass extraction 39 rows (sheet said 39); DesignTable_6602.xlsx; scope vs OMi feed: 9 BUILD / 30 DROP / 0 OMi-only (0 differ only by -FG); 1 source anomaly note(s) in 07_RAW_EXTRACTS/airway_anomalies_2026-09-23.txt</t>
        </is>
      </c>
    </row>
    <row r="334" ht="15" customHeight="1" s="35">
      <c r="A334" s="37" t="inlineStr">
        <is>
          <t>6602</t>
        </is>
      </c>
      <c r="B334" s="37" t="inlineStr">
        <is>
          <t>36</t>
        </is>
      </c>
      <c r="C334" s="37" t="inlineStr">
        <is>
          <t>FF6602 ORFS Swivel Run Tee</t>
        </is>
      </c>
      <c r="D334" s="37" t="inlineStr">
        <is>
          <t>ORFS</t>
        </is>
      </c>
      <c r="E334" s="37" t="inlineStr">
        <is>
          <t>Tee</t>
        </is>
      </c>
      <c r="F334" s="37" t="inlineStr">
        <is>
          <t>https://parts.air-way.com/hydraulic-fittings/o-ring-face-seal-orfs-hydraulic-fittings/tee/ff6602-orfs-swivel-run-tee-series-36</t>
        </is>
      </c>
      <c r="G334" s="37" t="inlineStr">
        <is>
          <t>SAE J1453 520432</t>
        </is>
      </c>
      <c r="H334" s="37" t="inlineStr">
        <is>
          <t>NOT STARTED</t>
        </is>
      </c>
      <c r="I334" s="37" t="n"/>
      <c r="J334" s="37" t="n">
        <v>21</v>
      </c>
      <c r="K334" s="37" t="n"/>
    </row>
    <row r="335" ht="15" customHeight="1" s="35">
      <c r="A335" s="37" t="inlineStr">
        <is>
          <t>6602</t>
        </is>
      </c>
      <c r="B335" s="37" t="inlineStr">
        <is>
          <t>313</t>
        </is>
      </c>
      <c r="C335" s="37" t="inlineStr">
        <is>
          <t>SS6602 37° Female Swivel Run Tee series</t>
        </is>
      </c>
      <c r="D335" s="37" t="inlineStr">
        <is>
          <t>Stainless Steel Fittings</t>
        </is>
      </c>
      <c r="E335" s="37" t="inlineStr">
        <is>
          <t>Tee</t>
        </is>
      </c>
      <c r="F335" s="37" t="inlineStr">
        <is>
          <t>https://parts.air-way.com/hydraulic-fittings/stainless-steel-hydraulic-fittings/tee/ss6602-37-female-swivel-run-tee-series-313</t>
        </is>
      </c>
      <c r="G335" s="37" t="inlineStr">
        <is>
          <t>SAE J514 070432 / MS51523</t>
        </is>
      </c>
      <c r="H335" s="37" t="inlineStr">
        <is>
          <t>NOT STARTED</t>
        </is>
      </c>
      <c r="I335" s="37" t="n"/>
      <c r="J335" s="37" t="n">
        <v>6</v>
      </c>
      <c r="K335" s="37" t="n"/>
    </row>
    <row r="336" ht="15" customHeight="1" s="35">
      <c r="A336" s="37" t="inlineStr">
        <is>
          <t>6603</t>
        </is>
      </c>
      <c r="B336" s="37" t="inlineStr">
        <is>
          <t>195</t>
        </is>
      </c>
      <c r="C336" s="37" t="inlineStr">
        <is>
          <t>6603 37° Female Swivel Run/Run Tee</t>
        </is>
      </c>
      <c r="D336" s="37" t="inlineStr">
        <is>
          <t>JIC 37 &amp; Beaded Hose</t>
        </is>
      </c>
      <c r="E336" s="37" t="inlineStr">
        <is>
          <t>Tee</t>
        </is>
      </c>
      <c r="F336" s="37" t="inlineStr">
        <is>
          <t>https://parts.air-way.com/hydraulic-fittings/jic-and-beaded-hose-fittings/tee/6603-37-female-swivel-run-run-tee-series-195</t>
        </is>
      </c>
      <c r="G336" s="37" t="inlineStr">
        <is>
          <t>none shown</t>
        </is>
      </c>
      <c r="H336" s="37" t="inlineStr">
        <is>
          <t>TABLED</t>
        </is>
      </c>
      <c r="I336" s="37" t="n"/>
      <c r="J336" s="37" t="n">
        <v>5</v>
      </c>
      <c r="K336" s="37" t="inlineStr">
        <is>
          <t>TABLED 2026-09-23: double-pass extraction 5 rows (sheet said 5); DesignTable_6603.xlsx; scope vs OMi feed: 0 BUILD / 5 DROP / 2 OMi-only (2 differ only by -FG)</t>
        </is>
      </c>
    </row>
    <row r="337" ht="15" customHeight="1" s="35">
      <c r="A337" s="37" t="inlineStr">
        <is>
          <t>6605</t>
        </is>
      </c>
      <c r="B337" s="37" t="inlineStr">
        <is>
          <t>197</t>
        </is>
      </c>
      <c r="C337" s="37" t="inlineStr">
        <is>
          <t>6605 Female Pipe/37° Female Swivel Run/Run Tee</t>
        </is>
      </c>
      <c r="D337" s="37" t="inlineStr">
        <is>
          <t>JIC 37 &amp; Beaded Hose</t>
        </is>
      </c>
      <c r="E337" s="37" t="inlineStr">
        <is>
          <t>Tee</t>
        </is>
      </c>
      <c r="F337" s="37" t="inlineStr">
        <is>
          <t>https://parts.air-way.com/hydraulic-fittings/jic-and-beaded-hose-fittings/tee/6605-female-pipe-37-female-swivel-run-run-tee-series-197</t>
        </is>
      </c>
      <c r="G337" s="37" t="inlineStr">
        <is>
          <t>none shown</t>
        </is>
      </c>
      <c r="H337" s="37" t="inlineStr">
        <is>
          <t>NOT STARTED</t>
        </is>
      </c>
      <c r="I337" s="37" t="n"/>
      <c r="J337" s="37" t="n">
        <v>1</v>
      </c>
      <c r="K337" s="37" t="n"/>
    </row>
    <row r="338" ht="15" customHeight="1" s="35">
      <c r="A338" s="37" t="inlineStr">
        <is>
          <t>6606</t>
        </is>
      </c>
      <c r="B338" s="37" t="inlineStr">
        <is>
          <t>198</t>
        </is>
      </c>
      <c r="C338" s="37" t="inlineStr">
        <is>
          <t>6606 37° Female Swivel Tee</t>
        </is>
      </c>
      <c r="D338" s="37" t="inlineStr">
        <is>
          <t>JIC 37 &amp; Beaded Hose</t>
        </is>
      </c>
      <c r="E338" s="37" t="inlineStr">
        <is>
          <t>Tee</t>
        </is>
      </c>
      <c r="F338" s="37" t="inlineStr">
        <is>
          <t>https://parts.air-way.com/hydraulic-fittings/jic-and-beaded-hose-fittings/tee/6606-37-female-swivel-tee-series-198</t>
        </is>
      </c>
      <c r="G338" s="37" t="inlineStr">
        <is>
          <t>none shown</t>
        </is>
      </c>
      <c r="H338" s="37" t="inlineStr">
        <is>
          <t>TABLED</t>
        </is>
      </c>
      <c r="I338" s="37" t="n"/>
      <c r="J338" s="37" t="n">
        <v>2</v>
      </c>
      <c r="K338" s="37" t="inlineStr">
        <is>
          <t>TABLED 2026-09-23: double-pass extraction 2 rows (sheet said 2); DesignTable_6606.xlsx; scope vs OMi feed: 0 BUILD / 2 DROP / 6 OMi-only (2 differ only by -FG)</t>
        </is>
      </c>
    </row>
    <row r="339" ht="15" customHeight="1" s="35">
      <c r="A339" s="37" t="inlineStr">
        <is>
          <t>6801</t>
        </is>
      </c>
      <c r="B339" s="37" t="inlineStr">
        <is>
          <t>349</t>
        </is>
      </c>
      <c r="C339" s="37" t="inlineStr">
        <is>
          <t>F6801 90° Straight Thread Elbow</t>
        </is>
      </c>
      <c r="D339" s="37" t="inlineStr">
        <is>
          <t>FLARE-O</t>
        </is>
      </c>
      <c r="E339" s="37" t="inlineStr">
        <is>
          <t>90°</t>
        </is>
      </c>
      <c r="F339" s="37" t="inlineStr">
        <is>
          <t>https://parts.air-way.com/hydraulic-fittings/flare-o-hydraulic-fittings/90/f6801-90-straight-thread-elbow-series-349</t>
        </is>
      </c>
      <c r="G339" s="37" t="inlineStr">
        <is>
          <t>SAE J514 070220</t>
        </is>
      </c>
      <c r="H339" s="37" t="inlineStr">
        <is>
          <t>NOT STARTED</t>
        </is>
      </c>
      <c r="I339" s="37" t="n"/>
      <c r="J339" s="37" t="n">
        <v>29</v>
      </c>
      <c r="K339" s="37" t="n"/>
    </row>
    <row r="340" ht="15" customHeight="1" s="35">
      <c r="A340" s="37" t="inlineStr">
        <is>
          <t>6801</t>
        </is>
      </c>
      <c r="B340" s="37" t="inlineStr">
        <is>
          <t>454</t>
        </is>
      </c>
      <c r="C340" s="37" t="inlineStr">
        <is>
          <t>MBP6801, JIC to BSPP Adjustable 90° Elbow</t>
        </is>
      </c>
      <c r="D340" s="37" t="inlineStr">
        <is>
          <t>International &amp; Metric</t>
        </is>
      </c>
      <c r="E340" s="37" t="inlineStr">
        <is>
          <t>BSPP</t>
        </is>
      </c>
      <c r="F340" s="37" t="inlineStr">
        <is>
          <t>https://parts.air-way.com/hydraulic-fittings/international-metric/bspp/mbp6801-jic-to-bspp-adjustable-90-elbow-series-454</t>
        </is>
      </c>
      <c r="G340" s="37" t="inlineStr">
        <is>
          <t>SAE J514, ISO 1179-3</t>
        </is>
      </c>
      <c r="H340" s="37" t="inlineStr">
        <is>
          <t>NOT STARTED</t>
        </is>
      </c>
      <c r="I340" s="37" t="n"/>
      <c r="J340" s="37" t="n">
        <v>21</v>
      </c>
      <c r="K340" s="37" t="n"/>
    </row>
    <row r="341" ht="15" customHeight="1" s="35">
      <c r="A341" s="37" t="inlineStr">
        <is>
          <t>6801</t>
        </is>
      </c>
      <c r="B341" s="37" t="inlineStr">
        <is>
          <t>468</t>
        </is>
      </c>
      <c r="C341" s="37" t="inlineStr">
        <is>
          <t>MBS6801 Threaded Fitting, BSPP 60° Cone to SAE Adjustable 90° Elbow</t>
        </is>
      </c>
      <c r="D341" s="37" t="inlineStr">
        <is>
          <t>International &amp; Metric</t>
        </is>
      </c>
      <c r="E341" s="37" t="inlineStr">
        <is>
          <t>BSPP ISO 8434-6</t>
        </is>
      </c>
      <c r="F341" s="37" t="inlineStr">
        <is>
          <t>https://parts.air-way.com/hydraulic-fittings/international-metric/bspp-iso-8434-6/mbs6801-threaded-fitting-bspp-60-cone-to-sae-adjustable-90-elbow-series-468</t>
        </is>
      </c>
      <c r="G341" s="37" t="inlineStr">
        <is>
          <t>ISO 8434-6 to SAE J1926-3</t>
        </is>
      </c>
      <c r="H341" s="37" t="inlineStr">
        <is>
          <t>NOT STARTED</t>
        </is>
      </c>
      <c r="I341" s="37" t="n"/>
      <c r="J341" s="37" t="n">
        <v>2</v>
      </c>
      <c r="K341" s="37" t="n"/>
    </row>
    <row r="342" ht="15" customHeight="1" s="35">
      <c r="A342" s="37" t="inlineStr">
        <is>
          <t>6801</t>
        </is>
      </c>
      <c r="B342" s="37" t="inlineStr">
        <is>
          <t>446</t>
        </is>
      </c>
      <c r="C342" s="37" t="inlineStr">
        <is>
          <t>M6801 JIC to Metric Adjustable 90° Elbow</t>
        </is>
      </c>
      <c r="D342" s="37" t="inlineStr">
        <is>
          <t>International &amp; Metric</t>
        </is>
      </c>
      <c r="E342" s="37" t="inlineStr">
        <is>
          <t>Metric</t>
        </is>
      </c>
      <c r="F342" s="37" t="inlineStr">
        <is>
          <t>https://parts.air-way.com/hydraulic-fittings/international-metric/metric/m6801-jic-to-metric-adjustable-90-elbow-series-446</t>
        </is>
      </c>
      <c r="G342" s="37" t="inlineStr">
        <is>
          <t>SAE J514, ISO 9974</t>
        </is>
      </c>
      <c r="H342" s="37" t="inlineStr">
        <is>
          <t>NOT STARTED</t>
        </is>
      </c>
      <c r="I342" s="37" t="n"/>
      <c r="J342" s="37" t="n">
        <v>14</v>
      </c>
      <c r="K342" s="37" t="n"/>
    </row>
    <row r="343" ht="15" customHeight="1" s="35">
      <c r="A343" s="37" t="inlineStr">
        <is>
          <t>6801</t>
        </is>
      </c>
      <c r="B343" s="37" t="inlineStr">
        <is>
          <t>476</t>
        </is>
      </c>
      <c r="C343" s="37" t="inlineStr">
        <is>
          <t>MFF6801, ORFS to Metric Adjustable 90° Elbow</t>
        </is>
      </c>
      <c r="D343" s="37" t="inlineStr">
        <is>
          <t>International &amp; Metric</t>
        </is>
      </c>
      <c r="E343" s="37" t="inlineStr">
        <is>
          <t>ORFS metric</t>
        </is>
      </c>
      <c r="F343" s="37" t="inlineStr">
        <is>
          <t>https://parts.air-way.com/hydraulic-fittings/international-metric/orfs-metric/mff6801-orfs-to-metric-adjustable-90-elbow-series-476</t>
        </is>
      </c>
      <c r="G343" s="37" t="inlineStr">
        <is>
          <t>SAE J1453, ISO 8434-3, ISO 6149</t>
        </is>
      </c>
      <c r="H343" s="37" t="inlineStr">
        <is>
          <t>NOT STARTED</t>
        </is>
      </c>
      <c r="I343" s="37" t="n"/>
      <c r="J343" s="37" t="n">
        <v>41</v>
      </c>
      <c r="K343" s="37" t="n"/>
    </row>
    <row r="344" ht="15" customHeight="1" s="35">
      <c r="A344" s="37" t="inlineStr">
        <is>
          <t>6801</t>
        </is>
      </c>
      <c r="B344" s="37" t="inlineStr">
        <is>
          <t>134</t>
        </is>
      </c>
      <c r="C344" s="37" t="inlineStr">
        <is>
          <t>6801 90° Straight Thread Elbow</t>
        </is>
      </c>
      <c r="D344" s="37" t="inlineStr">
        <is>
          <t>JIC 37 &amp; Beaded Hose</t>
        </is>
      </c>
      <c r="E344" s="37" t="inlineStr">
        <is>
          <t>90°</t>
        </is>
      </c>
      <c r="F344" s="37" t="inlineStr">
        <is>
          <t>https://parts.air-way.com/hydraulic-fittings/jic-and-beaded-hose-fittings/90/6801-90-straight-thread-elbow-series-134</t>
        </is>
      </c>
      <c r="G344" s="37" t="inlineStr">
        <is>
          <t>SAE J514 070220 / MS51527</t>
        </is>
      </c>
      <c r="H344" s="37" t="inlineStr">
        <is>
          <t>NOT STARTED</t>
        </is>
      </c>
      <c r="I344" s="37" t="n"/>
      <c r="J344" s="37" t="n">
        <v>92</v>
      </c>
      <c r="K344" s="37" t="n"/>
    </row>
    <row r="345" ht="15" customHeight="1" s="35">
      <c r="A345" s="37" t="inlineStr">
        <is>
          <t>6801</t>
        </is>
      </c>
      <c r="B345" s="37" t="inlineStr">
        <is>
          <t>25</t>
        </is>
      </c>
      <c r="C345" s="37" t="inlineStr">
        <is>
          <t>FF6801 90° Straight Thread Elbow</t>
        </is>
      </c>
      <c r="D345" s="37" t="inlineStr">
        <is>
          <t>ORFS</t>
        </is>
      </c>
      <c r="E345" s="37" t="inlineStr">
        <is>
          <t>90°</t>
        </is>
      </c>
      <c r="F345" s="37" t="inlineStr">
        <is>
          <t>https://parts.air-way.com/hydraulic-fittings/o-ring-face-seal-orfs-hydraulic-fittings/90/ff6801-90-straight-thread-elbow-series-25</t>
        </is>
      </c>
      <c r="G345" s="37" t="inlineStr">
        <is>
          <t>SAE J1453 520220</t>
        </is>
      </c>
      <c r="H345" s="37" t="inlineStr">
        <is>
          <t>NOT STARTED</t>
        </is>
      </c>
      <c r="I345" s="37" t="n"/>
      <c r="J345" s="37" t="n">
        <v>36</v>
      </c>
      <c r="K345" s="37" t="n"/>
    </row>
    <row r="346" ht="15" customHeight="1" s="35">
      <c r="A346" s="37" t="inlineStr">
        <is>
          <t>6801</t>
        </is>
      </c>
      <c r="B346" s="37" t="inlineStr">
        <is>
          <t>281</t>
        </is>
      </c>
      <c r="C346" s="37" t="inlineStr">
        <is>
          <t>SS6801 90° Straight Thread Elbow series</t>
        </is>
      </c>
      <c r="D346" s="37" t="inlineStr">
        <is>
          <t>Stainless Steel Fittings</t>
        </is>
      </c>
      <c r="E346" s="37" t="inlineStr">
        <is>
          <t>90°</t>
        </is>
      </c>
      <c r="F346" s="37" t="inlineStr">
        <is>
          <t>https://parts.air-way.com/hydraulic-fittings/stainless-steel-hydraulic-fittings/90/ss6801-90-straight-thread-elbow-series-281</t>
        </is>
      </c>
      <c r="G346" s="37" t="inlineStr">
        <is>
          <t>SAE J514 070220 / MS51527</t>
        </is>
      </c>
      <c r="H346" s="37" t="inlineStr">
        <is>
          <t>NOT STARTED</t>
        </is>
      </c>
      <c r="I346" s="37" t="n"/>
      <c r="J346" s="37" t="n">
        <v>25</v>
      </c>
      <c r="K346" s="37" t="n"/>
    </row>
    <row r="347" ht="15" customHeight="1" s="35">
      <c r="A347" s="37" t="inlineStr">
        <is>
          <t>6801-L</t>
        </is>
      </c>
      <c r="B347" s="37" t="inlineStr">
        <is>
          <t>350</t>
        </is>
      </c>
      <c r="C347" s="37" t="inlineStr">
        <is>
          <t>F6801-L 90° Straight Thread Elbow Long</t>
        </is>
      </c>
      <c r="D347" s="37" t="inlineStr">
        <is>
          <t>FLARE-O</t>
        </is>
      </c>
      <c r="E347" s="37" t="inlineStr">
        <is>
          <t>90°</t>
        </is>
      </c>
      <c r="F347" s="37" t="inlineStr">
        <is>
          <t>https://parts.air-way.com/hydraulic-fittings/flare-o-hydraulic-fittings/90/f6801-l-90-straight-thread-elbow-long-series-350</t>
        </is>
      </c>
      <c r="G347" s="37" t="inlineStr">
        <is>
          <t>none shown</t>
        </is>
      </c>
      <c r="H347" s="37" t="inlineStr">
        <is>
          <t>NOT STARTED</t>
        </is>
      </c>
      <c r="I347" s="37" t="n"/>
      <c r="J347" s="37" t="n">
        <v>5</v>
      </c>
      <c r="K347" s="37" t="n"/>
    </row>
    <row r="348" ht="15" customHeight="1" s="35">
      <c r="A348" s="37" t="inlineStr">
        <is>
          <t>6801-L</t>
        </is>
      </c>
      <c r="B348" s="37" t="inlineStr">
        <is>
          <t>135</t>
        </is>
      </c>
      <c r="C348" s="37" t="inlineStr">
        <is>
          <t>6801-L 90° Straight Thread Elbow Long</t>
        </is>
      </c>
      <c r="D348" s="37" t="inlineStr">
        <is>
          <t>JIC 37 &amp; Beaded Hose</t>
        </is>
      </c>
      <c r="E348" s="37" t="inlineStr">
        <is>
          <t>90°</t>
        </is>
      </c>
      <c r="F348" s="37" t="inlineStr">
        <is>
          <t>https://parts.air-way.com/hydraulic-fittings/jic-and-beaded-hose-fittings/90/6801-l-90-straight-thread-elbow-long-series-135</t>
        </is>
      </c>
      <c r="G348" s="37" t="inlineStr">
        <is>
          <t>SAE J514 071520</t>
        </is>
      </c>
      <c r="H348" s="37" t="inlineStr">
        <is>
          <t>NOT STARTED</t>
        </is>
      </c>
      <c r="I348" s="37" t="n"/>
      <c r="J348" s="37" t="n">
        <v>19</v>
      </c>
      <c r="K348" s="37" t="n"/>
    </row>
    <row r="349" ht="15" customHeight="1" s="35">
      <c r="A349" s="37" t="inlineStr">
        <is>
          <t>6801-L</t>
        </is>
      </c>
      <c r="B349" s="37" t="inlineStr">
        <is>
          <t>26</t>
        </is>
      </c>
      <c r="C349" s="37" t="inlineStr">
        <is>
          <t>FF6801-L 90° Straight Thread Elbow Long</t>
        </is>
      </c>
      <c r="D349" s="37" t="inlineStr">
        <is>
          <t>ORFS</t>
        </is>
      </c>
      <c r="E349" s="37" t="inlineStr">
        <is>
          <t>90°</t>
        </is>
      </c>
      <c r="F349" s="37" t="inlineStr">
        <is>
          <t>https://parts.air-way.com/hydraulic-fittings/o-ring-face-seal-orfs-hydraulic-fittings/90/ff6801-l-90-straight-thread-elbow-long-series-26</t>
        </is>
      </c>
      <c r="G349" s="37" t="inlineStr">
        <is>
          <t>SAE J1453 521520</t>
        </is>
      </c>
      <c r="H349" s="37" t="inlineStr">
        <is>
          <t>NOT STARTED</t>
        </is>
      </c>
      <c r="I349" s="37" t="n"/>
      <c r="J349" s="37" t="n">
        <v>11</v>
      </c>
      <c r="K349" s="37" t="n"/>
    </row>
    <row r="350" ht="15" customHeight="1" s="35">
      <c r="A350" s="37" t="inlineStr">
        <is>
          <t>6801-L</t>
        </is>
      </c>
      <c r="B350" s="37" t="inlineStr">
        <is>
          <t>282</t>
        </is>
      </c>
      <c r="C350" s="37" t="inlineStr">
        <is>
          <t>SS6801-L 90° Straight Thread Elbow Long series</t>
        </is>
      </c>
      <c r="D350" s="37" t="inlineStr">
        <is>
          <t>Stainless Steel Fittings</t>
        </is>
      </c>
      <c r="E350" s="37" t="inlineStr">
        <is>
          <t>90°</t>
        </is>
      </c>
      <c r="F350" s="37" t="inlineStr">
        <is>
          <t>https://parts.air-way.com/hydraulic-fittings/stainless-steel-hydraulic-fittings/90/ss6801-l-90-straight-thread-elbow-long-series-282</t>
        </is>
      </c>
      <c r="G350" s="37" t="inlineStr">
        <is>
          <t>none (see GAPS)</t>
        </is>
      </c>
      <c r="H350" s="37" t="inlineStr">
        <is>
          <t>NOT STARTED</t>
        </is>
      </c>
      <c r="I350" s="37" t="n"/>
      <c r="J350" s="37" t="n">
        <v>1</v>
      </c>
      <c r="K350" s="37" t="n"/>
    </row>
    <row r="351" ht="15" customHeight="1" s="35">
      <c r="A351" s="37" t="inlineStr">
        <is>
          <t>6801-LL</t>
        </is>
      </c>
      <c r="B351" s="37" t="inlineStr">
        <is>
          <t>351</t>
        </is>
      </c>
      <c r="C351" s="37" t="inlineStr">
        <is>
          <t>F6801-LL 90° Straight Thread Elbow Extra</t>
        </is>
      </c>
      <c r="D351" s="37" t="inlineStr">
        <is>
          <t>FLARE-O</t>
        </is>
      </c>
      <c r="E351" s="37" t="inlineStr">
        <is>
          <t>90°</t>
        </is>
      </c>
      <c r="F351" s="37" t="inlineStr">
        <is>
          <t>https://parts.air-way.com/hydraulic-fittings/flare-o-hydraulic-fittings/90/f6801-ll-90-straight-thread-elbow-extra-series-351</t>
        </is>
      </c>
      <c r="G351" s="37" t="inlineStr">
        <is>
          <t>none shown</t>
        </is>
      </c>
      <c r="H351" s="37" t="inlineStr">
        <is>
          <t>NOT STARTED</t>
        </is>
      </c>
      <c r="I351" s="37" t="n"/>
      <c r="J351" s="37" t="n">
        <v>5</v>
      </c>
      <c r="K351" s="37" t="n"/>
    </row>
    <row r="352" ht="15" customHeight="1" s="35">
      <c r="A352" s="37" t="inlineStr">
        <is>
          <t>6801-LL</t>
        </is>
      </c>
      <c r="B352" s="37" t="inlineStr">
        <is>
          <t>136</t>
        </is>
      </c>
      <c r="C352" s="37" t="inlineStr">
        <is>
          <t>6801-LL 90° Straight Thread Elbow Extra Long</t>
        </is>
      </c>
      <c r="D352" s="37" t="inlineStr">
        <is>
          <t>JIC 37 &amp; Beaded Hose</t>
        </is>
      </c>
      <c r="E352" s="37" t="inlineStr">
        <is>
          <t>90°</t>
        </is>
      </c>
      <c r="F352" s="37" t="inlineStr">
        <is>
          <t>https://parts.air-way.com/hydraulic-fittings/jic-and-beaded-hose-fittings/90/6801-ll-90-straight-thread-elbow-extra-long-series-136</t>
        </is>
      </c>
      <c r="G352" s="37" t="inlineStr">
        <is>
          <t>SAE J514 071620</t>
        </is>
      </c>
      <c r="H352" s="37" t="inlineStr">
        <is>
          <t>NOT STARTED</t>
        </is>
      </c>
      <c r="I352" s="37" t="n"/>
      <c r="J352" s="37" t="n">
        <v>21</v>
      </c>
      <c r="K352" s="37" t="n"/>
    </row>
    <row r="353" ht="15" customHeight="1" s="35">
      <c r="A353" s="37" t="inlineStr">
        <is>
          <t>6801-LLL</t>
        </is>
      </c>
      <c r="B353" s="37" t="inlineStr">
        <is>
          <t>352</t>
        </is>
      </c>
      <c r="C353" s="37" t="inlineStr">
        <is>
          <t>F6801-LLL 90° Straight Thread Elbow Extra</t>
        </is>
      </c>
      <c r="D353" s="37" t="inlineStr">
        <is>
          <t>FLARE-O</t>
        </is>
      </c>
      <c r="E353" s="37" t="inlineStr">
        <is>
          <t>90°</t>
        </is>
      </c>
      <c r="F353" s="37" t="inlineStr">
        <is>
          <t>https://parts.air-way.com/hydraulic-fittings/flare-o-hydraulic-fittings/90/f6801-lll-90-straight-thread-elbow-extra-series-352</t>
        </is>
      </c>
      <c r="G353" s="37" t="inlineStr">
        <is>
          <t>none shown</t>
        </is>
      </c>
      <c r="H353" s="37" t="inlineStr">
        <is>
          <t>NOT STARTED</t>
        </is>
      </c>
      <c r="I353" s="37" t="n"/>
      <c r="J353" s="37" t="n">
        <v>1</v>
      </c>
      <c r="K353" s="37" t="n"/>
    </row>
    <row r="354" ht="15" customHeight="1" s="35">
      <c r="A354" s="37" t="inlineStr">
        <is>
          <t>6801-LLL</t>
        </is>
      </c>
      <c r="B354" s="37" t="inlineStr">
        <is>
          <t>137</t>
        </is>
      </c>
      <c r="C354" s="37" t="inlineStr">
        <is>
          <t>6801-LLL 90° Straight Thread Elbow Extra Extra Long</t>
        </is>
      </c>
      <c r="D354" s="37" t="inlineStr">
        <is>
          <t>JIC 37 &amp; Beaded Hose</t>
        </is>
      </c>
      <c r="E354" s="37" t="inlineStr">
        <is>
          <t>90°</t>
        </is>
      </c>
      <c r="F354" s="37" t="inlineStr">
        <is>
          <t>https://parts.air-way.com/hydraulic-fittings/jic-and-beaded-hose-fittings/90/6801-lll-90-straight-thread-elbow-extra-extra-long-series-137</t>
        </is>
      </c>
      <c r="G354" s="37" t="inlineStr">
        <is>
          <t>SAE J514 072120</t>
        </is>
      </c>
      <c r="H354" s="37" t="inlineStr">
        <is>
          <t>NOT STARTED</t>
        </is>
      </c>
      <c r="I354" s="37" t="n"/>
      <c r="J354" s="37" t="n">
        <v>6</v>
      </c>
      <c r="K354" s="37" t="n"/>
    </row>
    <row r="355" ht="15" customHeight="1" s="35">
      <c r="A355" s="37" t="inlineStr">
        <is>
          <t>6802</t>
        </is>
      </c>
      <c r="B355" s="37" t="inlineStr">
        <is>
          <t>359</t>
        </is>
      </c>
      <c r="C355" s="37" t="inlineStr">
        <is>
          <t>F6802 45° Straight Thread Elbow</t>
        </is>
      </c>
      <c r="D355" s="37" t="inlineStr">
        <is>
          <t>FLARE-O</t>
        </is>
      </c>
      <c r="E355" s="37" t="inlineStr">
        <is>
          <t>45°</t>
        </is>
      </c>
      <c r="F355" s="37" t="inlineStr">
        <is>
          <t>https://parts.air-way.com/hydraulic-fittings/flare-o-hydraulic-fittings/45/f6802-45-straight-thread-elbow-series-359</t>
        </is>
      </c>
      <c r="G355" s="37" t="inlineStr">
        <is>
          <t>SAE J514 070320</t>
        </is>
      </c>
      <c r="H355" s="37" t="inlineStr">
        <is>
          <t>NOT STARTED</t>
        </is>
      </c>
      <c r="I355" s="37" t="n"/>
      <c r="J355" s="37" t="n">
        <v>17</v>
      </c>
      <c r="K355" s="37" t="n"/>
    </row>
    <row r="356" ht="15" customHeight="1" s="35">
      <c r="A356" s="37" t="inlineStr">
        <is>
          <t>6802</t>
        </is>
      </c>
      <c r="B356" s="37" t="inlineStr">
        <is>
          <t>455</t>
        </is>
      </c>
      <c r="C356" s="37" t="inlineStr">
        <is>
          <t>MBP6802, JIC to BSPP Adjustable 45° Elbow</t>
        </is>
      </c>
      <c r="D356" s="37" t="inlineStr">
        <is>
          <t>International &amp; Metric</t>
        </is>
      </c>
      <c r="E356" s="37" t="inlineStr">
        <is>
          <t>BSPP</t>
        </is>
      </c>
      <c r="F356" s="37" t="inlineStr">
        <is>
          <t>https://parts.air-way.com/hydraulic-fittings/international-metric/bspp/mbp6802-jic-to-bspp-adjustable-45-elbow-series-455</t>
        </is>
      </c>
      <c r="G356" s="37" t="inlineStr">
        <is>
          <t>SAE J514, ISO 1179-3</t>
        </is>
      </c>
      <c r="H356" s="37" t="inlineStr">
        <is>
          <t>NOT STARTED</t>
        </is>
      </c>
      <c r="I356" s="37" t="n"/>
      <c r="J356" s="37" t="n">
        <v>12</v>
      </c>
      <c r="K356" s="37" t="n"/>
    </row>
    <row r="357" ht="15" customHeight="1" s="35">
      <c r="A357" s="37" t="inlineStr">
        <is>
          <t>6802</t>
        </is>
      </c>
      <c r="B357" s="37" t="inlineStr">
        <is>
          <t>447</t>
        </is>
      </c>
      <c r="C357" s="37" t="inlineStr">
        <is>
          <t>M6802 JIC to Metric Adjustable 45° Elbow</t>
        </is>
      </c>
      <c r="D357" s="37" t="inlineStr">
        <is>
          <t>International &amp; Metric</t>
        </is>
      </c>
      <c r="E357" s="37" t="inlineStr">
        <is>
          <t>Metric</t>
        </is>
      </c>
      <c r="F357" s="37" t="inlineStr">
        <is>
          <t>https://parts.air-way.com/hydraulic-fittings/international-metric/metric/m6802-jic-to-metric-adjustable-45-elbow-series-447</t>
        </is>
      </c>
      <c r="G357" s="37" t="inlineStr">
        <is>
          <t>SAE J514, ISO 9974</t>
        </is>
      </c>
      <c r="H357" s="37" t="inlineStr">
        <is>
          <t>NOT STARTED</t>
        </is>
      </c>
      <c r="I357" s="37" t="n"/>
      <c r="J357" s="37" t="n">
        <v>8</v>
      </c>
      <c r="K357" s="37" t="n"/>
    </row>
    <row r="358" ht="15" customHeight="1" s="35">
      <c r="A358" s="37" t="inlineStr">
        <is>
          <t>6802</t>
        </is>
      </c>
      <c r="B358" s="37" t="inlineStr">
        <is>
          <t>477</t>
        </is>
      </c>
      <c r="C358" s="37" t="inlineStr">
        <is>
          <t>MFF6802 Threaded Fitting, ORFS to Metric Adjustable 45° Elbow</t>
        </is>
      </c>
      <c r="D358" s="37" t="inlineStr">
        <is>
          <t>International &amp; Metric</t>
        </is>
      </c>
      <c r="E358" s="37" t="inlineStr">
        <is>
          <t>ORFS metric</t>
        </is>
      </c>
      <c r="F358" s="37" t="inlineStr">
        <is>
          <t>https://parts.air-way.com/hydraulic-fittings/international-metric/orfs-metric/mff6802-threaded-fitting-orfs-to-metric-adjustable-45-elbow-series-477</t>
        </is>
      </c>
      <c r="G358" s="37" t="inlineStr">
        <is>
          <t>SAE J1453, ISO 8434-3, ISO 6149</t>
        </is>
      </c>
      <c r="H358" s="37" t="inlineStr">
        <is>
          <t>NOT STARTED</t>
        </is>
      </c>
      <c r="I358" s="37" t="n"/>
      <c r="J358" s="37" t="n">
        <v>20</v>
      </c>
      <c r="K358" s="37" t="n"/>
    </row>
    <row r="359" ht="15" customHeight="1" s="35">
      <c r="A359" s="37" t="inlineStr">
        <is>
          <t>6802</t>
        </is>
      </c>
      <c r="B359" s="37" t="inlineStr">
        <is>
          <t>158</t>
        </is>
      </c>
      <c r="C359" s="37" t="inlineStr">
        <is>
          <t>6802 45° Straight Thread Elbow</t>
        </is>
      </c>
      <c r="D359" s="37" t="inlineStr">
        <is>
          <t>JIC 37 &amp; Beaded Hose</t>
        </is>
      </c>
      <c r="E359" s="37" t="inlineStr">
        <is>
          <t>45°</t>
        </is>
      </c>
      <c r="F359" s="37" t="inlineStr">
        <is>
          <t>https://parts.air-way.com/hydraulic-fittings/jic-and-beaded-hose-fittings/45/6802-45-straight-thread-elbow-series-158</t>
        </is>
      </c>
      <c r="G359" s="37" t="inlineStr">
        <is>
          <t>SAE J514 070320 / MS51528</t>
        </is>
      </c>
      <c r="H359" s="37" t="inlineStr">
        <is>
          <t>NOT STARTED</t>
        </is>
      </c>
      <c r="I359" s="37" t="n"/>
      <c r="J359" s="37" t="n">
        <v>56</v>
      </c>
      <c r="K359" s="37" t="n"/>
    </row>
    <row r="360" ht="15" customHeight="1" s="35">
      <c r="A360" s="37" t="inlineStr">
        <is>
          <t>6802</t>
        </is>
      </c>
      <c r="B360" s="37" t="inlineStr">
        <is>
          <t>31</t>
        </is>
      </c>
      <c r="C360" s="37" t="inlineStr">
        <is>
          <t>FF6802 45° Straight Thread Elbow</t>
        </is>
      </c>
      <c r="D360" s="37" t="inlineStr">
        <is>
          <t>ORFS</t>
        </is>
      </c>
      <c r="E360" s="37" t="inlineStr">
        <is>
          <t>45°</t>
        </is>
      </c>
      <c r="F360" s="37" t="inlineStr">
        <is>
          <t>https://parts.air-way.com/hydraulic-fittings/o-ring-face-seal-orfs-hydraulic-fittings/45/ff6802-45-straight-thread-elbow-series-31</t>
        </is>
      </c>
      <c r="G360" s="37" t="inlineStr">
        <is>
          <t>SAE J1453 520320</t>
        </is>
      </c>
      <c r="H360" s="37" t="inlineStr">
        <is>
          <t>NOT STARTED</t>
        </is>
      </c>
      <c r="I360" s="37" t="n"/>
      <c r="J360" s="37" t="n">
        <v>23</v>
      </c>
      <c r="K360" s="37" t="n"/>
    </row>
    <row r="361" ht="15" customHeight="1" s="35">
      <c r="A361" s="37" t="inlineStr">
        <is>
          <t>6802</t>
        </is>
      </c>
      <c r="B361" s="37" t="inlineStr">
        <is>
          <t>295</t>
        </is>
      </c>
      <c r="C361" s="37" t="inlineStr">
        <is>
          <t>SS6802 45° Straight Thread Elbow series</t>
        </is>
      </c>
      <c r="D361" s="37" t="inlineStr">
        <is>
          <t>Stainless Steel Fittings</t>
        </is>
      </c>
      <c r="E361" s="37" t="inlineStr">
        <is>
          <t>45°</t>
        </is>
      </c>
      <c r="F361" s="37" t="inlineStr">
        <is>
          <t>https://parts.air-way.com/hydraulic-fittings/stainless-steel-hydraulic-fittings/45/ss6802-45-straight-thread-elbow-series-295</t>
        </is>
      </c>
      <c r="G361" s="37" t="inlineStr">
        <is>
          <t>SAE J514 070320 / MS51528</t>
        </is>
      </c>
      <c r="H361" s="37" t="inlineStr">
        <is>
          <t>NOT STARTED</t>
        </is>
      </c>
      <c r="I361" s="37" t="n"/>
      <c r="J361" s="37" t="n">
        <v>10</v>
      </c>
      <c r="K361" s="37" t="n"/>
    </row>
    <row r="362" ht="15" customHeight="1" s="35">
      <c r="A362" s="37" t="inlineStr">
        <is>
          <t>6803</t>
        </is>
      </c>
      <c r="B362" s="37" t="inlineStr">
        <is>
          <t>380</t>
        </is>
      </c>
      <c r="C362" s="37" t="inlineStr">
        <is>
          <t>F6803 Straight Thread Branch Tee</t>
        </is>
      </c>
      <c r="D362" s="37" t="inlineStr">
        <is>
          <t>FLARE-O</t>
        </is>
      </c>
      <c r="E362" s="37" t="inlineStr">
        <is>
          <t>Tee</t>
        </is>
      </c>
      <c r="F362" s="37" t="inlineStr">
        <is>
          <t>https://parts.air-way.com/hydraulic-fittings/flare-o-hydraulic-fittings/tee/f6803-straight-thread-branch-tee-series-380</t>
        </is>
      </c>
      <c r="G362" s="37" t="inlineStr">
        <is>
          <t>SAE J514 070429</t>
        </is>
      </c>
      <c r="H362" s="37" t="inlineStr">
        <is>
          <t>NOT STARTED</t>
        </is>
      </c>
      <c r="I362" s="37" t="n"/>
      <c r="J362" s="37" t="n">
        <v>7</v>
      </c>
      <c r="K362" s="37" t="n"/>
    </row>
    <row r="363" ht="15" customHeight="1" s="35">
      <c r="A363" s="37" t="inlineStr">
        <is>
          <t>6803</t>
        </is>
      </c>
      <c r="B363" s="37" t="inlineStr">
        <is>
          <t>456</t>
        </is>
      </c>
      <c r="C363" s="37" t="inlineStr">
        <is>
          <t>MBP6803, JIC to BSPP Adjustable Branch Tee</t>
        </is>
      </c>
      <c r="D363" s="37" t="inlineStr">
        <is>
          <t>International &amp; Metric</t>
        </is>
      </c>
      <c r="E363" s="37" t="inlineStr">
        <is>
          <t>BSPP</t>
        </is>
      </c>
      <c r="F363" s="37" t="inlineStr">
        <is>
          <t>https://parts.air-way.com/hydraulic-fittings/international-metric/bspp/mbp6803-jic-to-bspp-adjustable-branch-tee-series-456</t>
        </is>
      </c>
      <c r="G363" s="37" t="inlineStr">
        <is>
          <t>SAE J514, ISO 1179-3</t>
        </is>
      </c>
      <c r="H363" s="37" t="inlineStr">
        <is>
          <t>NOT STARTED</t>
        </is>
      </c>
      <c r="I363" s="37" t="n"/>
      <c r="J363" s="37" t="n">
        <v>2</v>
      </c>
      <c r="K363" s="37" t="n"/>
    </row>
    <row r="364" ht="15" customHeight="1" s="35">
      <c r="A364" s="37" t="inlineStr">
        <is>
          <t>6803</t>
        </is>
      </c>
      <c r="B364" s="37" t="inlineStr">
        <is>
          <t>448</t>
        </is>
      </c>
      <c r="C364" s="37" t="inlineStr">
        <is>
          <t>M6803 JIC to Metric Adjustable Branch Tee</t>
        </is>
      </c>
      <c r="D364" s="37" t="inlineStr">
        <is>
          <t>International &amp; Metric</t>
        </is>
      </c>
      <c r="E364" s="37" t="inlineStr">
        <is>
          <t>Metric</t>
        </is>
      </c>
      <c r="F364" s="37" t="inlineStr">
        <is>
          <t>https://parts.air-way.com/hydraulic-fittings/international-metric/metric/m6803-jic-to-metric-adjustable-branch-tee-series-448</t>
        </is>
      </c>
      <c r="G364" s="37" t="inlineStr">
        <is>
          <t>SAE J514, ISO 9974</t>
        </is>
      </c>
      <c r="H364" s="37" t="inlineStr">
        <is>
          <t>NOT STARTED</t>
        </is>
      </c>
      <c r="I364" s="37" t="n"/>
      <c r="J364" s="37" t="n">
        <v>2</v>
      </c>
      <c r="K364" s="37" t="n"/>
    </row>
    <row r="365" ht="15" customHeight="1" s="35">
      <c r="A365" s="37" t="inlineStr">
        <is>
          <t>6803</t>
        </is>
      </c>
      <c r="B365" s="37" t="inlineStr">
        <is>
          <t>478</t>
        </is>
      </c>
      <c r="C365" s="37" t="inlineStr">
        <is>
          <t>MFF6803 Threaded Fitting, ORFS to Metric Adjustable Branch Tee</t>
        </is>
      </c>
      <c r="D365" s="37" t="inlineStr">
        <is>
          <t>International &amp; Metric</t>
        </is>
      </c>
      <c r="E365" s="37" t="inlineStr">
        <is>
          <t>ORFS metric</t>
        </is>
      </c>
      <c r="F365" s="37" t="inlineStr">
        <is>
          <t>https://parts.air-way.com/hydraulic-fittings/international-metric/orfs-metric/mff6803-threaded-fitting-orfs-to-metric-adjustable-branch-tee-series-478</t>
        </is>
      </c>
      <c r="G365" s="37" t="inlineStr">
        <is>
          <t>SAE J1453, ISO 8434-3, ISO 6149</t>
        </is>
      </c>
      <c r="H365" s="37" t="inlineStr">
        <is>
          <t>NOT STARTED</t>
        </is>
      </c>
      <c r="I365" s="37" t="n"/>
      <c r="J365" s="37" t="n">
        <v>24</v>
      </c>
      <c r="K365" s="37" t="n"/>
    </row>
    <row r="366" ht="15" customHeight="1" s="35">
      <c r="A366" s="37" t="inlineStr">
        <is>
          <t>6803</t>
        </is>
      </c>
      <c r="B366" s="37" t="inlineStr">
        <is>
          <t>199</t>
        </is>
      </c>
      <c r="C366" s="37" t="inlineStr">
        <is>
          <t>6803 Straight Thread Branch Tee</t>
        </is>
      </c>
      <c r="D366" s="37" t="inlineStr">
        <is>
          <t>JIC 37 &amp; Beaded Hose</t>
        </is>
      </c>
      <c r="E366" s="37" t="inlineStr">
        <is>
          <t>Tee</t>
        </is>
      </c>
      <c r="F366" s="37" t="inlineStr">
        <is>
          <t>https://parts.air-way.com/hydraulic-fittings/jic-and-beaded-hose-fittings/tee/6803-straight-thread-branch-tee-series-199</t>
        </is>
      </c>
      <c r="G366" s="37" t="inlineStr">
        <is>
          <t>SAE J514 070429 / MS51529</t>
        </is>
      </c>
      <c r="H366" s="37" t="inlineStr">
        <is>
          <t>NOT STARTED</t>
        </is>
      </c>
      <c r="I366" s="37" t="n"/>
      <c r="J366" s="37" t="n">
        <v>34</v>
      </c>
      <c r="K366" s="37" t="n"/>
    </row>
    <row r="367" ht="15" customHeight="1" s="35">
      <c r="A367" s="37" t="inlineStr">
        <is>
          <t>6803</t>
        </is>
      </c>
      <c r="B367" s="37" t="inlineStr">
        <is>
          <t>37</t>
        </is>
      </c>
      <c r="C367" s="37" t="inlineStr">
        <is>
          <t>FF6803 Straight Thread Branch Tee</t>
        </is>
      </c>
      <c r="D367" s="37" t="inlineStr">
        <is>
          <t>ORFS</t>
        </is>
      </c>
      <c r="E367" s="37" t="inlineStr">
        <is>
          <t>Tee</t>
        </is>
      </c>
      <c r="F367" s="37" t="inlineStr">
        <is>
          <t>https://parts.air-way.com/hydraulic-fittings/o-ring-face-seal-orfs-hydraulic-fittings/tee/ff6803-straight-thread-branch-tee-series-37</t>
        </is>
      </c>
      <c r="G367" s="37" t="inlineStr">
        <is>
          <t>SAE J1453 520429</t>
        </is>
      </c>
      <c r="H367" s="37" t="inlineStr">
        <is>
          <t>NOT STARTED</t>
        </is>
      </c>
      <c r="I367" s="37" t="n"/>
      <c r="J367" s="37" t="n">
        <v>20</v>
      </c>
      <c r="K367" s="37" t="n"/>
    </row>
    <row r="368" ht="15" customHeight="1" s="35">
      <c r="A368" s="37" t="inlineStr">
        <is>
          <t>6803</t>
        </is>
      </c>
      <c r="B368" s="37" t="inlineStr">
        <is>
          <t>314</t>
        </is>
      </c>
      <c r="C368" s="37" t="inlineStr">
        <is>
          <t>SS6803 Straight Thread Branch Tee series</t>
        </is>
      </c>
      <c r="D368" s="37" t="inlineStr">
        <is>
          <t>Stainless Steel Fittings</t>
        </is>
      </c>
      <c r="E368" s="37" t="inlineStr">
        <is>
          <t>Tee</t>
        </is>
      </c>
      <c r="F368" s="37" t="inlineStr">
        <is>
          <t>https://parts.air-way.com/hydraulic-fittings/stainless-steel-hydraulic-fittings/tee/ss6803-straight-thread-branch-tee-series-314</t>
        </is>
      </c>
      <c r="G368" s="37" t="inlineStr">
        <is>
          <t>SAE J514 070429 / MS51529</t>
        </is>
      </c>
      <c r="H368" s="37" t="inlineStr">
        <is>
          <t>NOT STARTED</t>
        </is>
      </c>
      <c r="I368" s="37" t="n"/>
      <c r="J368" s="37" t="n">
        <v>6</v>
      </c>
      <c r="K368" s="37" t="n"/>
    </row>
    <row r="369" ht="15" customHeight="1" s="35">
      <c r="A369" s="37" t="inlineStr">
        <is>
          <t>6804</t>
        </is>
      </c>
      <c r="B369" s="37" t="inlineStr">
        <is>
          <t>381</t>
        </is>
      </c>
      <c r="C369" s="37" t="inlineStr">
        <is>
          <t>F6804 Straight Thread Run Tee</t>
        </is>
      </c>
      <c r="D369" s="37" t="inlineStr">
        <is>
          <t>FLARE-O</t>
        </is>
      </c>
      <c r="E369" s="37" t="inlineStr">
        <is>
          <t>Tee</t>
        </is>
      </c>
      <c r="F369" s="37" t="inlineStr">
        <is>
          <t>https://parts.air-way.com/hydraulic-fittings/flare-o-hydraulic-fittings/tee/f6804-straight-thread-run-tee-series-381</t>
        </is>
      </c>
      <c r="G369" s="37" t="inlineStr">
        <is>
          <t>SAE J514 070428</t>
        </is>
      </c>
      <c r="H369" s="37" t="inlineStr">
        <is>
          <t>NOT STARTED</t>
        </is>
      </c>
      <c r="I369" s="37" t="n"/>
      <c r="J369" s="37" t="n">
        <v>10</v>
      </c>
      <c r="K369" s="37" t="n"/>
    </row>
    <row r="370" ht="15" customHeight="1" s="35">
      <c r="A370" s="37" t="inlineStr">
        <is>
          <t>6804</t>
        </is>
      </c>
      <c r="B370" s="37" t="inlineStr">
        <is>
          <t>457</t>
        </is>
      </c>
      <c r="C370" s="37" t="inlineStr">
        <is>
          <t>MBP6804, JIC to BSPP Adjustable Run Tee</t>
        </is>
      </c>
      <c r="D370" s="37" t="inlineStr">
        <is>
          <t>International &amp; Metric</t>
        </is>
      </c>
      <c r="E370" s="37" t="inlineStr">
        <is>
          <t>BSPP</t>
        </is>
      </c>
      <c r="F370" s="37" t="inlineStr">
        <is>
          <t>https://parts.air-way.com/hydraulic-fittings/international-metric/bspp/mbp6804-jic-to-bspp-adjustable-run-tee-series-457</t>
        </is>
      </c>
      <c r="G370" s="37" t="inlineStr">
        <is>
          <t>SAE J514, ISO 1179-3</t>
        </is>
      </c>
      <c r="H370" s="37" t="inlineStr">
        <is>
          <t>NOT STARTED</t>
        </is>
      </c>
      <c r="I370" s="37" t="n"/>
      <c r="J370" s="37" t="n">
        <v>2</v>
      </c>
      <c r="K370" s="37" t="n"/>
    </row>
    <row r="371" ht="15" customHeight="1" s="35">
      <c r="A371" s="37" t="inlineStr">
        <is>
          <t>6804</t>
        </is>
      </c>
      <c r="B371" s="37" t="inlineStr">
        <is>
          <t>449</t>
        </is>
      </c>
      <c r="C371" s="37" t="inlineStr">
        <is>
          <t>M6804 JIC to Metric Adjustable Run Tee</t>
        </is>
      </c>
      <c r="D371" s="37" t="inlineStr">
        <is>
          <t>International &amp; Metric</t>
        </is>
      </c>
      <c r="E371" s="37" t="inlineStr">
        <is>
          <t>Metric</t>
        </is>
      </c>
      <c r="F371" s="37" t="inlineStr">
        <is>
          <t>https://parts.air-way.com/hydraulic-fittings/international-metric/metric/m6804-jic-to-metric-adjustable-run-tee-series-449</t>
        </is>
      </c>
      <c r="G371" s="37" t="inlineStr">
        <is>
          <t>SAE J514, ISO 9974</t>
        </is>
      </c>
      <c r="H371" s="37" t="inlineStr">
        <is>
          <t>NOT STARTED</t>
        </is>
      </c>
      <c r="I371" s="37" t="n"/>
      <c r="J371" s="37" t="n">
        <v>1</v>
      </c>
      <c r="K371" s="37" t="n"/>
    </row>
    <row r="372" ht="15" customHeight="1" s="35">
      <c r="A372" s="37" t="inlineStr">
        <is>
          <t>6804</t>
        </is>
      </c>
      <c r="B372" s="37" t="inlineStr">
        <is>
          <t>479</t>
        </is>
      </c>
      <c r="C372" s="37" t="inlineStr">
        <is>
          <t>MFF6804 Threaded Fitting, ORFS to Metric Adjustable Run Tee</t>
        </is>
      </c>
      <c r="D372" s="37" t="inlineStr">
        <is>
          <t>International &amp; Metric</t>
        </is>
      </c>
      <c r="E372" s="37" t="inlineStr">
        <is>
          <t>ORFS metric</t>
        </is>
      </c>
      <c r="F372" s="37" t="inlineStr">
        <is>
          <t>https://parts.air-way.com/hydraulic-fittings/international-metric/orfs-metric/mff6804-threaded-fitting-orfs-to-metric-adjustable-run-tee-series-479</t>
        </is>
      </c>
      <c r="G372" s="37" t="inlineStr">
        <is>
          <t>SAE J1453, ISO 8434-3, ISO 6149</t>
        </is>
      </c>
      <c r="H372" s="37" t="inlineStr">
        <is>
          <t>NOT STARTED</t>
        </is>
      </c>
      <c r="I372" s="37" t="n"/>
      <c r="J372" s="37" t="n">
        <v>25</v>
      </c>
      <c r="K372" s="37" t="n"/>
    </row>
    <row r="373" ht="15" customHeight="1" s="35">
      <c r="A373" s="37" t="inlineStr">
        <is>
          <t>6804</t>
        </is>
      </c>
      <c r="B373" s="37" t="inlineStr">
        <is>
          <t>200</t>
        </is>
      </c>
      <c r="C373" s="37" t="inlineStr">
        <is>
          <t>6804 Straight Thread Run Tee</t>
        </is>
      </c>
      <c r="D373" s="37" t="inlineStr">
        <is>
          <t>JIC 37 &amp; Beaded Hose</t>
        </is>
      </c>
      <c r="E373" s="37" t="inlineStr">
        <is>
          <t>Tee</t>
        </is>
      </c>
      <c r="F373" s="37" t="inlineStr">
        <is>
          <t>https://parts.air-way.com/hydraulic-fittings/jic-and-beaded-hose-fittings/tee/6804-straight-thread-run-tee-series-200</t>
        </is>
      </c>
      <c r="G373" s="37" t="inlineStr">
        <is>
          <t>SAE J514 070428 / MS51530</t>
        </is>
      </c>
      <c r="H373" s="37" t="inlineStr">
        <is>
          <t>NOT STARTED</t>
        </is>
      </c>
      <c r="I373" s="37" t="n"/>
      <c r="J373" s="37" t="n">
        <v>52</v>
      </c>
      <c r="K373" s="37" t="n"/>
    </row>
    <row r="374" ht="15" customHeight="1" s="35">
      <c r="A374" s="37" t="inlineStr">
        <is>
          <t>6804</t>
        </is>
      </c>
      <c r="B374" s="37" t="inlineStr">
        <is>
          <t>38</t>
        </is>
      </c>
      <c r="C374" s="37" t="inlineStr">
        <is>
          <t>FF6804 Straight Thread Run Tee</t>
        </is>
      </c>
      <c r="D374" s="37" t="inlineStr">
        <is>
          <t>ORFS</t>
        </is>
      </c>
      <c r="E374" s="37" t="inlineStr">
        <is>
          <t>Tee</t>
        </is>
      </c>
      <c r="F374" s="37" t="inlineStr">
        <is>
          <t>https://parts.air-way.com/hydraulic-fittings/o-ring-face-seal-orfs-hydraulic-fittings/tee/ff6804-straight-thread-run-tee-series-38</t>
        </is>
      </c>
      <c r="G374" s="37" t="inlineStr">
        <is>
          <t>SAE J1453 520428</t>
        </is>
      </c>
      <c r="H374" s="37" t="inlineStr">
        <is>
          <t>NOT STARTED</t>
        </is>
      </c>
      <c r="I374" s="37" t="n"/>
      <c r="J374" s="37" t="n">
        <v>27</v>
      </c>
      <c r="K374" s="37" t="n"/>
    </row>
    <row r="375" ht="15" customHeight="1" s="35">
      <c r="A375" s="37" t="inlineStr">
        <is>
          <t>6804</t>
        </is>
      </c>
      <c r="B375" s="37" t="inlineStr">
        <is>
          <t>315</t>
        </is>
      </c>
      <c r="C375" s="37" t="inlineStr">
        <is>
          <t>SS6804 Straight Thread Run Tee series</t>
        </is>
      </c>
      <c r="D375" s="37" t="inlineStr">
        <is>
          <t>Stainless Steel Fittings</t>
        </is>
      </c>
      <c r="E375" s="37" t="inlineStr">
        <is>
          <t>Tee</t>
        </is>
      </c>
      <c r="F375" s="37" t="inlineStr">
        <is>
          <t>https://parts.air-way.com/hydraulic-fittings/stainless-steel-hydraulic-fittings/tee/ss6804-straight-thread-run-tee-series-315</t>
        </is>
      </c>
      <c r="G375" s="37" t="inlineStr">
        <is>
          <t>SAE J514 070428 / MS51530</t>
        </is>
      </c>
      <c r="H375" s="37" t="inlineStr">
        <is>
          <t>NOT STARTED</t>
        </is>
      </c>
      <c r="I375" s="37" t="n"/>
      <c r="J375" s="37" t="n">
        <v>4</v>
      </c>
      <c r="K375" s="37" t="n"/>
    </row>
    <row r="376" ht="15" customHeight="1" s="35">
      <c r="A376" s="37" t="inlineStr">
        <is>
          <t>6805</t>
        </is>
      </c>
      <c r="B376" s="37" t="inlineStr">
        <is>
          <t>138</t>
        </is>
      </c>
      <c r="C376" s="37" t="inlineStr">
        <is>
          <t>6805 90° Straight Thread/Female Pipe Elbow</t>
        </is>
      </c>
      <c r="D376" s="37" t="inlineStr">
        <is>
          <t>JIC 37 &amp; Beaded Hose</t>
        </is>
      </c>
      <c r="E376" s="37" t="inlineStr">
        <is>
          <t>90°</t>
        </is>
      </c>
      <c r="F376" s="37" t="inlineStr">
        <is>
          <t>https://parts.air-way.com/hydraulic-fittings/jic-and-beaded-hose-fittings/90/6805-90-straight-thread-female-pipe-elbow-series-138</t>
        </is>
      </c>
      <c r="G376" s="37" t="inlineStr">
        <is>
          <t>none shown</t>
        </is>
      </c>
      <c r="H376" s="37" t="inlineStr">
        <is>
          <t>NOT STARTED</t>
        </is>
      </c>
      <c r="I376" s="37" t="n"/>
      <c r="J376" s="37" t="n">
        <v>18</v>
      </c>
      <c r="K376" s="37" t="n"/>
    </row>
    <row r="377" ht="15" customHeight="1" s="35">
      <c r="A377" s="37" t="inlineStr">
        <is>
          <t>6805</t>
        </is>
      </c>
      <c r="B377" s="37" t="inlineStr">
        <is>
          <t>283</t>
        </is>
      </c>
      <c r="C377" s="37" t="inlineStr">
        <is>
          <t>SS6805 90° Straight Thread/Female Pipe series</t>
        </is>
      </c>
      <c r="D377" s="37" t="inlineStr">
        <is>
          <t>Stainless Steel Fittings</t>
        </is>
      </c>
      <c r="E377" s="37" t="inlineStr">
        <is>
          <t>90°</t>
        </is>
      </c>
      <c r="F377" s="37" t="inlineStr">
        <is>
          <t>https://parts.air-way.com/hydraulic-fittings/stainless-steel-hydraulic-fittings/90/ss6805-90-straight-thread-female-pipe-series-283</t>
        </is>
      </c>
      <c r="G377" s="37" t="inlineStr">
        <is>
          <t>none</t>
        </is>
      </c>
      <c r="H377" s="37" t="inlineStr">
        <is>
          <t>NOT STARTED</t>
        </is>
      </c>
      <c r="I377" s="37" t="n"/>
      <c r="J377" s="37" t="n">
        <v>3</v>
      </c>
      <c r="K377" s="37" t="n"/>
    </row>
    <row r="378" ht="15" customHeight="1" s="35">
      <c r="A378" s="37" t="inlineStr">
        <is>
          <t>6806</t>
        </is>
      </c>
      <c r="B378" s="37" t="inlineStr">
        <is>
          <t>139</t>
        </is>
      </c>
      <c r="C378" s="37" t="inlineStr">
        <is>
          <t>6806 90° Straight Thread/Male Pipe Elbow</t>
        </is>
      </c>
      <c r="D378" s="37" t="inlineStr">
        <is>
          <t>JIC 37 &amp; Beaded Hose</t>
        </is>
      </c>
      <c r="E378" s="37" t="inlineStr">
        <is>
          <t>90°</t>
        </is>
      </c>
      <c r="F378" s="37" t="inlineStr">
        <is>
          <t>https://parts.air-way.com/hydraulic-fittings/jic-and-beaded-hose-fittings/90/6806-90-straight-thread-male-pipe-elbow-series-139</t>
        </is>
      </c>
      <c r="G378" s="37" t="inlineStr">
        <is>
          <t>none shown</t>
        </is>
      </c>
      <c r="H378" s="37" t="inlineStr">
        <is>
          <t>NOT STARTED</t>
        </is>
      </c>
      <c r="I378" s="37" t="n"/>
      <c r="J378" s="37" t="n">
        <v>17</v>
      </c>
      <c r="K378" s="37" t="n"/>
    </row>
    <row r="379" ht="15" customHeight="1" s="35">
      <c r="A379" s="37" t="inlineStr">
        <is>
          <t>6807</t>
        </is>
      </c>
      <c r="B379" s="37" t="inlineStr">
        <is>
          <t>140</t>
        </is>
      </c>
      <c r="C379" s="37" t="inlineStr">
        <is>
          <t>6807 90° Straight Thread Union Elbow</t>
        </is>
      </c>
      <c r="D379" s="37" t="inlineStr">
        <is>
          <t>JIC 37 &amp; Beaded Hose</t>
        </is>
      </c>
      <c r="E379" s="37" t="inlineStr">
        <is>
          <t>90°</t>
        </is>
      </c>
      <c r="F379" s="37" t="inlineStr">
        <is>
          <t>https://parts.air-way.com/hydraulic-fittings/jic-and-beaded-hose-fittings/90/6807-90-straight-thread-union-elbow-series-140</t>
        </is>
      </c>
      <c r="G379" s="37" t="inlineStr">
        <is>
          <t>none shown</t>
        </is>
      </c>
      <c r="H379" s="37" t="inlineStr">
        <is>
          <t>TABLED</t>
        </is>
      </c>
      <c r="I379" s="37" t="n"/>
      <c r="J379" s="37" t="n">
        <v>12</v>
      </c>
      <c r="K379" s="37" t="inlineStr">
        <is>
          <t>TABLED 2026-09-23: double-pass extraction 12 rows (sheet said 12); DesignTable_6807.xlsx; scope vs OMi feed: 1 BUILD / 11 DROP / 4 OMi-only (4 differ only by -FG)</t>
        </is>
      </c>
    </row>
    <row r="380" ht="15" customHeight="1" s="35">
      <c r="A380" s="37" t="inlineStr">
        <is>
          <t>6807</t>
        </is>
      </c>
      <c r="B380" s="37" t="inlineStr">
        <is>
          <t>524</t>
        </is>
      </c>
      <c r="C380" s="37" t="inlineStr">
        <is>
          <t>SS6807 90 Degree Straight Thread Union Elbow series</t>
        </is>
      </c>
      <c r="D380" s="37" t="inlineStr">
        <is>
          <t>Stainless Steel Fittings</t>
        </is>
      </c>
      <c r="E380" s="37" t="inlineStr">
        <is>
          <t>90°</t>
        </is>
      </c>
      <c r="F380" s="37" t="inlineStr">
        <is>
          <t>https://parts.air-way.com/hydraulic-fittings/stainless-steel-hydraulic-fittings/90/ss6807-90-degree-straight-thread-union-elbow-series-524</t>
        </is>
      </c>
      <c r="G380" s="37" t="inlineStr">
        <is>
          <t>SAE J1926-3</t>
        </is>
      </c>
      <c r="H380" s="37" t="inlineStr">
        <is>
          <t>NOT STARTED</t>
        </is>
      </c>
      <c r="I380" s="37" t="n"/>
      <c r="J380" s="37" t="n">
        <v>3</v>
      </c>
      <c r="K380" s="37" t="n"/>
    </row>
    <row r="381" ht="15" customHeight="1" s="35">
      <c r="A381" s="37" t="inlineStr">
        <is>
          <t>6808</t>
        </is>
      </c>
      <c r="B381" s="37" t="inlineStr">
        <is>
          <t>159</t>
        </is>
      </c>
      <c r="C381" s="37" t="inlineStr">
        <is>
          <t>6808 45° Straight Thread Union Elbow</t>
        </is>
      </c>
      <c r="D381" s="37" t="inlineStr">
        <is>
          <t>JIC 37 &amp; Beaded Hose</t>
        </is>
      </c>
      <c r="E381" s="37" t="inlineStr">
        <is>
          <t>45°</t>
        </is>
      </c>
      <c r="F381" s="37" t="inlineStr">
        <is>
          <t>https://parts.air-way.com/hydraulic-fittings/jic-and-beaded-hose-fittings/45/6808-45-straight-thread-union-elbow-series-159</t>
        </is>
      </c>
      <c r="G381" s="37" t="inlineStr">
        <is>
          <t>none shown</t>
        </is>
      </c>
      <c r="H381" s="37" t="inlineStr">
        <is>
          <t>NOT STARTED</t>
        </is>
      </c>
      <c r="I381" s="37" t="n"/>
      <c r="J381" s="37" t="n">
        <v>5</v>
      </c>
      <c r="K381" s="37" t="n"/>
    </row>
    <row r="382" ht="15" customHeight="1" s="35">
      <c r="A382" s="37" t="inlineStr">
        <is>
          <t>6809</t>
        </is>
      </c>
      <c r="B382" s="37" t="inlineStr">
        <is>
          <t>530</t>
        </is>
      </c>
      <c r="C382" s="37" t="inlineStr">
        <is>
          <t>MFF6809 90° Straight Thread / Female ORFS Swivel Elbow</t>
        </is>
      </c>
      <c r="D382" s="37" t="inlineStr">
        <is>
          <t>International &amp; Metric</t>
        </is>
      </c>
      <c r="E382" s="37" t="inlineStr">
        <is>
          <t>ORFS metric</t>
        </is>
      </c>
      <c r="F382" s="37" t="inlineStr">
        <is>
          <t>https://parts.air-way.com/hydraulic-fittings/international-metric/orfs-metric/mff6809-90-straight-thread-female-orfs-swivel-elbow-series-530</t>
        </is>
      </c>
      <c r="G382" s="37" t="inlineStr">
        <is>
          <t>—</t>
        </is>
      </c>
      <c r="H382" s="37" t="inlineStr">
        <is>
          <t>NOT STARTED</t>
        </is>
      </c>
      <c r="I382" s="37" t="n"/>
      <c r="J382" s="37" t="n">
        <v>4</v>
      </c>
      <c r="K382" s="37" t="n"/>
    </row>
    <row r="383" ht="15" customHeight="1" s="35">
      <c r="A383" s="37" t="inlineStr">
        <is>
          <t>6809</t>
        </is>
      </c>
      <c r="B383" s="37" t="inlineStr">
        <is>
          <t>141</t>
        </is>
      </c>
      <c r="C383" s="37" t="inlineStr">
        <is>
          <t>6809 90° Straight Thread/37° Female Swivel Elbow</t>
        </is>
      </c>
      <c r="D383" s="37" t="inlineStr">
        <is>
          <t>JIC 37 &amp; Beaded Hose</t>
        </is>
      </c>
      <c r="E383" s="37" t="inlineStr">
        <is>
          <t>90°</t>
        </is>
      </c>
      <c r="F383" s="37" t="inlineStr">
        <is>
          <t>https://parts.air-way.com/hydraulic-fittings/jic-and-beaded-hose-fittings/90/6809-90-straight-thread-37-female-swivel-elbow-series-141</t>
        </is>
      </c>
      <c r="G383" s="37" t="inlineStr">
        <is>
          <t>none shown</t>
        </is>
      </c>
      <c r="H383" s="37" t="inlineStr">
        <is>
          <t>TABLED</t>
        </is>
      </c>
      <c r="I383" s="37" t="n"/>
      <c r="J383" s="37" t="n">
        <v>12</v>
      </c>
      <c r="K383" s="37" t="inlineStr">
        <is>
          <t>TABLED 2026-09-23: double-pass extraction 12 rows (sheet said 12); DesignTable_6809.xlsx; scope vs OMi feed: 0 BUILD / 12 DROP / 4 OMi-only (4 differ only by -FG)</t>
        </is>
      </c>
    </row>
    <row r="384" ht="15" customHeight="1" s="35">
      <c r="A384" s="37" t="inlineStr">
        <is>
          <t>6809</t>
        </is>
      </c>
      <c r="B384" s="37" t="inlineStr">
        <is>
          <t>27</t>
        </is>
      </c>
      <c r="C384" s="37" t="inlineStr">
        <is>
          <t>FF6809 90° Straight Thread / Female ORFS Swivel Elbow</t>
        </is>
      </c>
      <c r="D384" s="37" t="inlineStr">
        <is>
          <t>ORFS</t>
        </is>
      </c>
      <c r="E384" s="37" t="inlineStr">
        <is>
          <t>90°</t>
        </is>
      </c>
      <c r="F384" s="37" t="inlineStr">
        <is>
          <t>https://parts.air-way.com/hydraulic-fittings/o-ring-face-seal-orfs-hydraulic-fittings/90/ff6809-90-straight-thread-female-orfs-swivel-elbow-series-27</t>
        </is>
      </c>
      <c r="G384" s="37" t="inlineStr">
        <is>
          <t>—</t>
        </is>
      </c>
      <c r="H384" s="37" t="inlineStr">
        <is>
          <t>NOT STARTED</t>
        </is>
      </c>
      <c r="I384" s="37" t="n"/>
      <c r="J384" s="37" t="n">
        <v>6</v>
      </c>
      <c r="K384" s="37" t="n"/>
    </row>
    <row r="385" ht="15" customHeight="1" s="35">
      <c r="A385" s="37" t="inlineStr">
        <is>
          <t>6810</t>
        </is>
      </c>
      <c r="B385" s="37" t="inlineStr">
        <is>
          <t>160</t>
        </is>
      </c>
      <c r="C385" s="37" t="inlineStr">
        <is>
          <t>6810 45° Straight Thread/37° Female Swivel Elbow</t>
        </is>
      </c>
      <c r="D385" s="37" t="inlineStr">
        <is>
          <t>JIC 37 &amp; Beaded Hose</t>
        </is>
      </c>
      <c r="E385" s="37" t="inlineStr">
        <is>
          <t>45°</t>
        </is>
      </c>
      <c r="F385" s="37" t="inlineStr">
        <is>
          <t>https://parts.air-way.com/hydraulic-fittings/jic-and-beaded-hose-fittings/45/6810-45-straight-thread-37-female-swivel-elbow-series-160</t>
        </is>
      </c>
      <c r="G385" s="37" t="inlineStr">
        <is>
          <t>none shown</t>
        </is>
      </c>
      <c r="H385" s="37" t="inlineStr">
        <is>
          <t>TABLED</t>
        </is>
      </c>
      <c r="I385" s="37" t="n"/>
      <c r="J385" s="37" t="n">
        <v>4</v>
      </c>
      <c r="K385" s="37" t="inlineStr">
        <is>
          <t>TABLED 2026-09-23: double-pass extraction 4 rows (sheet said 4); DesignTable_6810.xlsx; scope vs OMi feed: 0 BUILD / 4 DROP / 1 OMi-only (1 differ only by -FG)</t>
        </is>
      </c>
    </row>
    <row r="386" ht="15" customHeight="1" s="35">
      <c r="A386" s="37" t="inlineStr">
        <is>
          <t>6900</t>
        </is>
      </c>
      <c r="B386" s="37" t="inlineStr">
        <is>
          <t>105</t>
        </is>
      </c>
      <c r="C386" s="37" t="inlineStr">
        <is>
          <t>6900 Female Adapter Union to Male Straight</t>
        </is>
      </c>
      <c r="D386" s="37" t="inlineStr">
        <is>
          <t>JIC 37 &amp; Beaded Hose</t>
        </is>
      </c>
      <c r="E386" s="37" t="inlineStr">
        <is>
          <t>Straight</t>
        </is>
      </c>
      <c r="F386" s="37" t="inlineStr">
        <is>
          <t>https://parts.air-way.com/hydraulic-fittings/jic-and-beaded-hose-fittings/straight/6900-female-adapter-union-to-male-straight-series-105</t>
        </is>
      </c>
      <c r="G386" s="37" t="inlineStr">
        <is>
          <t>SAE J514 140157</t>
        </is>
      </c>
      <c r="H386" s="37" t="inlineStr">
        <is>
          <t>NOT STARTED</t>
        </is>
      </c>
      <c r="I386" s="37" t="n"/>
      <c r="J386" s="37" t="n">
        <v>24</v>
      </c>
      <c r="K386" s="37" t="n"/>
    </row>
    <row r="387" ht="15" customHeight="1" s="35">
      <c r="A387" s="37" t="inlineStr">
        <is>
          <t>6900</t>
        </is>
      </c>
      <c r="B387" s="37" t="inlineStr">
        <is>
          <t>264</t>
        </is>
      </c>
      <c r="C387" s="37" t="inlineStr">
        <is>
          <t>SS6900 Female Adapter Union to Male Straight series</t>
        </is>
      </c>
      <c r="D387" s="37" t="inlineStr">
        <is>
          <t>Stainless Steel Fittings</t>
        </is>
      </c>
      <c r="E387" s="37" t="inlineStr">
        <is>
          <t>Straight</t>
        </is>
      </c>
      <c r="F387" s="37" t="inlineStr">
        <is>
          <t>https://parts.air-way.com/hydraulic-fittings/stainless-steel-hydraulic-fittings/straight/ss6900-female-adapter-union-to-male-straight-series-264</t>
        </is>
      </c>
      <c r="G387" s="37" t="inlineStr">
        <is>
          <t>SAE J514 140157</t>
        </is>
      </c>
      <c r="H387" s="37" t="inlineStr">
        <is>
          <t>NOT STARTED</t>
        </is>
      </c>
      <c r="I387" s="37" t="n"/>
      <c r="J387" s="37" t="n">
        <v>2</v>
      </c>
      <c r="K387" s="37" t="n"/>
    </row>
    <row r="388" ht="15" customHeight="1" s="35">
      <c r="A388" s="37" t="inlineStr">
        <is>
          <t>6901</t>
        </is>
      </c>
      <c r="B388" s="37" t="inlineStr">
        <is>
          <t>142</t>
        </is>
      </c>
      <c r="C388" s="37" t="inlineStr">
        <is>
          <t>6901 90° Female Adapter Union to Adj. Male</t>
        </is>
      </c>
      <c r="D388" s="37" t="inlineStr">
        <is>
          <t>JIC 37 &amp; Beaded Hose</t>
        </is>
      </c>
      <c r="E388" s="37" t="inlineStr">
        <is>
          <t>90°</t>
        </is>
      </c>
      <c r="F388" s="37" t="inlineStr">
        <is>
          <t>https://parts.air-way.com/hydraulic-fittings/jic-and-beaded-hose-fittings/90/6901-90-female-adapter-union-to-adj-male-series-142</t>
        </is>
      </c>
      <c r="G388" s="37" t="inlineStr">
        <is>
          <t>SAE J514 140257</t>
        </is>
      </c>
      <c r="H388" s="37" t="inlineStr">
        <is>
          <t>TABLED</t>
        </is>
      </c>
      <c r="I388" s="37" t="n"/>
      <c r="J388" s="37" t="n">
        <v>29</v>
      </c>
      <c r="K388" s="37" t="inlineStr">
        <is>
          <t>TABLED 2026-09-23: double-pass extraction 29 rows (sheet said 29); DesignTable_6901.xlsx; scope vs OMi feed: 3 BUILD / 26 DROP / 14 OMi-only (13 differ only by -FG); 1 source anomaly note(s) in 07_RAW_EXTRACTS/airway_anomalies_2026-09-23.txt</t>
        </is>
      </c>
    </row>
    <row r="389" ht="15" customHeight="1" s="35">
      <c r="A389" s="37" t="inlineStr">
        <is>
          <t>6902</t>
        </is>
      </c>
      <c r="B389" s="37" t="inlineStr">
        <is>
          <t>161</t>
        </is>
      </c>
      <c r="C389" s="37" t="inlineStr">
        <is>
          <t>6902 45° Female Adapter Union to Adj. Male</t>
        </is>
      </c>
      <c r="D389" s="37" t="inlineStr">
        <is>
          <t>JIC 37 &amp; Beaded Hose</t>
        </is>
      </c>
      <c r="E389" s="37" t="inlineStr">
        <is>
          <t>45°</t>
        </is>
      </c>
      <c r="F389" s="37" t="inlineStr">
        <is>
          <t>https://parts.air-way.com/hydraulic-fittings/jic-and-beaded-hose-fittings/45/6902-45-female-adapter-union-to-adj-male-series-161</t>
        </is>
      </c>
      <c r="G389" s="37" t="inlineStr">
        <is>
          <t>SAE J514 140357</t>
        </is>
      </c>
      <c r="H389" s="37" t="inlineStr">
        <is>
          <t>TABLED</t>
        </is>
      </c>
      <c r="I389" s="37" t="n"/>
      <c r="J389" s="37" t="n">
        <v>19</v>
      </c>
      <c r="K389" s="37" t="inlineStr">
        <is>
          <t>TABLED 2026-09-23: double-pass extraction 18 rows (sheet said 19); DesignTable_6902.xlsx; scope vs OMi feed: 1 BUILD / 17 DROP / 9 OMi-only (8 differ only by -FG); 1 source anomaly note(s) in 07_RAW_EXTRACTS/airway_anomalies_2026-09-23.txt</t>
        </is>
      </c>
    </row>
    <row r="390" ht="15" customHeight="1" s="35">
      <c r="A390" s="37" t="inlineStr">
        <is>
          <t>701</t>
        </is>
      </c>
      <c r="B390" s="37" t="inlineStr">
        <is>
          <t>166</t>
        </is>
      </c>
      <c r="C390" s="37" t="inlineStr">
        <is>
          <t>701 Braze Tube Run Tee</t>
        </is>
      </c>
      <c r="D390" s="37" t="inlineStr">
        <is>
          <t>JIC 37 &amp; Beaded Hose</t>
        </is>
      </c>
      <c r="E390" s="37" t="inlineStr">
        <is>
          <t>Tee</t>
        </is>
      </c>
      <c r="F390" s="37" t="inlineStr">
        <is>
          <t>https://parts.air-way.com/hydraulic-fittings/jic-and-beaded-hose-fittings/tee/701-braze-tube-run-tee-series-166</t>
        </is>
      </c>
      <c r="G390" s="37" t="inlineStr">
        <is>
          <t>none shown</t>
        </is>
      </c>
      <c r="H390" s="37" t="inlineStr">
        <is>
          <t>NOT STARTED</t>
        </is>
      </c>
      <c r="I390" s="37" t="n"/>
      <c r="J390" s="37" t="n">
        <v>2</v>
      </c>
      <c r="K390" s="37" t="n"/>
    </row>
    <row r="391" ht="15" customHeight="1" s="35">
      <c r="A391" s="37" t="inlineStr">
        <is>
          <t>702</t>
        </is>
      </c>
      <c r="B391" s="37" t="inlineStr">
        <is>
          <t>167</t>
        </is>
      </c>
      <c r="C391" s="37" t="inlineStr">
        <is>
          <t>702 Braze Tube Branch Tee</t>
        </is>
      </c>
      <c r="D391" s="37" t="inlineStr">
        <is>
          <t>JIC 37 &amp; Beaded Hose</t>
        </is>
      </c>
      <c r="E391" s="37" t="inlineStr">
        <is>
          <t>Tee</t>
        </is>
      </c>
      <c r="F391" s="37" t="inlineStr">
        <is>
          <t>https://parts.air-way.com/hydraulic-fittings/jic-and-beaded-hose-fittings/tee/702-braze-tube-branch-tee-series-167</t>
        </is>
      </c>
      <c r="G391" s="37" t="inlineStr">
        <is>
          <t>none shown</t>
        </is>
      </c>
      <c r="H391" s="37" t="inlineStr">
        <is>
          <t>NOT STARTED</t>
        </is>
      </c>
      <c r="I391" s="37" t="n"/>
      <c r="J391" s="37" t="n">
        <v>3</v>
      </c>
      <c r="K391" s="37" t="n"/>
    </row>
    <row r="392" ht="15" customHeight="1" s="35">
      <c r="A392" s="37" t="inlineStr">
        <is>
          <t>7403</t>
        </is>
      </c>
      <c r="B392" s="37" t="inlineStr">
        <is>
          <t>18</t>
        </is>
      </c>
      <c r="C392" s="37" t="inlineStr">
        <is>
          <t>FF7403 Male ORFS Adapter / 37° Male JIC</t>
        </is>
      </c>
      <c r="D392" s="37" t="inlineStr">
        <is>
          <t>ORFS</t>
        </is>
      </c>
      <c r="E392" s="37" t="inlineStr">
        <is>
          <t>Straight</t>
        </is>
      </c>
      <c r="F392" s="37" t="inlineStr">
        <is>
          <t>https://parts.air-way.com/hydraulic-fittings/o-ring-face-seal-orfs-hydraulic-fittings/straight/ff7403-male-orfs-adapter-37-male-jic-series-18</t>
        </is>
      </c>
      <c r="G392" s="37" t="inlineStr">
        <is>
          <t>—</t>
        </is>
      </c>
      <c r="H392" s="37" t="inlineStr">
        <is>
          <t>NOT STARTED</t>
        </is>
      </c>
      <c r="I392" s="37" t="n"/>
      <c r="J392" s="37" t="n">
        <v>9</v>
      </c>
      <c r="K392" s="37" t="n"/>
    </row>
    <row r="393" ht="15" customHeight="1" s="35">
      <c r="A393" s="37" t="inlineStr">
        <is>
          <t>7504</t>
        </is>
      </c>
      <c r="B393" s="37" t="inlineStr">
        <is>
          <t>19</t>
        </is>
      </c>
      <c r="C393" s="37" t="inlineStr">
        <is>
          <t>FF7504 37° Male JIC / Female ORFS Swivel Adapter</t>
        </is>
      </c>
      <c r="D393" s="37" t="inlineStr">
        <is>
          <t>ORFS</t>
        </is>
      </c>
      <c r="E393" s="37" t="inlineStr">
        <is>
          <t>Straight</t>
        </is>
      </c>
      <c r="F393" s="37" t="inlineStr">
        <is>
          <t>https://parts.air-way.com/hydraulic-fittings/o-ring-face-seal-orfs-hydraulic-fittings/straight/ff7504-37-male-jic-female-orfs-swivel-adapter-series-19</t>
        </is>
      </c>
      <c r="G393" s="37" t="inlineStr">
        <is>
          <t>—</t>
        </is>
      </c>
      <c r="H393" s="37" t="inlineStr">
        <is>
          <t>NOT STARTED</t>
        </is>
      </c>
      <c r="I393" s="37" t="n"/>
      <c r="J393" s="37" t="n">
        <v>9</v>
      </c>
      <c r="K393" s="37" t="n"/>
    </row>
    <row r="394" ht="15" customHeight="1" s="35">
      <c r="A394" s="37" t="inlineStr">
        <is>
          <t>800</t>
        </is>
      </c>
      <c r="B394" s="37" t="inlineStr">
        <is>
          <t>54</t>
        </is>
      </c>
      <c r="C394" s="37" t="inlineStr">
        <is>
          <t>800 Braze Female Pipe Swivel Union</t>
        </is>
      </c>
      <c r="D394" s="37" t="inlineStr">
        <is>
          <t>JIC 37 &amp; Beaded Hose</t>
        </is>
      </c>
      <c r="E394" s="37" t="inlineStr">
        <is>
          <t>Straight</t>
        </is>
      </c>
      <c r="F394" s="37" t="inlineStr">
        <is>
          <t>https://parts.air-way.com/hydraulic-fittings/jic-and-beaded-hose-fittings/straight/800-braze-female-pipe-swivel-union-series-54</t>
        </is>
      </c>
      <c r="G394" s="37" t="inlineStr">
        <is>
          <t>none shown</t>
        </is>
      </c>
      <c r="H394" s="37" t="inlineStr">
        <is>
          <t>NOT STARTED</t>
        </is>
      </c>
      <c r="I394" s="37" t="n"/>
      <c r="J394" s="37" t="n">
        <v>3</v>
      </c>
      <c r="K394" s="37" t="n"/>
    </row>
    <row r="395" ht="15" customHeight="1" s="35">
      <c r="A395" s="37" t="inlineStr">
        <is>
          <t>900</t>
        </is>
      </c>
      <c r="B395" s="37" t="inlineStr">
        <is>
          <t>53</t>
        </is>
      </c>
      <c r="C395" s="37" t="inlineStr">
        <is>
          <t>900 Braze 37° Female Swivel Union</t>
        </is>
      </c>
      <c r="D395" s="37" t="inlineStr">
        <is>
          <t>JIC 37 &amp; Beaded Hose</t>
        </is>
      </c>
      <c r="E395" s="37" t="inlineStr">
        <is>
          <t>Straight</t>
        </is>
      </c>
      <c r="F395" s="37" t="inlineStr">
        <is>
          <t>https://parts.air-way.com/hydraulic-fittings/jic-and-beaded-hose-fittings/straight/900-braze-37-female-swivel-union-series-53</t>
        </is>
      </c>
      <c r="G395" s="37" t="inlineStr">
        <is>
          <t>none shown</t>
        </is>
      </c>
      <c r="H395" s="37" t="inlineStr">
        <is>
          <t>NOT STARTED</t>
        </is>
      </c>
      <c r="I395" s="37" t="n"/>
      <c r="J395" s="37" t="n">
        <v>5</v>
      </c>
      <c r="K395" s="37" t="n"/>
    </row>
    <row r="396" ht="15" customHeight="1" s="35">
      <c r="A396" s="37" t="inlineStr">
        <is>
          <t>901</t>
        </is>
      </c>
      <c r="B396" s="37" t="inlineStr">
        <is>
          <t>481</t>
        </is>
      </c>
      <c r="C396" s="37" t="inlineStr">
        <is>
          <t>901 Braze 90° - 37° Female Swivel</t>
        </is>
      </c>
      <c r="D396" s="37" t="inlineStr">
        <is>
          <t>JIC 37 &amp; Beaded Hose</t>
        </is>
      </c>
      <c r="E396" s="37" t="inlineStr">
        <is>
          <t>90°</t>
        </is>
      </c>
      <c r="F396" s="37" t="inlineStr">
        <is>
          <t>https://parts.air-way.com/hydraulic-fittings/jic-and-beaded-hose-fittings/90/901-braze-90-37-female-swivel-series-481</t>
        </is>
      </c>
      <c r="G396" s="37" t="inlineStr">
        <is>
          <t>none shown</t>
        </is>
      </c>
      <c r="H396" s="37" t="inlineStr">
        <is>
          <t>NOT STARTED</t>
        </is>
      </c>
      <c r="I396" s="37" t="n"/>
      <c r="J396" s="37" t="n">
        <v>4</v>
      </c>
      <c r="K396" s="37" t="n"/>
    </row>
    <row r="397" ht="15" customHeight="1" s="35">
      <c r="A397" s="37" t="inlineStr">
        <is>
          <t>UNPARSED</t>
        </is>
      </c>
      <c r="B397" s="37" t="inlineStr">
        <is>
          <t>438</t>
        </is>
      </c>
      <c r="C397" s="37" t="inlineStr">
        <is>
          <t>Brass - PLS 37° JIC Swivel Barb series</t>
        </is>
      </c>
      <c r="D397" s="37" t="inlineStr">
        <is>
          <t>Brass Fittings</t>
        </is>
      </c>
      <c r="E397" s="37" t="inlineStr">
        <is>
          <t>Straight</t>
        </is>
      </c>
      <c r="F397" s="37" t="inlineStr">
        <is>
          <t>https://parts.air-way.com/hydraulic-fittings/brass-hydraulic-fittings/straight/brass-pls-37-jic-swivel-barb-series-438</t>
        </is>
      </c>
      <c r="G397" s="37" t="inlineStr">
        <is>
          <t>none</t>
        </is>
      </c>
      <c r="H397" s="37" t="inlineStr">
        <is>
          <t>NOT STARTED</t>
        </is>
      </c>
      <c r="I397" s="37" t="n"/>
      <c r="J397" s="37" t="n">
        <v>4</v>
      </c>
      <c r="K397" s="37" t="n"/>
    </row>
    <row r="398" ht="15" customHeight="1" s="35">
      <c r="A398" s="37" t="inlineStr">
        <is>
          <t>UNPARSED</t>
        </is>
      </c>
      <c r="B398" s="37" t="inlineStr">
        <is>
          <t>391</t>
        </is>
      </c>
      <c r="C398" s="37" t="inlineStr">
        <is>
          <t>O-Rings for Flare-O Ends</t>
        </is>
      </c>
      <c r="D398" s="37" t="inlineStr">
        <is>
          <t>FLARE-O</t>
        </is>
      </c>
      <c r="E398" s="37" t="inlineStr">
        <is>
          <t>Accessories</t>
        </is>
      </c>
      <c r="F398" s="37" t="inlineStr">
        <is>
          <t>https://parts.air-way.com/hydraulic-fittings/flare-o-hydraulic-fittings/accessories/o-rings-for-flare-o-ends-series-391</t>
        </is>
      </c>
      <c r="G398" s="37" t="inlineStr">
        <is>
          <t>none shown</t>
        </is>
      </c>
      <c r="H398" s="37" t="inlineStr">
        <is>
          <t>NOT STARTED</t>
        </is>
      </c>
      <c r="I398" s="37" t="n"/>
      <c r="J398" s="37" t="n">
        <v>22</v>
      </c>
      <c r="K398" s="37" t="n"/>
    </row>
    <row r="399" ht="15" customHeight="1" s="35">
      <c r="A399" s="37" t="inlineStr">
        <is>
          <t>UNPARSED</t>
        </is>
      </c>
      <c r="B399" s="37" t="inlineStr">
        <is>
          <t>545</t>
        </is>
      </c>
      <c r="C399" s="37" t="inlineStr">
        <is>
          <t>O-rings For SAE J-1926/2/3 Inch Stud Ends</t>
        </is>
      </c>
      <c r="D399" s="37" t="inlineStr">
        <is>
          <t>FLARE-O</t>
        </is>
      </c>
      <c r="E399" s="37" t="inlineStr">
        <is>
          <t>Accessories</t>
        </is>
      </c>
      <c r="F399" s="37" t="inlineStr">
        <is>
          <t>https://parts.air-way.com/hydraulic-fittings/flare-o-hydraulic-fittings/accessories/o-rings-for-sae-j-1926-2-3-inch-stud-ends-series-545</t>
        </is>
      </c>
      <c r="G399" s="37" t="inlineStr">
        <is>
          <t>SAE J-1926</t>
        </is>
      </c>
      <c r="H399" s="37" t="inlineStr">
        <is>
          <t>NOT STARTED</t>
        </is>
      </c>
      <c r="I399" s="37" t="n"/>
      <c r="J399" s="47" t="inlineStr">
        <is>
          <t>TABLE DID NOT LOAD</t>
        </is>
      </c>
      <c r="K399" s="37" t="inlineStr">
        <is>
          <t>Accessory page; spec table renders client-side. Needs browser fetch.</t>
        </is>
      </c>
    </row>
    <row r="400" ht="15" customHeight="1" s="35">
      <c r="A400" s="37" t="inlineStr">
        <is>
          <t>UNPARSED</t>
        </is>
      </c>
      <c r="B400" s="37" t="inlineStr">
        <is>
          <t>535</t>
        </is>
      </c>
      <c r="C400" s="37" t="inlineStr">
        <is>
          <t>O-Rings For ISO 6149/2/3 Metric Stud Ends</t>
        </is>
      </c>
      <c r="D400" s="37" t="inlineStr">
        <is>
          <t>International &amp; Metric</t>
        </is>
      </c>
      <c r="E400" s="37" t="inlineStr">
        <is>
          <t>Accessories</t>
        </is>
      </c>
      <c r="F400" s="37" t="inlineStr">
        <is>
          <t>https://parts.air-way.com/hydraulic-fittings/international-metric/accessories/o-rings-for-iso-6149-2-3-metric-stud-ends-series-535</t>
        </is>
      </c>
      <c r="G400" s="37" t="inlineStr">
        <is>
          <t>ISO 6149/2/3</t>
        </is>
      </c>
      <c r="H400" s="37" t="inlineStr">
        <is>
          <t>NOT STARTED</t>
        </is>
      </c>
      <c r="I400" s="37" t="n"/>
      <c r="J400" s="47" t="inlineStr">
        <is>
          <t>TABLE DID NOT LOAD</t>
        </is>
      </c>
      <c r="K400" s="37" t="inlineStr">
        <is>
          <t>Accessory page; spec table renders client-side. Needs browser fetch.</t>
        </is>
      </c>
    </row>
    <row r="401" ht="15" customHeight="1" s="35">
      <c r="A401" s="37" t="inlineStr">
        <is>
          <t>UNPARSED</t>
        </is>
      </c>
      <c r="B401" s="37" t="inlineStr">
        <is>
          <t>536</t>
        </is>
      </c>
      <c r="C401" s="37" t="inlineStr">
        <is>
          <t>O-Rings for JIS B2351 BSPP Stud Ends</t>
        </is>
      </c>
      <c r="D401" s="37" t="inlineStr">
        <is>
          <t>International &amp; Metric</t>
        </is>
      </c>
      <c r="E401" s="37" t="inlineStr">
        <is>
          <t>Accessories</t>
        </is>
      </c>
      <c r="F401" s="37" t="inlineStr">
        <is>
          <t>https://parts.air-way.com/hydraulic-fittings/international-metric/accessories/o-rings-for-jis-b2351-bspp-stud-ends-series-536</t>
        </is>
      </c>
      <c r="G401" s="37" t="inlineStr">
        <is>
          <t>JIS B2351</t>
        </is>
      </c>
      <c r="H401" s="37" t="inlineStr">
        <is>
          <t>NOT STARTED</t>
        </is>
      </c>
      <c r="I401" s="37" t="n"/>
      <c r="J401" s="47" t="inlineStr">
        <is>
          <t>TABLE DID NOT LOAD</t>
        </is>
      </c>
      <c r="K401" s="37" t="inlineStr">
        <is>
          <t>Accessory page; spec table renders client-side. Needs browser fetch.</t>
        </is>
      </c>
    </row>
    <row r="402" ht="15" customHeight="1" s="35">
      <c r="A402" s="37" t="inlineStr">
        <is>
          <t>UNPARSED</t>
        </is>
      </c>
      <c r="B402" s="37" t="inlineStr">
        <is>
          <t>541</t>
        </is>
      </c>
      <c r="C402" s="37" t="inlineStr">
        <is>
          <t>O-Rings for ISO 1179/3 G&amp;H Light Duty Stud Ends</t>
        </is>
      </c>
      <c r="D402" s="37" t="inlineStr">
        <is>
          <t>International &amp; Metric</t>
        </is>
      </c>
      <c r="E402" s="37" t="inlineStr">
        <is>
          <t>Accessories</t>
        </is>
      </c>
      <c r="F402" s="37" t="inlineStr">
        <is>
          <t>https://parts.air-way.com/hydraulic-fittings/international-metric/accessories/o-rings-for-iso-1179-3-g-h-light-duty-stud-ends-series-541</t>
        </is>
      </c>
      <c r="G402" s="37" t="inlineStr">
        <is>
          <t>ISO 1179/3</t>
        </is>
      </c>
      <c r="H402" s="37" t="inlineStr">
        <is>
          <t>NOT STARTED</t>
        </is>
      </c>
      <c r="I402" s="37" t="n"/>
      <c r="J402" s="47" t="inlineStr">
        <is>
          <t>TABLE DID NOT LOAD</t>
        </is>
      </c>
      <c r="K402" s="37" t="inlineStr">
        <is>
          <t>Accessory page; spec table renders client-side. Needs browser fetch.</t>
        </is>
      </c>
    </row>
    <row r="403" ht="15" customHeight="1" s="35">
      <c r="A403" s="37" t="inlineStr">
        <is>
          <t>UNPARSED</t>
        </is>
      </c>
      <c r="B403" s="37" t="inlineStr">
        <is>
          <t>542</t>
        </is>
      </c>
      <c r="C403" s="37" t="inlineStr">
        <is>
          <t>O-Rings for ISO 9974/1 G&amp;H Metric Stud Ends</t>
        </is>
      </c>
      <c r="D403" s="37" t="inlineStr">
        <is>
          <t>International &amp; Metric</t>
        </is>
      </c>
      <c r="E403" s="37" t="inlineStr">
        <is>
          <t>Accessories</t>
        </is>
      </c>
      <c r="F403" s="37" t="inlineStr">
        <is>
          <t>https://parts.air-way.com/hydraulic-fittings/international-metric/accessories/o-rings-for-iso-9974-1-g-h-metric-stud-ends-series-542</t>
        </is>
      </c>
      <c r="G403" s="37" t="inlineStr">
        <is>
          <t>ISO 9974/1</t>
        </is>
      </c>
      <c r="H403" s="37" t="inlineStr">
        <is>
          <t>NOT STARTED</t>
        </is>
      </c>
      <c r="I403" s="37" t="n"/>
      <c r="J403" s="47" t="inlineStr">
        <is>
          <t>TABLE DID NOT LOAD</t>
        </is>
      </c>
      <c r="K403" s="37" t="inlineStr">
        <is>
          <t>Accessory page; spec table renders client-side. Needs browser fetch.</t>
        </is>
      </c>
    </row>
    <row r="404" ht="15" customHeight="1" s="35">
      <c r="A404" s="37" t="inlineStr">
        <is>
          <t>UNPARSED</t>
        </is>
      </c>
      <c r="B404" s="37" t="inlineStr">
        <is>
          <t>546</t>
        </is>
      </c>
      <c r="C404" s="37" t="inlineStr">
        <is>
          <t>ORFS Braze Rings</t>
        </is>
      </c>
      <c r="D404" s="37" t="inlineStr">
        <is>
          <t>International &amp; Metric</t>
        </is>
      </c>
      <c r="E404" s="37" t="inlineStr">
        <is>
          <t>Accessories</t>
        </is>
      </c>
      <c r="F404" s="37" t="inlineStr">
        <is>
          <t>https://parts.air-way.com/hydraulic-fittings/international-metric/accessories/orfs-braze-rings-series-part-list-series-546</t>
        </is>
      </c>
      <c r="G404" s="37" t="inlineStr">
        <is>
          <t>—</t>
        </is>
      </c>
      <c r="H404" s="37" t="inlineStr">
        <is>
          <t>NOT STARTED</t>
        </is>
      </c>
      <c r="I404" s="37" t="n"/>
      <c r="J404" s="47" t="inlineStr">
        <is>
          <t>TABLE DID NOT LOAD</t>
        </is>
      </c>
      <c r="K404" s="37" t="inlineStr">
        <is>
          <t>Accessory page; spec table renders client-side. Needs browser fetch.</t>
        </is>
      </c>
    </row>
    <row r="405" ht="15" customHeight="1" s="35">
      <c r="A405" s="37" t="inlineStr">
        <is>
          <t>UNPARSED</t>
        </is>
      </c>
      <c r="B405" s="37" t="inlineStr">
        <is>
          <t>453</t>
        </is>
      </c>
      <c r="C405" s="37" t="inlineStr">
        <is>
          <t>VPFVSTI Threaded Straight Fitting, BSPP Hexagon Socket Elastomeric Seal Plug</t>
        </is>
      </c>
      <c r="D405" s="37" t="inlineStr">
        <is>
          <t>International &amp; Metric</t>
        </is>
      </c>
      <c r="E405" s="37" t="inlineStr">
        <is>
          <t>BSPP</t>
        </is>
      </c>
      <c r="F405" s="37" t="inlineStr">
        <is>
          <t>https://parts.air-way.com/hydraulic-fittings/international-metric/bspp/vpfvsti-threaded-straight-fitting-bspp-hexagon-socket-elastomeric-seal-plug-series-453</t>
        </is>
      </c>
      <c r="G405" s="37" t="inlineStr">
        <is>
          <t>ISO 1179-2, ISO 1179-1</t>
        </is>
      </c>
      <c r="H405" s="37" t="inlineStr">
        <is>
          <t>NOT STARTED</t>
        </is>
      </c>
      <c r="I405" s="37" t="n"/>
      <c r="J405" s="37" t="n">
        <v>5</v>
      </c>
      <c r="K405" s="37" t="n"/>
    </row>
    <row r="406" ht="15" customHeight="1" s="35">
      <c r="A406" s="37" t="inlineStr">
        <is>
          <t>UNPARSED</t>
        </is>
      </c>
      <c r="B406" s="37" t="inlineStr">
        <is>
          <t>534</t>
        </is>
      </c>
      <c r="C406" s="37" t="inlineStr">
        <is>
          <t>O-rings For SAE J-1926/2/3 Inch Stud Ends</t>
        </is>
      </c>
      <c r="D406" s="37" t="inlineStr">
        <is>
          <t>JIC 37 &amp; Beaded Hose</t>
        </is>
      </c>
      <c r="E406" s="37" t="inlineStr">
        <is>
          <t>Accessories</t>
        </is>
      </c>
      <c r="F406" s="37" t="inlineStr">
        <is>
          <t>https://parts.air-way.com/hydraulic-fittings/jic-and-beaded-hose-fittings/accessories/o-rings-for-sae-j-1926-2-3-inch-stud-ends-series-534</t>
        </is>
      </c>
      <c r="G406" s="37" t="inlineStr">
        <is>
          <t>SAE J-1926</t>
        </is>
      </c>
      <c r="H406" s="37" t="inlineStr">
        <is>
          <t>NOT STARTED</t>
        </is>
      </c>
      <c r="I406" s="37" t="n"/>
      <c r="J406" s="47" t="inlineStr">
        <is>
          <t>TABLE DID NOT LOAD</t>
        </is>
      </c>
      <c r="K406" s="37" t="inlineStr">
        <is>
          <t>Accessory page; spec table renders client-side. Needs browser fetch.</t>
        </is>
      </c>
    </row>
    <row r="407" ht="15" customHeight="1" s="35">
      <c r="A407" s="37" t="inlineStr">
        <is>
          <t>UNPARSED</t>
        </is>
      </c>
      <c r="B407" s="37" t="inlineStr">
        <is>
          <t>108</t>
        </is>
      </c>
      <c r="C407" s="37" t="inlineStr">
        <is>
          <t>Long Allen Plugs</t>
        </is>
      </c>
      <c r="D407" s="37" t="inlineStr">
        <is>
          <t>JIC 37 &amp; Beaded Hose</t>
        </is>
      </c>
      <c r="E407" s="37" t="inlineStr">
        <is>
          <t>Straight</t>
        </is>
      </c>
      <c r="F407" s="37" t="inlineStr">
        <is>
          <t>https://parts.air-way.com/hydraulic-fittings/jic-and-beaded-hose-fittings/straight/sae-j531-130109n-series-108</t>
        </is>
      </c>
      <c r="G407" s="37" t="inlineStr">
        <is>
          <t>SAE J531 130109N</t>
        </is>
      </c>
      <c r="H407" s="37" t="inlineStr">
        <is>
          <t>NOT STARTED</t>
        </is>
      </c>
      <c r="I407" s="37" t="n"/>
      <c r="J407" s="37" t="n">
        <v>9</v>
      </c>
      <c r="K407" s="37" t="n"/>
    </row>
    <row r="408" ht="15" customHeight="1" s="35">
      <c r="A408" s="37" t="inlineStr">
        <is>
          <t>UNPARSED</t>
        </is>
      </c>
      <c r="B408" s="37" t="inlineStr">
        <is>
          <t>40</t>
        </is>
      </c>
      <c r="C408" s="37" t="inlineStr">
        <is>
          <t>O-Ring For SAE J1453/2/3 Face Seal Ends</t>
        </is>
      </c>
      <c r="D408" s="37" t="inlineStr">
        <is>
          <t>ORFS</t>
        </is>
      </c>
      <c r="E408" s="37" t="inlineStr">
        <is>
          <t>Accessories</t>
        </is>
      </c>
      <c r="F408" s="37" t="inlineStr">
        <is>
          <t>https://parts.air-way.com/hydraulic-fittings/o-ring-face-seal-orfs-hydraulic-fittings/accessories/o-ring-for-sae-j1453-2-3-face-seal-ends-series-40</t>
        </is>
      </c>
      <c r="G408" s="37" t="inlineStr">
        <is>
          <t>SAE J1453/2/3</t>
        </is>
      </c>
      <c r="H408" s="37" t="inlineStr">
        <is>
          <t>NOT STARTED</t>
        </is>
      </c>
      <c r="I408" s="37" t="n"/>
      <c r="J408" s="37" t="n">
        <v>23</v>
      </c>
      <c r="K408" s="37" t="n"/>
    </row>
    <row r="409" ht="15" customHeight="1" s="35">
      <c r="A409" s="37" t="inlineStr">
        <is>
          <t>UNPARSED</t>
        </is>
      </c>
      <c r="B409" s="37" t="inlineStr">
        <is>
          <t>41</t>
        </is>
      </c>
      <c r="C409" s="37" t="inlineStr">
        <is>
          <t>ORFS Braze Rings</t>
        </is>
      </c>
      <c r="D409" s="37" t="inlineStr">
        <is>
          <t>ORFS</t>
        </is>
      </c>
      <c r="E409" s="37" t="inlineStr">
        <is>
          <t>Accessories</t>
        </is>
      </c>
      <c r="F409" s="37" t="inlineStr">
        <is>
          <t>https://parts.air-way.com/hydraulic-fittings/o-ring-face-seal-orfs-hydraulic-fittings/accessories/orfs-braze-rings-series-41</t>
        </is>
      </c>
      <c r="G409" s="37" t="inlineStr">
        <is>
          <t>—</t>
        </is>
      </c>
      <c r="H409" s="37" t="inlineStr">
        <is>
          <t>NOT STARTED</t>
        </is>
      </c>
      <c r="I409" s="37" t="n"/>
      <c r="J409" s="37" t="n">
        <v>10</v>
      </c>
      <c r="K409" s="37" t="n"/>
    </row>
    <row r="410" ht="15" customHeight="1" s="35">
      <c r="A410" s="37" t="inlineStr">
        <is>
          <t>UNPARSED</t>
        </is>
      </c>
      <c r="B410" s="37" t="inlineStr">
        <is>
          <t>218</t>
        </is>
      </c>
      <c r="C410" s="37" t="inlineStr">
        <is>
          <t>O-Rings For SAE J-1926/2/3 Inch Stud Ends</t>
        </is>
      </c>
      <c r="D410" s="37" t="inlineStr">
        <is>
          <t>ORFS</t>
        </is>
      </c>
      <c r="E410" s="37" t="inlineStr">
        <is>
          <t>Accessories</t>
        </is>
      </c>
      <c r="F410" s="37" t="inlineStr">
        <is>
          <t>https://parts.air-way.com/hydraulic-fittings/o-ring-face-seal-orfs-hydraulic-fittings/accessories/o-rings-for-sae-j-1926-2-3-inch-stud-ends-series-218</t>
        </is>
      </c>
      <c r="G410" s="37" t="inlineStr">
        <is>
          <t>SAE J-1926/2/3</t>
        </is>
      </c>
      <c r="H410" s="37" t="inlineStr">
        <is>
          <t>NOT STARTED</t>
        </is>
      </c>
      <c r="I410" s="37" t="n"/>
      <c r="J410" s="37" t="n">
        <v>33</v>
      </c>
      <c r="K410" s="37" t="n"/>
    </row>
    <row r="411" ht="15" customHeight="1" s="35">
      <c r="A411" s="37" t="inlineStr">
        <is>
          <t>UNPARSED</t>
        </is>
      </c>
      <c r="B411" s="37" t="inlineStr">
        <is>
          <t>544</t>
        </is>
      </c>
      <c r="C411" s="37" t="inlineStr">
        <is>
          <t>O-rings For SAE J-1926/2/3 Inch Stud Ends</t>
        </is>
      </c>
      <c r="D411" s="37" t="inlineStr">
        <is>
          <t>Stainless Steel Fittings</t>
        </is>
      </c>
      <c r="E411" s="37" t="inlineStr">
        <is>
          <t>Accessories</t>
        </is>
      </c>
      <c r="F411" s="37" t="inlineStr">
        <is>
          <t>https://parts.air-way.com/hydraulic-fittings/stainless-steel-hydraulic-fittings/accessories/o-rings-for-sae-j-1926-2-3-inch-stud-ends-series-544</t>
        </is>
      </c>
      <c r="G411" s="37" t="inlineStr">
        <is>
          <t>SAE J-1926/2/3 (in title)</t>
        </is>
      </c>
      <c r="H411" s="37" t="inlineStr">
        <is>
          <t>NOT STARTED</t>
        </is>
      </c>
      <c r="I411" s="37" t="n"/>
      <c r="J411" s="47" t="inlineStr">
        <is>
          <t>TABLE DID NOT LOAD</t>
        </is>
      </c>
      <c r="K411" s="37" t="inlineStr">
        <is>
          <t>Accessory page; spec table renders client-side. Needs browser fetch.</t>
        </is>
      </c>
    </row>
  </sheetData>
  <autoFilter ref="A1:K4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2026-08-05T01:04:56Z</dcterms:created>
  <dcterms:modified xsi:type="dcterms:W3CDTF">2026-10-21T03:07:09Z</dcterms:modified>
  <cp:revision>0</cp:revision>
</cp:coreProperties>
</file>