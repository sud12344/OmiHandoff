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raights" sheetId="2" state="visible" r:id="rId4"/>
    <sheet name="90 deg Elbows" sheetId="3" state="visible" r:id="rId5"/>
    <sheet name="45 deg Elbows" sheetId="4" state="visible" r:id="rId6"/>
    <sheet name="Tees &amp; Crosses" sheetId="5" state="visible" r:id="rId7"/>
    <sheet name="Nuts, Sleeves &amp; Plugs" sheetId="6" state="visible" r:id="rId8"/>
    <sheet name="Flanges" sheetId="7" state="visible" r:id="rId9"/>
    <sheet name="Pictures (to print)" sheetId="8" state="visible" r:id="rId10"/>
  </sheets>
  <definedNames>
    <definedName function="false" hidden="false" localSheetId="3" name="_xlnm.Print_Area" vbProcedure="false">'45 deg Elbows'!$A$1:$O$19</definedName>
    <definedName function="false" hidden="false" localSheetId="3" name="_xlnm.Print_Titles" vbProcedure="false">'45 deg Elbows'!$4:$4</definedName>
    <definedName function="false" hidden="false" localSheetId="2" name="_xlnm.Print_Area" vbProcedure="false">'90 deg Elbows'!$A$1:$O$28</definedName>
    <definedName function="false" hidden="false" localSheetId="2" name="_xlnm.Print_Titles" vbProcedure="false">'90 deg Elbows'!$4:$4</definedName>
    <definedName function="false" hidden="false" localSheetId="6" name="_xlnm.Print_Area" vbProcedure="false">Flanges!$A$1:$P$12</definedName>
    <definedName function="false" hidden="false" localSheetId="6" name="_xlnm.Print_Titles" vbProcedure="false">Flanges!$4:$4</definedName>
    <definedName function="false" hidden="false" localSheetId="5" name="_xlnm.Print_Area" vbProcedure="false">'Nuts, Sleeves &amp; Plugs'!$A$1:$N$11</definedName>
    <definedName function="false" hidden="false" localSheetId="5" name="_xlnm.Print_Titles" vbProcedure="false">'Nuts, Sleeves &amp; Plugs'!$4:$4</definedName>
    <definedName function="false" hidden="false" localSheetId="1" name="_xlnm.Print_Area" vbProcedure="false">Straights!$A$1:$Q$31</definedName>
    <definedName function="false" hidden="false" localSheetId="1" name="_xlnm.Print_Titles" vbProcedure="false">Straights!$4:$4</definedName>
    <definedName function="false" hidden="false" localSheetId="4" name="_xlnm.Print_Area" vbProcedure="false">'Tees &amp; Crosses'!$A$1:$R$29</definedName>
    <definedName function="false" hidden="false" localSheetId="4" name="_xlnm.Print_Titles" vbProcedure="false">'Tees &amp; Crosses'!$4:$4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<sst xmlns="http://schemas.openxmlformats.org/spreadsheetml/2006/main" count="567" uniqueCount="397">
  <si>
    <t xml:space="preserve">OMi parts - caliper spot check</t>
  </si>
  <si>
    <t xml:space="preserve">What this is</t>
  </si>
  <si>
    <t xml:space="preserve">One part from each series whose dimensions we cannot get from a catalog. Measuring these tells us whether OMi's parts match the Air-Way or Brennan catalog, so the rest of each series can be filled from that catalog instead of being measured one by one.</t>
  </si>
  <si>
    <t xml:space="preserve">What you need</t>
  </si>
  <si>
    <t xml:space="preserve">Digital calipers reading 0.001". Nothing else - threads are NOT measured.</t>
  </si>
  <si>
    <t xml:space="preserve">How to measure</t>
  </si>
  <si>
    <t xml:space="preserve">Each tab has a picture on the right showing exactly where each measurement goes (all pictures are also on the last tab, ready to print). Measure each dimension twice; if the two readings differ by more than 0.003", measure a third time and write the middle value.</t>
  </si>
  <si>
    <t xml:space="preserve">How to record</t>
  </si>
  <si>
    <t xml:space="preserve">Type into the YELLOW cells only, in inches with 3 decimals (1.125, not 1 1/8). Leave a cell blank if that feature is not on the part. Hex sizes are ACROSS THE FLATS, never across the corners.</t>
  </si>
  <si>
    <t xml:space="preserve">Part not on the shelf?</t>
  </si>
  <si>
    <t xml:space="preserve">Measure any other size of the same series and write its part number in "Part actually measured".</t>
  </si>
  <si>
    <t xml:space="preserve">Grey EXAMPLE rows</t>
  </si>
  <si>
    <t xml:space="preserve">Show the format only (values come from Brennan 3D models). Leave them as they are.</t>
  </si>
  <si>
    <t xml:space="preserve">When done</t>
  </si>
  <si>
    <t xml:space="preserve">Save the file and send it back. Partly filled is fine - every row helps.</t>
  </si>
  <si>
    <t xml:space="preserve">Legend</t>
  </si>
  <si>
    <t xml:space="preserve">fill in</t>
  </si>
  <si>
    <t xml:space="preserve">example only</t>
  </si>
  <si>
    <t xml:space="preserve">Tab</t>
  </si>
  <si>
    <t xml:space="preserve">Parts to measure</t>
  </si>
  <si>
    <t xml:space="preserve">Parts measured</t>
  </si>
  <si>
    <t xml:space="preserve">Straights</t>
  </si>
  <si>
    <t xml:space="preserve">90 deg Elbows</t>
  </si>
  <si>
    <t xml:space="preserve">45 deg Elbows</t>
  </si>
  <si>
    <t xml:space="preserve">Tees &amp; Crosses</t>
  </si>
  <si>
    <t xml:space="preserve">Nuts, Sleeves &amp; Plugs</t>
  </si>
  <si>
    <t xml:space="preserve">Flanges</t>
  </si>
  <si>
    <t xml:space="preserve">Total</t>
  </si>
  <si>
    <t xml:space="preserve">Not included</t>
  </si>
  <si>
    <t xml:space="preserve">Series 4000, 4001 and 4005 are rubber O-rings (30 parts), not steel fittings - nothing to measure. Prepared 2026-09-24.</t>
  </si>
  <si>
    <t xml:space="preserve">Straights - measuring sheet</t>
  </si>
  <si>
    <t xml:space="preserve">Fill in the YELLOW cells only.  Inches, 3 decimals (e.g. 1.125).  Blank = not on this part.  The picture on the right shows where each measurement goes.</t>
  </si>
  <si>
    <t xml:space="preserve">#</t>
  </si>
  <si>
    <t xml:space="preserve">Series</t>
  </si>
  <si>
    <t xml:space="preserve">OMi part number to measure</t>
  </si>
  <si>
    <t xml:space="preserve">Description</t>
  </si>
  <si>
    <t xml:space="preserve">Why this part</t>
  </si>
  <si>
    <t xml:space="preserve">Parts in this series waiting for dimensions</t>
  </si>
  <si>
    <t xml:space="preserve">1 Overall length</t>
  </si>
  <si>
    <t xml:space="preserve">2 Main hex across flats</t>
  </si>
  <si>
    <t xml:space="preserve">3 Main hex length</t>
  </si>
  <si>
    <t xml:space="preserve">4 Smallest bore</t>
  </si>
  <si>
    <t xml:space="preserve">5 Second hex across flats (if any)</t>
  </si>
  <si>
    <t xml:space="preserve">6 Second hex length (if any)</t>
  </si>
  <si>
    <t xml:space="preserve">7 Bulkhead thread length (bulkhead parts only)</t>
  </si>
  <si>
    <t xml:space="preserve">Part actually measured (only if different)</t>
  </si>
  <si>
    <t xml:space="preserve">Measured by</t>
  </si>
  <si>
    <t xml:space="preserve">Date</t>
  </si>
  <si>
    <t xml:space="preserve">Notes</t>
  </si>
  <si>
    <t xml:space="preserve">EXAMPLE</t>
  </si>
  <si>
    <t xml:space="preserve">5405</t>
  </si>
  <si>
    <t xml:space="preserve">5405-08-08</t>
  </si>
  <si>
    <t xml:space="preserve">Example only - values from Brennan's 3D model of this part, to show the format</t>
  </si>
  <si>
    <t xml:space="preserve">Leave this row as it is</t>
  </si>
  <si>
    <t xml:space="preserve">0403</t>
  </si>
  <si>
    <t xml:space="preserve">0403-08-08</t>
  </si>
  <si>
    <t xml:space="preserve">Braze Tube Union</t>
  </si>
  <si>
    <t xml:space="preserve">Air-Way lists this size only as the unplated (UNPL) part - tells us whether plated and unplated are the same</t>
  </si>
  <si>
    <t xml:space="preserve">1405</t>
  </si>
  <si>
    <t xml:space="preserve">1405-08-08</t>
  </si>
  <si>
    <t xml:space="preserve">Female Adapter Union to Female Pipe</t>
  </si>
  <si>
    <t xml:space="preserve">Air-Way has dimensions for this size - checks whether Air-Way matches OMi parts in this series</t>
  </si>
  <si>
    <t xml:space="preserve">2403</t>
  </si>
  <si>
    <t xml:space="preserve">2403-08-08</t>
  </si>
  <si>
    <t xml:space="preserve">Male Union</t>
  </si>
  <si>
    <t xml:space="preserve">2404</t>
  </si>
  <si>
    <t xml:space="preserve">2404-L-08-08</t>
  </si>
  <si>
    <t xml:space="preserve">Male Connector</t>
  </si>
  <si>
    <t xml:space="preserve">2405</t>
  </si>
  <si>
    <t xml:space="preserve">2405-08-08</t>
  </si>
  <si>
    <t xml:space="preserve">Female Connector</t>
  </si>
  <si>
    <t xml:space="preserve">2406</t>
  </si>
  <si>
    <t xml:space="preserve">2406-06-08</t>
  </si>
  <si>
    <t xml:space="preserve">Reducing Adapter (One Piece)</t>
  </si>
  <si>
    <t xml:space="preserve">2700</t>
  </si>
  <si>
    <t xml:space="preserve">2700-08-08</t>
  </si>
  <si>
    <t xml:space="preserve">Bulkhead Union</t>
  </si>
  <si>
    <t xml:space="preserve">2705</t>
  </si>
  <si>
    <t xml:space="preserve">2705-08-10</t>
  </si>
  <si>
    <t xml:space="preserve">Female Pipe/Bulkhead Connector</t>
  </si>
  <si>
    <t xml:space="preserve">2706</t>
  </si>
  <si>
    <t xml:space="preserve">2706-08-08</t>
  </si>
  <si>
    <t xml:space="preserve">Male Pipe/Bulkhead Connector</t>
  </si>
  <si>
    <t xml:space="preserve">3474</t>
  </si>
  <si>
    <t xml:space="preserve">3474-06-06-NWO</t>
  </si>
  <si>
    <t xml:space="preserve">Male Adj. ORB x Male ORB, Straight</t>
  </si>
  <si>
    <t xml:space="preserve">No catalog dimensions for this series at all</t>
  </si>
  <si>
    <t xml:space="preserve">5000</t>
  </si>
  <si>
    <t xml:space="preserve">5000-08-08</t>
  </si>
  <si>
    <t xml:space="preserve">Hexagon Pipe Coupling</t>
  </si>
  <si>
    <t xml:space="preserve">5404</t>
  </si>
  <si>
    <t xml:space="preserve">5404-08-08</t>
  </si>
  <si>
    <t xml:space="preserve">Hexagon Pipe Nipple</t>
  </si>
  <si>
    <t xml:space="preserve">Pipe Adapter</t>
  </si>
  <si>
    <t xml:space="preserve">5406</t>
  </si>
  <si>
    <t xml:space="preserve">5406-C-08</t>
  </si>
  <si>
    <t xml:space="preserve">Pipe Reducer Bushing</t>
  </si>
  <si>
    <t xml:space="preserve">6400</t>
  </si>
  <si>
    <t xml:space="preserve">6400-08-08-O</t>
  </si>
  <si>
    <t xml:space="preserve">Straight Thread Connector</t>
  </si>
  <si>
    <t xml:space="preserve">6401</t>
  </si>
  <si>
    <t xml:space="preserve">6401-08-08-O</t>
  </si>
  <si>
    <t xml:space="preserve">Straight Thread/Male Pipe Adapter</t>
  </si>
  <si>
    <t xml:space="preserve">6404</t>
  </si>
  <si>
    <t xml:space="preserve">6404-08-08</t>
  </si>
  <si>
    <t xml:space="preserve">O-ring Port/Male Pipe Adapter</t>
  </si>
  <si>
    <t xml:space="preserve">6405</t>
  </si>
  <si>
    <t xml:space="preserve">6405-08-08-O</t>
  </si>
  <si>
    <t xml:space="preserve">Straight Thread/Female Pipe Adapter</t>
  </si>
  <si>
    <t xml:space="preserve">6410</t>
  </si>
  <si>
    <t xml:space="preserve">6410-08-08-O</t>
  </si>
  <si>
    <t xml:space="preserve">Straight Thread Reducer/Expander</t>
  </si>
  <si>
    <t xml:space="preserve">6420</t>
  </si>
  <si>
    <t xml:space="preserve">6420-08-08</t>
  </si>
  <si>
    <t xml:space="preserve">Female ORB x Female Pipe, Straight</t>
  </si>
  <si>
    <t xml:space="preserve">6425</t>
  </si>
  <si>
    <t xml:space="preserve">6425-08-08</t>
  </si>
  <si>
    <t xml:space="preserve">Female ORB x Female ORB, Straight</t>
  </si>
  <si>
    <t xml:space="preserve">6504</t>
  </si>
  <si>
    <t xml:space="preserve">6504-08-08</t>
  </si>
  <si>
    <t xml:space="preserve">Tube/37° Female Swivel Union</t>
  </si>
  <si>
    <t xml:space="preserve">6505</t>
  </si>
  <si>
    <t xml:space="preserve">6505-08-08</t>
  </si>
  <si>
    <t xml:space="preserve">Male Pipe/37° Female Swivel Connector</t>
  </si>
  <si>
    <t xml:space="preserve">6506</t>
  </si>
  <si>
    <t xml:space="preserve">6506-08-08</t>
  </si>
  <si>
    <t xml:space="preserve">Female Pipe/37° Female Swivel Connector</t>
  </si>
  <si>
    <t xml:space="preserve">6565</t>
  </si>
  <si>
    <t xml:space="preserve">6565-08-08</t>
  </si>
  <si>
    <t xml:space="preserve">Double 37° Female Swivel Union</t>
  </si>
  <si>
    <t xml:space="preserve">6900</t>
  </si>
  <si>
    <t xml:space="preserve">6900-08-08-O</t>
  </si>
  <si>
    <t xml:space="preserve">Female Adapter Union to Male Straight</t>
  </si>
  <si>
    <t xml:space="preserve">90 deg Elbows - measuring sheet</t>
  </si>
  <si>
    <t xml:space="preserve">A Leg A: face to far side of body</t>
  </si>
  <si>
    <t xml:space="preserve">B Leg B: face to far side of body</t>
  </si>
  <si>
    <t xml:space="preserve">C Body hex across flats</t>
  </si>
  <si>
    <t xml:space="preserve">D Nut hex across flats (if any)</t>
  </si>
  <si>
    <t xml:space="preserve">E Smallest bore</t>
  </si>
  <si>
    <t xml:space="preserve">2500</t>
  </si>
  <si>
    <t xml:space="preserve">2500-06-06-FG</t>
  </si>
  <si>
    <t xml:space="preserve">1501</t>
  </si>
  <si>
    <t xml:space="preserve">1501-16-20-FG</t>
  </si>
  <si>
    <t xml:space="preserve">90° Female Adapter Union to Male Pipe</t>
  </si>
  <si>
    <t xml:space="preserve">Air-Way lists this size only in the non-forged version - tells us whether the forged part is different</t>
  </si>
  <si>
    <t xml:space="preserve">1502</t>
  </si>
  <si>
    <t xml:space="preserve">1502-08-08-FG</t>
  </si>
  <si>
    <t xml:space="preserve">90° Female Adapter Union to Female Pipe</t>
  </si>
  <si>
    <t xml:space="preserve">2500-08-06-FG</t>
  </si>
  <si>
    <t xml:space="preserve">90° Union Elbow</t>
  </si>
  <si>
    <t xml:space="preserve">2501</t>
  </si>
  <si>
    <t xml:space="preserve">2501-05-06-FG</t>
  </si>
  <si>
    <t xml:space="preserve">90° Male Elbow</t>
  </si>
  <si>
    <t xml:space="preserve">2502</t>
  </si>
  <si>
    <t xml:space="preserve">2502-06-08-FG</t>
  </si>
  <si>
    <t xml:space="preserve">90° Female Elbow</t>
  </si>
  <si>
    <t xml:space="preserve">2701</t>
  </si>
  <si>
    <t xml:space="preserve">2701-08-08-FG</t>
  </si>
  <si>
    <t xml:space="preserve">90° Bulkhead Elbow</t>
  </si>
  <si>
    <t xml:space="preserve">4501</t>
  </si>
  <si>
    <t xml:space="preserve">4501-08-08-FG</t>
  </si>
  <si>
    <t xml:space="preserve">90° Male Pipe Hose Fitting</t>
  </si>
  <si>
    <t xml:space="preserve">4601</t>
  </si>
  <si>
    <t xml:space="preserve">4601-08-06-NWO-FG</t>
  </si>
  <si>
    <t xml:space="preserve">90° Straight Thread Hose Fitting</t>
  </si>
  <si>
    <t xml:space="preserve">5500</t>
  </si>
  <si>
    <t xml:space="preserve">5500-08-04-FG</t>
  </si>
  <si>
    <t xml:space="preserve">90° Male Pipe Elbow</t>
  </si>
  <si>
    <t xml:space="preserve">5502</t>
  </si>
  <si>
    <t xml:space="preserve">5502-06-08-FG</t>
  </si>
  <si>
    <t xml:space="preserve">90° Street Elbow</t>
  </si>
  <si>
    <t xml:space="preserve">5504</t>
  </si>
  <si>
    <t xml:space="preserve">5504-08-06-FG</t>
  </si>
  <si>
    <t xml:space="preserve">90° Female Pipe Elbow</t>
  </si>
  <si>
    <t xml:space="preserve">6500</t>
  </si>
  <si>
    <t xml:space="preserve">6500-12-08-FG</t>
  </si>
  <si>
    <t xml:space="preserve">37° Female Swivel 90° Elbow</t>
  </si>
  <si>
    <t xml:space="preserve">6501</t>
  </si>
  <si>
    <t xml:space="preserve">6501-08-08-FG</t>
  </si>
  <si>
    <t xml:space="preserve">90° Male Pipe/37° Female Swivel Elbow</t>
  </si>
  <si>
    <t xml:space="preserve">6503</t>
  </si>
  <si>
    <t xml:space="preserve">6503-06-06-FG</t>
  </si>
  <si>
    <t xml:space="preserve">90° Female Pipe/37° Female Swivel Elbow</t>
  </si>
  <si>
    <t xml:space="preserve">6566</t>
  </si>
  <si>
    <t xml:space="preserve">6566-06-06-FG</t>
  </si>
  <si>
    <t xml:space="preserve">Female JIC Swivel x Female JIC Swivel, 90 deg Elbow (forged)</t>
  </si>
  <si>
    <t xml:space="preserve">6701</t>
  </si>
  <si>
    <t xml:space="preserve">6701-08-08</t>
  </si>
  <si>
    <t xml:space="preserve">Male JIC x Female JIC Swivel, Swept 90 deg Elbow</t>
  </si>
  <si>
    <t xml:space="preserve">6801</t>
  </si>
  <si>
    <t xml:space="preserve">6801-08-04-NWO-FG</t>
  </si>
  <si>
    <t xml:space="preserve">90° Straight Thread Elbow</t>
  </si>
  <si>
    <t xml:space="preserve">6805</t>
  </si>
  <si>
    <t xml:space="preserve">6805-08-08-NWO-FG</t>
  </si>
  <si>
    <t xml:space="preserve">90° Straight Thread/Female Pipe Elbow</t>
  </si>
  <si>
    <t xml:space="preserve">6806</t>
  </si>
  <si>
    <t xml:space="preserve">6806-08-08-NWO-FG</t>
  </si>
  <si>
    <t xml:space="preserve">90° Straight Thread/Male Pipe Elbow</t>
  </si>
  <si>
    <t xml:space="preserve">6807</t>
  </si>
  <si>
    <t xml:space="preserve">6807-08-08-NWO-FG</t>
  </si>
  <si>
    <t xml:space="preserve">90° Straight Thread Union Elbow</t>
  </si>
  <si>
    <t xml:space="preserve">6809</t>
  </si>
  <si>
    <t xml:space="preserve">6809-10-10-NWO-FG</t>
  </si>
  <si>
    <t xml:space="preserve">90° Straight Thread/37° Female Swivel Elbow</t>
  </si>
  <si>
    <t xml:space="preserve">6815</t>
  </si>
  <si>
    <t xml:space="preserve">6815-08-08-NWO-FG</t>
  </si>
  <si>
    <t xml:space="preserve">Male Adj. ORB x Female ORB, 90 deg Elbow (forged)</t>
  </si>
  <si>
    <t xml:space="preserve">6901</t>
  </si>
  <si>
    <t xml:space="preserve">6901-06-08-NWO-FG</t>
  </si>
  <si>
    <t xml:space="preserve">90° Female Adapter Union to Adj. Male</t>
  </si>
  <si>
    <t xml:space="preserve">45 deg Elbows - measuring sheet</t>
  </si>
  <si>
    <t xml:space="preserve">A Leg A: face to farthest point</t>
  </si>
  <si>
    <t xml:space="preserve">B Leg B: face to farthest point</t>
  </si>
  <si>
    <t xml:space="preserve">1503</t>
  </si>
  <si>
    <t xml:space="preserve">1503-06-08-FG</t>
  </si>
  <si>
    <t xml:space="preserve">45° Female Adapter Union to Male Pipe</t>
  </si>
  <si>
    <t xml:space="preserve">1504</t>
  </si>
  <si>
    <t xml:space="preserve">1504-06-06-FG</t>
  </si>
  <si>
    <t xml:space="preserve">45° Female Adapter Union to Female Pipe</t>
  </si>
  <si>
    <t xml:space="preserve">2503</t>
  </si>
  <si>
    <t xml:space="preserve">2503-20-24-FG</t>
  </si>
  <si>
    <t xml:space="preserve">45° Male Elbow</t>
  </si>
  <si>
    <t xml:space="preserve">2504</t>
  </si>
  <si>
    <t xml:space="preserve">2504-08-08-FG</t>
  </si>
  <si>
    <t xml:space="preserve">45° Union Elbow</t>
  </si>
  <si>
    <t xml:space="preserve">2505</t>
  </si>
  <si>
    <t xml:space="preserve">2505-08-08-FG</t>
  </si>
  <si>
    <t xml:space="preserve">45° Female Elbow</t>
  </si>
  <si>
    <t xml:space="preserve">2702</t>
  </si>
  <si>
    <t xml:space="preserve">2702-20-20-FG</t>
  </si>
  <si>
    <t xml:space="preserve">45° Bulkhead Elbow</t>
  </si>
  <si>
    <t xml:space="preserve">4503</t>
  </si>
  <si>
    <t xml:space="preserve">4503-08-08-FG</t>
  </si>
  <si>
    <t xml:space="preserve">45° Male Pipe Hose Fitting</t>
  </si>
  <si>
    <t xml:space="preserve">4603</t>
  </si>
  <si>
    <t xml:space="preserve">4603-16-16-NWO-FG</t>
  </si>
  <si>
    <t xml:space="preserve">45° Straight Thread Hose Fitting</t>
  </si>
  <si>
    <t xml:space="preserve">5501</t>
  </si>
  <si>
    <t xml:space="preserve">5501-08-08-FG</t>
  </si>
  <si>
    <t xml:space="preserve">45° Male Pipe Elbow</t>
  </si>
  <si>
    <t xml:space="preserve">5503</t>
  </si>
  <si>
    <t xml:space="preserve">5503-16-16-FG</t>
  </si>
  <si>
    <t xml:space="preserve">45° Street Elbow</t>
  </si>
  <si>
    <t xml:space="preserve">5505</t>
  </si>
  <si>
    <t xml:space="preserve">5505-08-08-FG</t>
  </si>
  <si>
    <t xml:space="preserve">45° Female Pipe Elbow</t>
  </si>
  <si>
    <t xml:space="preserve">6502</t>
  </si>
  <si>
    <t xml:space="preserve">6502-08-08-FG</t>
  </si>
  <si>
    <t xml:space="preserve">37° Female Swivel 45° Elbow</t>
  </si>
  <si>
    <t xml:space="preserve">6802</t>
  </si>
  <si>
    <t xml:space="preserve">6802-06-10-NWO-FG</t>
  </si>
  <si>
    <t xml:space="preserve">45° Straight Thread Elbow</t>
  </si>
  <si>
    <t xml:space="preserve">6810</t>
  </si>
  <si>
    <t xml:space="preserve">6810-12-12-NWO-FG</t>
  </si>
  <si>
    <t xml:space="preserve">45° Straight Thread/37° Female Swivel Elbow</t>
  </si>
  <si>
    <t xml:space="preserve">6902</t>
  </si>
  <si>
    <t xml:space="preserve">6902-08-08-NWO-FG</t>
  </si>
  <si>
    <t xml:space="preserve">45° Female Adapter Union to Adj. Male</t>
  </si>
  <si>
    <t xml:space="preserve">Tees &amp; Crosses - measuring sheet</t>
  </si>
  <si>
    <t xml:space="preserve">A Run: face to face</t>
  </si>
  <si>
    <t xml:space="preserve">B Branch: face to far side of body</t>
  </si>
  <si>
    <t xml:space="preserve">C Crosses only: second run face to face</t>
  </si>
  <si>
    <t xml:space="preserve">D Which end is the branch (size / type)</t>
  </si>
  <si>
    <t xml:space="preserve">E Body hex across flats</t>
  </si>
  <si>
    <t xml:space="preserve">F Nut hex across flats (if any)</t>
  </si>
  <si>
    <t xml:space="preserve">G Run bore</t>
  </si>
  <si>
    <t xml:space="preserve">H Branch bore</t>
  </si>
  <si>
    <t xml:space="preserve">5600</t>
  </si>
  <si>
    <t xml:space="preserve">5600-16-16-16-FG</t>
  </si>
  <si>
    <t xml:space="preserve">16 male pipe</t>
  </si>
  <si>
    <t xml:space="preserve">1601</t>
  </si>
  <si>
    <t xml:space="preserve">1601-08-08-08-FG</t>
  </si>
  <si>
    <t xml:space="preserve">Female Adapter Union to Male Pipe Branch</t>
  </si>
  <si>
    <t xml:space="preserve">1602</t>
  </si>
  <si>
    <t xml:space="preserve">1602-08-08-08-FG</t>
  </si>
  <si>
    <t xml:space="preserve">Female Adapter Union to Female Pipe Branch</t>
  </si>
  <si>
    <t xml:space="preserve">1603</t>
  </si>
  <si>
    <t xml:space="preserve">1603-08-08-08-FG</t>
  </si>
  <si>
    <t xml:space="preserve">Female Adapter Union (Triple Swivel)</t>
  </si>
  <si>
    <t xml:space="preserve">2601</t>
  </si>
  <si>
    <t xml:space="preserve">2601-24-24-24-FG</t>
  </si>
  <si>
    <t xml:space="preserve">Male Branch Tee</t>
  </si>
  <si>
    <t xml:space="preserve">2602</t>
  </si>
  <si>
    <t xml:space="preserve">2602-08-08-08-FG</t>
  </si>
  <si>
    <t xml:space="preserve">Female Branch Tee</t>
  </si>
  <si>
    <t xml:space="preserve">2603</t>
  </si>
  <si>
    <t xml:space="preserve">2603-08-08-08-FG</t>
  </si>
  <si>
    <t xml:space="preserve">Union Tee</t>
  </si>
  <si>
    <t xml:space="preserve">2606</t>
  </si>
  <si>
    <t xml:space="preserve">2606-08-08-08-FG</t>
  </si>
  <si>
    <t xml:space="preserve">Female Run Tee</t>
  </si>
  <si>
    <t xml:space="preserve">2609</t>
  </si>
  <si>
    <t xml:space="preserve">2609-08-08-08-FG</t>
  </si>
  <si>
    <t xml:space="preserve">Female Run/Branch Tee</t>
  </si>
  <si>
    <t xml:space="preserve">2611</t>
  </si>
  <si>
    <t xml:space="preserve">2611-06-06-06-FG</t>
  </si>
  <si>
    <t xml:space="preserve">Male Run/Female Branch Tee</t>
  </si>
  <si>
    <t xml:space="preserve">2703</t>
  </si>
  <si>
    <t xml:space="preserve">2703-08-08-08-FG</t>
  </si>
  <si>
    <t xml:space="preserve">Bulkhead Branch Tee</t>
  </si>
  <si>
    <t xml:space="preserve">5600-08-08-08-FG</t>
  </si>
  <si>
    <t xml:space="preserve">Male Pipe Tee</t>
  </si>
  <si>
    <t xml:space="preserve">5601</t>
  </si>
  <si>
    <t xml:space="preserve">5601-06-06-06-FG</t>
  </si>
  <si>
    <t xml:space="preserve">Female Branch Pipe Tee</t>
  </si>
  <si>
    <t xml:space="preserve">5602</t>
  </si>
  <si>
    <t xml:space="preserve">5602-06-06-06-FG</t>
  </si>
  <si>
    <t xml:space="preserve">Male Run Pipe Tee</t>
  </si>
  <si>
    <t xml:space="preserve">5603</t>
  </si>
  <si>
    <t xml:space="preserve">5603-08-08-08-FG</t>
  </si>
  <si>
    <t xml:space="preserve">Female Run Pipe Tee</t>
  </si>
  <si>
    <t xml:space="preserve">5604</t>
  </si>
  <si>
    <t xml:space="preserve">5604-12-12-12-FG</t>
  </si>
  <si>
    <t xml:space="preserve">Male Branch Pipe Tee</t>
  </si>
  <si>
    <t xml:space="preserve">5605</t>
  </si>
  <si>
    <t xml:space="preserve">5605-12-12-12-FG</t>
  </si>
  <si>
    <t xml:space="preserve">Female Pipe Tee</t>
  </si>
  <si>
    <t xml:space="preserve">5652</t>
  </si>
  <si>
    <t xml:space="preserve">5652-08-08-08-08-FG</t>
  </si>
  <si>
    <t xml:space="preserve">Female Pipe Cross</t>
  </si>
  <si>
    <t xml:space="preserve">6600</t>
  </si>
  <si>
    <t xml:space="preserve">6600-08-08-08-FG</t>
  </si>
  <si>
    <t xml:space="preserve">37° Female Swivel Branch Tee</t>
  </si>
  <si>
    <t xml:space="preserve">6603</t>
  </si>
  <si>
    <t xml:space="preserve">6603-06-06-06-FG</t>
  </si>
  <si>
    <t xml:space="preserve">37° Female Swivel Run/Run Tee</t>
  </si>
  <si>
    <t xml:space="preserve">6606</t>
  </si>
  <si>
    <t xml:space="preserve">6606-06-06-06-FG</t>
  </si>
  <si>
    <t xml:space="preserve">37° Female Swivel Tee</t>
  </si>
  <si>
    <t xml:space="preserve">6803</t>
  </si>
  <si>
    <t xml:space="preserve">6803-08-08-06-NWO-FG</t>
  </si>
  <si>
    <t xml:space="preserve">Straight Thread Branch Tee</t>
  </si>
  <si>
    <t xml:space="preserve">6804</t>
  </si>
  <si>
    <t xml:space="preserve">6804-24-24-24-NWO-FG</t>
  </si>
  <si>
    <t xml:space="preserve">Straight Thread Run Tee</t>
  </si>
  <si>
    <t xml:space="preserve">6832</t>
  </si>
  <si>
    <t xml:space="preserve">6832-08-08-08-NWO-FG</t>
  </si>
  <si>
    <t xml:space="preserve">Female ORB x Female ORB x Male Adj. ORB, Tee (forged)</t>
  </si>
  <si>
    <t xml:space="preserve">6835</t>
  </si>
  <si>
    <t xml:space="preserve">6835-08-08-08-NWO-FG</t>
  </si>
  <si>
    <t xml:space="preserve">Male Adj. ORB x Female ORB x Female ORB, Tee (forged)</t>
  </si>
  <si>
    <t xml:space="preserve">Nuts, Sleeves &amp; Plugs - measuring sheet</t>
  </si>
  <si>
    <t xml:space="preserve">2 Hex across flats (sleeve: largest OD)</t>
  </si>
  <si>
    <t xml:space="preserve">3 Hex length (plugs only)</t>
  </si>
  <si>
    <t xml:space="preserve">4 Smallest bore (nuts, sleeves)</t>
  </si>
  <si>
    <t xml:space="preserve">0319</t>
  </si>
  <si>
    <t xml:space="preserve">0319-08</t>
  </si>
  <si>
    <t xml:space="preserve">0304</t>
  </si>
  <si>
    <t xml:space="preserve">0304-C-08</t>
  </si>
  <si>
    <t xml:space="preserve">Standard Nut</t>
  </si>
  <si>
    <t xml:space="preserve">0306</t>
  </si>
  <si>
    <t xml:space="preserve">0306-08</t>
  </si>
  <si>
    <t xml:space="preserve">Bulkhead Lock Nut</t>
  </si>
  <si>
    <t xml:space="preserve">0618</t>
  </si>
  <si>
    <t xml:space="preserve">0618-08</t>
  </si>
  <si>
    <t xml:space="preserve">JIC Flareless Tube Nut</t>
  </si>
  <si>
    <t xml:space="preserve">0619</t>
  </si>
  <si>
    <t xml:space="preserve">0619-08</t>
  </si>
  <si>
    <t xml:space="preserve">JIC Flareless Tube Sleeve</t>
  </si>
  <si>
    <t xml:space="preserve">2408</t>
  </si>
  <si>
    <t xml:space="preserve">2408-08</t>
  </si>
  <si>
    <t xml:space="preserve">Male Plug</t>
  </si>
  <si>
    <t xml:space="preserve">6408</t>
  </si>
  <si>
    <t xml:space="preserve">6408-08-O</t>
  </si>
  <si>
    <t xml:space="preserve">Hexagon Head O-ring Boss Plug</t>
  </si>
  <si>
    <t xml:space="preserve">Flanges - measuring sheet</t>
  </si>
  <si>
    <t xml:space="preserve">A Overall length / tube-end leg</t>
  </si>
  <si>
    <t xml:space="preserve">B Flange-end leg (elbows only)</t>
  </si>
  <si>
    <t xml:space="preserve">C Flange head diameter</t>
  </si>
  <si>
    <t xml:space="preserve">D Flange head thickness</t>
  </si>
  <si>
    <t xml:space="preserve">E Hex across flats (if any)</t>
  </si>
  <si>
    <t xml:space="preserve">F Smallest bore</t>
  </si>
  <si>
    <t xml:space="preserve">1700</t>
  </si>
  <si>
    <t xml:space="preserve">1700-08-08</t>
  </si>
  <si>
    <t xml:space="preserve">Code 61 Flange Adapter</t>
  </si>
  <si>
    <t xml:space="preserve">1703</t>
  </si>
  <si>
    <t xml:space="preserve">1703-24-24-FG</t>
  </si>
  <si>
    <t xml:space="preserve">45° Code 61 Flange Adapter Elbow</t>
  </si>
  <si>
    <t xml:space="preserve">1704</t>
  </si>
  <si>
    <t xml:space="preserve">1704-24-24-FG</t>
  </si>
  <si>
    <t xml:space="preserve">90° Code 61 Flange Adapter Elbow</t>
  </si>
  <si>
    <t xml:space="preserve">1724</t>
  </si>
  <si>
    <t xml:space="preserve">1724-08</t>
  </si>
  <si>
    <t xml:space="preserve">O-Ring Face Code 61 Flange Plug</t>
  </si>
  <si>
    <t xml:space="preserve">1800</t>
  </si>
  <si>
    <t xml:space="preserve">1800-08-08</t>
  </si>
  <si>
    <t xml:space="preserve">Male JIC x Code 62 Flange, Straight</t>
  </si>
  <si>
    <t xml:space="preserve">1803</t>
  </si>
  <si>
    <t xml:space="preserve">1803-08-08-FG</t>
  </si>
  <si>
    <t xml:space="preserve">Male JIC x Code 62 Flange, 45 deg Elbow</t>
  </si>
  <si>
    <t xml:space="preserve">1804</t>
  </si>
  <si>
    <t xml:space="preserve">1804-08-08-FG</t>
  </si>
  <si>
    <t xml:space="preserve">Male JIC x Code 62 Flange, 90 deg Elbow</t>
  </si>
  <si>
    <t xml:space="preserve">1824</t>
  </si>
  <si>
    <t xml:space="preserve">1824-08</t>
  </si>
  <si>
    <t xml:space="preserve">O-Ring Face Code 62 Flange Plug</t>
  </si>
  <si>
    <t xml:space="preserve">Where to measure - all part types (print this sheet and keep it at the bench)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</si>
</sst>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B57"/>
      <name val="Arial"/>
      <family val="0"/>
      <charset val="1"/>
    </font>
    <font>
      <sz val="10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3B57"/>
        <bgColor rgb="FF40404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7"/>
      <rgbColor rgb="FF339966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2</xdr:row>
      <xdr:rowOff>160920</xdr:rowOff>
    </xdr:from>
    <xdr:to>
      <xdr:col>27</xdr:col>
      <xdr:colOff>77760</xdr:colOff>
      <xdr:row>9</xdr:row>
      <xdr:rowOff>277200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404520" y="571680"/>
          <a:ext cx="5581440" cy="3123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2</xdr:row>
      <xdr:rowOff>160920</xdr:rowOff>
    </xdr:from>
    <xdr:to>
      <xdr:col>25</xdr:col>
      <xdr:colOff>201600</xdr:colOff>
      <xdr:row>11</xdr:row>
      <xdr:rowOff>101520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9431000" y="571680"/>
          <a:ext cx="5705280" cy="383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2</xdr:row>
      <xdr:rowOff>160920</xdr:rowOff>
    </xdr:from>
    <xdr:to>
      <xdr:col>25</xdr:col>
      <xdr:colOff>77760</xdr:colOff>
      <xdr:row>10</xdr:row>
      <xdr:rowOff>308880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9431000" y="571680"/>
          <a:ext cx="5581440" cy="374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2</xdr:row>
      <xdr:rowOff>160920</xdr:rowOff>
    </xdr:from>
    <xdr:to>
      <xdr:col>28</xdr:col>
      <xdr:colOff>77760</xdr:colOff>
      <xdr:row>10</xdr:row>
      <xdr:rowOff>270000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22391280" y="571680"/>
          <a:ext cx="5581440" cy="35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24</xdr:col>
      <xdr:colOff>77760</xdr:colOff>
      <xdr:row>11</xdr:row>
      <xdr:rowOff>138960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444240" y="571680"/>
          <a:ext cx="558144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160920</xdr:rowOff>
    </xdr:from>
    <xdr:to>
      <xdr:col>26</xdr:col>
      <xdr:colOff>96840</xdr:colOff>
      <xdr:row>12</xdr:row>
      <xdr:rowOff>38880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0417760" y="571680"/>
          <a:ext cx="5600520" cy="331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95040</xdr:colOff>
      <xdr:row>20</xdr:row>
      <xdr:rowOff>7920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380880"/>
          <a:ext cx="6210000" cy="346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160560</xdr:rowOff>
    </xdr:from>
    <xdr:to>
      <xdr:col>10</xdr:col>
      <xdr:colOff>218880</xdr:colOff>
      <xdr:row>45</xdr:row>
      <xdr:rowOff>46080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0" y="4381560"/>
          <a:ext cx="6333840" cy="426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160560</xdr:rowOff>
    </xdr:from>
    <xdr:to>
      <xdr:col>10</xdr:col>
      <xdr:colOff>95040</xdr:colOff>
      <xdr:row>69</xdr:row>
      <xdr:rowOff>122400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0" y="9144000"/>
          <a:ext cx="6210000" cy="415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160560</xdr:rowOff>
    </xdr:from>
    <xdr:to>
      <xdr:col>10</xdr:col>
      <xdr:colOff>95040</xdr:colOff>
      <xdr:row>92</xdr:row>
      <xdr:rowOff>122400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0" y="13716000"/>
          <a:ext cx="6210000" cy="396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160560</xdr:rowOff>
    </xdr:from>
    <xdr:to>
      <xdr:col>10</xdr:col>
      <xdr:colOff>95040</xdr:colOff>
      <xdr:row>111</xdr:row>
      <xdr:rowOff>103320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0" y="18097560"/>
          <a:ext cx="6210000" cy="3180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160560</xdr:rowOff>
    </xdr:from>
    <xdr:to>
      <xdr:col>10</xdr:col>
      <xdr:colOff>104400</xdr:colOff>
      <xdr:row>133</xdr:row>
      <xdr:rowOff>36360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0" y="21717000"/>
          <a:ext cx="6219360" cy="3685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43.5" hidden="false" customHeight="true" outlineLevel="0" collapsed="false">
      <c r="A3" s="3" t="s">
        <v>1</v>
      </c>
      <c r="B3" s="4" t="s">
        <v>2</v>
      </c>
      <c r="C3" s="4"/>
      <c r="D3" s="4"/>
    </row>
    <row r="4" customFormat="false" ht="43.5" hidden="false" customHeight="true" outlineLevel="0" collapsed="false">
      <c r="A4" s="3" t="s">
        <v>3</v>
      </c>
      <c r="B4" s="4" t="s">
        <v>4</v>
      </c>
      <c r="C4" s="4"/>
      <c r="D4" s="4"/>
    </row>
    <row r="5" customFormat="false" ht="43.5" hidden="false" customHeight="true" outlineLevel="0" collapsed="false">
      <c r="A5" s="3" t="s">
        <v>5</v>
      </c>
      <c r="B5" s="4" t="s">
        <v>6</v>
      </c>
      <c r="C5" s="4"/>
      <c r="D5" s="4"/>
    </row>
    <row r="6" customFormat="false" ht="43.5" hidden="false" customHeight="true" outlineLevel="0" collapsed="false">
      <c r="A6" s="3" t="s">
        <v>7</v>
      </c>
      <c r="B6" s="4" t="s">
        <v>8</v>
      </c>
      <c r="C6" s="4"/>
      <c r="D6" s="4"/>
    </row>
    <row r="7" customFormat="false" ht="43.5" hidden="false" customHeight="true" outlineLevel="0" collapsed="false">
      <c r="A7" s="3" t="s">
        <v>9</v>
      </c>
      <c r="B7" s="4" t="s">
        <v>10</v>
      </c>
      <c r="C7" s="4"/>
      <c r="D7" s="4"/>
    </row>
    <row r="8" customFormat="false" ht="43.5" hidden="false" customHeight="true" outlineLevel="0" collapsed="false">
      <c r="A8" s="3" t="s">
        <v>11</v>
      </c>
      <c r="B8" s="4" t="s">
        <v>12</v>
      </c>
      <c r="C8" s="4"/>
      <c r="D8" s="4"/>
    </row>
    <row r="9" customFormat="false" ht="43.5" hidden="false" customHeight="true" outlineLevel="0" collapsed="false">
      <c r="A9" s="3" t="s">
        <v>13</v>
      </c>
      <c r="B9" s="4" t="s">
        <v>14</v>
      </c>
      <c r="C9" s="4"/>
      <c r="D9" s="4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5" t="s">
        <v>15</v>
      </c>
      <c r="B11" s="6" t="s">
        <v>16</v>
      </c>
      <c r="C11" s="7" t="s">
        <v>17</v>
      </c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8" t="s">
        <v>18</v>
      </c>
      <c r="B13" s="8" t="s">
        <v>19</v>
      </c>
      <c r="C13" s="8" t="s">
        <v>20</v>
      </c>
      <c r="D13" s="8"/>
    </row>
    <row r="14" customFormat="false" ht="15" hidden="false" customHeight="false" outlineLevel="0" collapsed="false">
      <c r="A14" s="9" t="s">
        <v>21</v>
      </c>
      <c r="B14" s="9" t="n">
        <f aca="false">COUNTA(Straights!C6:C31)</f>
        <v>26</v>
      </c>
      <c r="C14" s="9" t="n">
        <f aca="false">COUNT(Straights!G6:G31)</f>
        <v>0</v>
      </c>
      <c r="D14" s="2"/>
    </row>
    <row r="15" customFormat="false" ht="15" hidden="false" customHeight="false" outlineLevel="0" collapsed="false">
      <c r="A15" s="9" t="s">
        <v>22</v>
      </c>
      <c r="B15" s="9" t="n">
        <f aca="false">COUNTA('90 deg Elbows'!C6:C28)</f>
        <v>23</v>
      </c>
      <c r="C15" s="9" t="n">
        <f aca="false">COUNT('90 deg Elbows'!G6:G28)</f>
        <v>0</v>
      </c>
      <c r="D15" s="2"/>
    </row>
    <row r="16" customFormat="false" ht="15" hidden="false" customHeight="false" outlineLevel="0" collapsed="false">
      <c r="A16" s="9" t="s">
        <v>23</v>
      </c>
      <c r="B16" s="9" t="n">
        <f aca="false">COUNTA('45 deg Elbows'!C5:C19)</f>
        <v>15</v>
      </c>
      <c r="C16" s="9" t="n">
        <f aca="false">COUNT('45 deg Elbows'!G5:G19)</f>
        <v>0</v>
      </c>
      <c r="D16" s="2"/>
    </row>
    <row r="17" customFormat="false" ht="15" hidden="false" customHeight="false" outlineLevel="0" collapsed="false">
      <c r="A17" s="9" t="s">
        <v>24</v>
      </c>
      <c r="B17" s="9" t="n">
        <f aca="false">COUNTA('Tees &amp; Crosses'!C6:C29)</f>
        <v>24</v>
      </c>
      <c r="C17" s="9" t="n">
        <f aca="false">COUNT('Tees &amp; Crosses'!G6:G29)</f>
        <v>0</v>
      </c>
      <c r="D17" s="2"/>
    </row>
    <row r="18" customFormat="false" ht="15" hidden="false" customHeight="false" outlineLevel="0" collapsed="false">
      <c r="A18" s="9" t="s">
        <v>25</v>
      </c>
      <c r="B18" s="9" t="n">
        <f aca="false">COUNTA('Nuts, Sleeves &amp; Plugs'!C6:C11)</f>
        <v>6</v>
      </c>
      <c r="C18" s="9" t="n">
        <f aca="false">COUNT('Nuts, Sleeves &amp; Plugs'!G6:G11)</f>
        <v>0</v>
      </c>
      <c r="D18" s="2"/>
    </row>
    <row r="19" customFormat="false" ht="15" hidden="false" customHeight="false" outlineLevel="0" collapsed="false">
      <c r="A19" s="9" t="s">
        <v>26</v>
      </c>
      <c r="B19" s="9" t="n">
        <f aca="false">COUNTA(Flanges!C5:C12)</f>
        <v>8</v>
      </c>
      <c r="C19" s="9" t="n">
        <f aca="false">COUNT(Flanges!G5:G12)</f>
        <v>0</v>
      </c>
      <c r="D19" s="2"/>
    </row>
    <row r="20" customFormat="false" ht="15" hidden="false" customHeight="false" outlineLevel="0" collapsed="false">
      <c r="A20" s="5" t="s">
        <v>27</v>
      </c>
      <c r="B20" s="5" t="n">
        <f aca="false">SUM(B14:B19)</f>
        <v>102</v>
      </c>
      <c r="C20" s="5" t="n">
        <f aca="false">SUM(C14:C19)</f>
        <v>0</v>
      </c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30" hidden="false" customHeight="true" outlineLevel="0" collapsed="false">
      <c r="A22" s="3" t="s">
        <v>28</v>
      </c>
      <c r="B22" s="4" t="s">
        <v>29</v>
      </c>
      <c r="C22" s="4"/>
      <c r="D22" s="4"/>
    </row>
  </sheetData>
  <mergeCells count="8">
    <mergeCell ref="B3:D3"/>
    <mergeCell ref="B4:D4"/>
    <mergeCell ref="B5:D5"/>
    <mergeCell ref="B6:D6"/>
    <mergeCell ref="B7:D7"/>
    <mergeCell ref="B8:D8"/>
    <mergeCell ref="B9:D9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3" min="7" style="0" width="14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0" t="s">
        <v>30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  <c r="L4" s="13" t="s">
        <v>43</v>
      </c>
      <c r="M4" s="13" t="s">
        <v>44</v>
      </c>
      <c r="N4" s="13" t="s">
        <v>45</v>
      </c>
      <c r="O4" s="13" t="s">
        <v>46</v>
      </c>
      <c r="P4" s="13" t="s">
        <v>47</v>
      </c>
      <c r="Q4" s="13" t="s">
        <v>48</v>
      </c>
    </row>
    <row r="5" customFormat="false" ht="23.85" hidden="false" customHeight="false" outlineLevel="0" collapsed="false">
      <c r="A5" s="14" t="s">
        <v>49</v>
      </c>
      <c r="B5" s="14" t="s">
        <v>50</v>
      </c>
      <c r="C5" s="14" t="s">
        <v>51</v>
      </c>
      <c r="D5" s="14" t="s">
        <v>52</v>
      </c>
      <c r="E5" s="14" t="s">
        <v>53</v>
      </c>
      <c r="F5" s="14"/>
      <c r="G5" s="15" t="n">
        <v>1.87</v>
      </c>
      <c r="H5" s="15" t="n">
        <v>1.125</v>
      </c>
      <c r="I5" s="15" t="n">
        <v>1.12</v>
      </c>
      <c r="J5" s="15" t="n">
        <v>0.531</v>
      </c>
      <c r="K5" s="14"/>
      <c r="L5" s="14"/>
      <c r="M5" s="14"/>
      <c r="N5" s="14"/>
      <c r="O5" s="14"/>
      <c r="P5" s="14"/>
      <c r="Q5" s="14"/>
    </row>
    <row r="6" customFormat="false" ht="35.05" hidden="false" customHeight="false" outlineLevel="0" collapsed="false">
      <c r="A6" s="16" t="n">
        <v>1</v>
      </c>
      <c r="B6" s="16" t="s">
        <v>54</v>
      </c>
      <c r="C6" s="16" t="s">
        <v>55</v>
      </c>
      <c r="D6" s="16" t="s">
        <v>56</v>
      </c>
      <c r="E6" s="16" t="s">
        <v>57</v>
      </c>
      <c r="F6" s="16" t="n">
        <v>7</v>
      </c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</row>
    <row r="7" customFormat="false" ht="35.05" hidden="false" customHeight="false" outlineLevel="0" collapsed="false">
      <c r="A7" s="16" t="n">
        <v>2</v>
      </c>
      <c r="B7" s="16" t="s">
        <v>58</v>
      </c>
      <c r="C7" s="16" t="s">
        <v>59</v>
      </c>
      <c r="D7" s="16" t="s">
        <v>60</v>
      </c>
      <c r="E7" s="16" t="s">
        <v>61</v>
      </c>
      <c r="F7" s="16" t="n">
        <v>3</v>
      </c>
      <c r="G7" s="17"/>
      <c r="H7" s="17"/>
      <c r="I7" s="17"/>
      <c r="J7" s="17"/>
      <c r="K7" s="17"/>
      <c r="L7" s="17"/>
      <c r="M7" s="17"/>
      <c r="N7" s="18"/>
      <c r="O7" s="18"/>
      <c r="P7" s="18"/>
      <c r="Q7" s="18"/>
    </row>
    <row r="8" customFormat="false" ht="35.05" hidden="false" customHeight="false" outlineLevel="0" collapsed="false">
      <c r="A8" s="16" t="n">
        <v>3</v>
      </c>
      <c r="B8" s="16" t="s">
        <v>62</v>
      </c>
      <c r="C8" s="16" t="s">
        <v>63</v>
      </c>
      <c r="D8" s="16" t="s">
        <v>64</v>
      </c>
      <c r="E8" s="16" t="s">
        <v>61</v>
      </c>
      <c r="F8" s="16" t="n">
        <v>6</v>
      </c>
      <c r="G8" s="17"/>
      <c r="H8" s="17"/>
      <c r="I8" s="17"/>
      <c r="J8" s="17"/>
      <c r="K8" s="17"/>
      <c r="L8" s="17"/>
      <c r="M8" s="17"/>
      <c r="N8" s="18"/>
      <c r="O8" s="18"/>
      <c r="P8" s="18"/>
      <c r="Q8" s="18"/>
    </row>
    <row r="9" customFormat="false" ht="35.05" hidden="false" customHeight="false" outlineLevel="0" collapsed="false">
      <c r="A9" s="16" t="n">
        <v>4</v>
      </c>
      <c r="B9" s="16" t="s">
        <v>65</v>
      </c>
      <c r="C9" s="16" t="s">
        <v>66</v>
      </c>
      <c r="D9" s="16" t="s">
        <v>67</v>
      </c>
      <c r="E9" s="16" t="s">
        <v>61</v>
      </c>
      <c r="F9" s="16" t="n">
        <v>1</v>
      </c>
      <c r="G9" s="17"/>
      <c r="H9" s="17"/>
      <c r="I9" s="17"/>
      <c r="J9" s="17"/>
      <c r="K9" s="17"/>
      <c r="L9" s="17"/>
      <c r="M9" s="17"/>
      <c r="N9" s="18"/>
      <c r="O9" s="18"/>
      <c r="P9" s="18"/>
      <c r="Q9" s="18"/>
    </row>
    <row r="10" customFormat="false" ht="35.05" hidden="false" customHeight="false" outlineLevel="0" collapsed="false">
      <c r="A10" s="16" t="n">
        <v>5</v>
      </c>
      <c r="B10" s="16" t="s">
        <v>68</v>
      </c>
      <c r="C10" s="16" t="s">
        <v>69</v>
      </c>
      <c r="D10" s="16" t="s">
        <v>70</v>
      </c>
      <c r="E10" s="16" t="s">
        <v>61</v>
      </c>
      <c r="F10" s="16" t="n">
        <v>2</v>
      </c>
      <c r="G10" s="17"/>
      <c r="H10" s="17"/>
      <c r="I10" s="17"/>
      <c r="J10" s="17"/>
      <c r="K10" s="17"/>
      <c r="L10" s="17"/>
      <c r="M10" s="17"/>
      <c r="N10" s="18"/>
      <c r="O10" s="18"/>
      <c r="P10" s="18"/>
      <c r="Q10" s="18"/>
    </row>
    <row r="11" customFormat="false" ht="35.05" hidden="false" customHeight="false" outlineLevel="0" collapsed="false">
      <c r="A11" s="16" t="n">
        <v>6</v>
      </c>
      <c r="B11" s="16" t="s">
        <v>71</v>
      </c>
      <c r="C11" s="16" t="s">
        <v>72</v>
      </c>
      <c r="D11" s="16" t="s">
        <v>73</v>
      </c>
      <c r="E11" s="16" t="s">
        <v>61</v>
      </c>
      <c r="F11" s="16" t="n">
        <v>10</v>
      </c>
      <c r="G11" s="17"/>
      <c r="H11" s="17"/>
      <c r="I11" s="17"/>
      <c r="J11" s="17"/>
      <c r="K11" s="17"/>
      <c r="L11" s="17"/>
      <c r="M11" s="17"/>
      <c r="N11" s="18"/>
      <c r="O11" s="18"/>
      <c r="P11" s="18"/>
      <c r="Q11" s="18"/>
    </row>
    <row r="12" customFormat="false" ht="35.05" hidden="false" customHeight="false" outlineLevel="0" collapsed="false">
      <c r="A12" s="16" t="n">
        <v>7</v>
      </c>
      <c r="B12" s="16" t="s">
        <v>74</v>
      </c>
      <c r="C12" s="16" t="s">
        <v>75</v>
      </c>
      <c r="D12" s="16" t="s">
        <v>76</v>
      </c>
      <c r="E12" s="16" t="s">
        <v>61</v>
      </c>
      <c r="F12" s="16" t="n">
        <v>10</v>
      </c>
      <c r="G12" s="17"/>
      <c r="H12" s="17"/>
      <c r="I12" s="17"/>
      <c r="J12" s="17"/>
      <c r="K12" s="17"/>
      <c r="L12" s="17"/>
      <c r="M12" s="17"/>
      <c r="N12" s="18"/>
      <c r="O12" s="18"/>
      <c r="P12" s="18"/>
      <c r="Q12" s="18"/>
    </row>
    <row r="13" customFormat="false" ht="35.05" hidden="false" customHeight="false" outlineLevel="0" collapsed="false">
      <c r="A13" s="16" t="n">
        <v>8</v>
      </c>
      <c r="B13" s="16" t="s">
        <v>77</v>
      </c>
      <c r="C13" s="16" t="s">
        <v>78</v>
      </c>
      <c r="D13" s="16" t="s">
        <v>79</v>
      </c>
      <c r="E13" s="16" t="s">
        <v>61</v>
      </c>
      <c r="F13" s="16" t="n">
        <v>3</v>
      </c>
      <c r="G13" s="17"/>
      <c r="H13" s="17"/>
      <c r="I13" s="17"/>
      <c r="J13" s="17"/>
      <c r="K13" s="17"/>
      <c r="L13" s="17"/>
      <c r="M13" s="17"/>
      <c r="N13" s="18"/>
      <c r="O13" s="18"/>
      <c r="P13" s="18"/>
      <c r="Q13" s="18"/>
    </row>
    <row r="14" customFormat="false" ht="35.05" hidden="false" customHeight="false" outlineLevel="0" collapsed="false">
      <c r="A14" s="16" t="n">
        <v>9</v>
      </c>
      <c r="B14" s="16" t="s">
        <v>80</v>
      </c>
      <c r="C14" s="16" t="s">
        <v>81</v>
      </c>
      <c r="D14" s="16" t="s">
        <v>82</v>
      </c>
      <c r="E14" s="16" t="s">
        <v>61</v>
      </c>
      <c r="F14" s="16" t="n">
        <v>7</v>
      </c>
      <c r="G14" s="17"/>
      <c r="H14" s="17"/>
      <c r="I14" s="17"/>
      <c r="J14" s="17"/>
      <c r="K14" s="17"/>
      <c r="L14" s="17"/>
      <c r="M14" s="17"/>
      <c r="N14" s="18"/>
      <c r="O14" s="18"/>
      <c r="P14" s="18"/>
      <c r="Q14" s="18"/>
    </row>
    <row r="15" customFormat="false" ht="15" hidden="false" customHeight="false" outlineLevel="0" collapsed="false">
      <c r="A15" s="16" t="n">
        <v>10</v>
      </c>
      <c r="B15" s="16" t="s">
        <v>83</v>
      </c>
      <c r="C15" s="16" t="s">
        <v>84</v>
      </c>
      <c r="D15" s="16" t="s">
        <v>85</v>
      </c>
      <c r="E15" s="16" t="s">
        <v>86</v>
      </c>
      <c r="F15" s="16" t="n">
        <v>7</v>
      </c>
      <c r="G15" s="17"/>
      <c r="H15" s="17"/>
      <c r="I15" s="17"/>
      <c r="J15" s="17"/>
      <c r="K15" s="17"/>
      <c r="L15" s="17"/>
      <c r="M15" s="17"/>
      <c r="N15" s="18"/>
      <c r="O15" s="18"/>
      <c r="P15" s="18"/>
      <c r="Q15" s="18"/>
    </row>
    <row r="16" customFormat="false" ht="35.05" hidden="false" customHeight="false" outlineLevel="0" collapsed="false">
      <c r="A16" s="16" t="n">
        <v>11</v>
      </c>
      <c r="B16" s="16" t="s">
        <v>87</v>
      </c>
      <c r="C16" s="16" t="s">
        <v>88</v>
      </c>
      <c r="D16" s="16" t="s">
        <v>89</v>
      </c>
      <c r="E16" s="16" t="s">
        <v>61</v>
      </c>
      <c r="F16" s="16" t="n">
        <v>4</v>
      </c>
      <c r="G16" s="17"/>
      <c r="H16" s="17"/>
      <c r="I16" s="17"/>
      <c r="J16" s="17"/>
      <c r="K16" s="17"/>
      <c r="L16" s="17"/>
      <c r="M16" s="17"/>
      <c r="N16" s="18"/>
      <c r="O16" s="18"/>
      <c r="P16" s="18"/>
      <c r="Q16" s="18"/>
    </row>
    <row r="17" customFormat="false" ht="35.05" hidden="false" customHeight="false" outlineLevel="0" collapsed="false">
      <c r="A17" s="16" t="n">
        <v>12</v>
      </c>
      <c r="B17" s="16" t="s">
        <v>90</v>
      </c>
      <c r="C17" s="16" t="s">
        <v>91</v>
      </c>
      <c r="D17" s="16" t="s">
        <v>92</v>
      </c>
      <c r="E17" s="16" t="s">
        <v>61</v>
      </c>
      <c r="F17" s="16" t="n">
        <v>31</v>
      </c>
      <c r="G17" s="17"/>
      <c r="H17" s="17"/>
      <c r="I17" s="17"/>
      <c r="J17" s="17"/>
      <c r="K17" s="17"/>
      <c r="L17" s="17"/>
      <c r="M17" s="17"/>
      <c r="N17" s="18"/>
      <c r="O17" s="18"/>
      <c r="P17" s="18"/>
      <c r="Q17" s="18"/>
    </row>
    <row r="18" customFormat="false" ht="35.05" hidden="false" customHeight="false" outlineLevel="0" collapsed="false">
      <c r="A18" s="16" t="n">
        <v>13</v>
      </c>
      <c r="B18" s="16" t="s">
        <v>50</v>
      </c>
      <c r="C18" s="16" t="s">
        <v>51</v>
      </c>
      <c r="D18" s="16" t="s">
        <v>93</v>
      </c>
      <c r="E18" s="16" t="s">
        <v>61</v>
      </c>
      <c r="F18" s="16" t="n">
        <v>8</v>
      </c>
      <c r="G18" s="17"/>
      <c r="H18" s="17"/>
      <c r="I18" s="17"/>
      <c r="J18" s="17"/>
      <c r="K18" s="17"/>
      <c r="L18" s="17"/>
      <c r="M18" s="17"/>
      <c r="N18" s="18"/>
      <c r="O18" s="18"/>
      <c r="P18" s="18"/>
      <c r="Q18" s="18"/>
    </row>
    <row r="19" customFormat="false" ht="35.05" hidden="false" customHeight="false" outlineLevel="0" collapsed="false">
      <c r="A19" s="16" t="n">
        <v>14</v>
      </c>
      <c r="B19" s="16" t="s">
        <v>94</v>
      </c>
      <c r="C19" s="16" t="s">
        <v>95</v>
      </c>
      <c r="D19" s="16" t="s">
        <v>96</v>
      </c>
      <c r="E19" s="16" t="s">
        <v>61</v>
      </c>
      <c r="F19" s="16" t="n">
        <v>23</v>
      </c>
      <c r="G19" s="17"/>
      <c r="H19" s="17"/>
      <c r="I19" s="17"/>
      <c r="J19" s="17"/>
      <c r="K19" s="17"/>
      <c r="L19" s="17"/>
      <c r="M19" s="17"/>
      <c r="N19" s="18"/>
      <c r="O19" s="18"/>
      <c r="P19" s="18"/>
      <c r="Q19" s="18"/>
    </row>
    <row r="20" customFormat="false" ht="35.05" hidden="false" customHeight="false" outlineLevel="0" collapsed="false">
      <c r="A20" s="16" t="n">
        <v>15</v>
      </c>
      <c r="B20" s="16" t="s">
        <v>97</v>
      </c>
      <c r="C20" s="16" t="s">
        <v>98</v>
      </c>
      <c r="D20" s="16" t="s">
        <v>99</v>
      </c>
      <c r="E20" s="16" t="s">
        <v>61</v>
      </c>
      <c r="F20" s="16" t="n">
        <v>6</v>
      </c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</row>
    <row r="21" customFormat="false" ht="35.05" hidden="false" customHeight="false" outlineLevel="0" collapsed="false">
      <c r="A21" s="16" t="n">
        <v>16</v>
      </c>
      <c r="B21" s="16" t="s">
        <v>100</v>
      </c>
      <c r="C21" s="16" t="s">
        <v>101</v>
      </c>
      <c r="D21" s="16" t="s">
        <v>102</v>
      </c>
      <c r="E21" s="16" t="s">
        <v>61</v>
      </c>
      <c r="F21" s="16" t="n">
        <v>3</v>
      </c>
      <c r="G21" s="17"/>
      <c r="H21" s="17"/>
      <c r="I21" s="17"/>
      <c r="J21" s="17"/>
      <c r="K21" s="17"/>
      <c r="L21" s="17"/>
      <c r="M21" s="17"/>
      <c r="N21" s="18"/>
      <c r="O21" s="18"/>
      <c r="P21" s="18"/>
      <c r="Q21" s="18"/>
    </row>
    <row r="22" customFormat="false" ht="35.05" hidden="false" customHeight="false" outlineLevel="0" collapsed="false">
      <c r="A22" s="16" t="n">
        <v>17</v>
      </c>
      <c r="B22" s="16" t="s">
        <v>103</v>
      </c>
      <c r="C22" s="16" t="s">
        <v>104</v>
      </c>
      <c r="D22" s="16" t="s">
        <v>105</v>
      </c>
      <c r="E22" s="16" t="s">
        <v>61</v>
      </c>
      <c r="F22" s="16" t="n">
        <v>1</v>
      </c>
      <c r="G22" s="17"/>
      <c r="H22" s="17"/>
      <c r="I22" s="17"/>
      <c r="J22" s="17"/>
      <c r="K22" s="17"/>
      <c r="L22" s="17"/>
      <c r="M22" s="17"/>
      <c r="N22" s="18"/>
      <c r="O22" s="18"/>
      <c r="P22" s="18"/>
      <c r="Q22" s="18"/>
    </row>
    <row r="23" customFormat="false" ht="35.05" hidden="false" customHeight="false" outlineLevel="0" collapsed="false">
      <c r="A23" s="16" t="n">
        <v>18</v>
      </c>
      <c r="B23" s="16" t="s">
        <v>106</v>
      </c>
      <c r="C23" s="16" t="s">
        <v>107</v>
      </c>
      <c r="D23" s="16" t="s">
        <v>108</v>
      </c>
      <c r="E23" s="16" t="s">
        <v>61</v>
      </c>
      <c r="F23" s="16" t="n">
        <v>4</v>
      </c>
      <c r="G23" s="17"/>
      <c r="H23" s="17"/>
      <c r="I23" s="17"/>
      <c r="J23" s="17"/>
      <c r="K23" s="17"/>
      <c r="L23" s="17"/>
      <c r="M23" s="17"/>
      <c r="N23" s="18"/>
      <c r="O23" s="18"/>
      <c r="P23" s="18"/>
      <c r="Q23" s="18"/>
    </row>
    <row r="24" customFormat="false" ht="35.05" hidden="false" customHeight="false" outlineLevel="0" collapsed="false">
      <c r="A24" s="16" t="n">
        <v>19</v>
      </c>
      <c r="B24" s="16" t="s">
        <v>109</v>
      </c>
      <c r="C24" s="16" t="s">
        <v>110</v>
      </c>
      <c r="D24" s="16" t="s">
        <v>111</v>
      </c>
      <c r="E24" s="16" t="s">
        <v>61</v>
      </c>
      <c r="F24" s="16" t="n">
        <v>8</v>
      </c>
      <c r="G24" s="17"/>
      <c r="H24" s="17"/>
      <c r="I24" s="17"/>
      <c r="J24" s="17"/>
      <c r="K24" s="17"/>
      <c r="L24" s="17"/>
      <c r="M24" s="17"/>
      <c r="N24" s="18"/>
      <c r="O24" s="18"/>
      <c r="P24" s="18"/>
      <c r="Q24" s="18"/>
    </row>
    <row r="25" customFormat="false" ht="15" hidden="false" customHeight="false" outlineLevel="0" collapsed="false">
      <c r="A25" s="16" t="n">
        <v>20</v>
      </c>
      <c r="B25" s="16" t="s">
        <v>112</v>
      </c>
      <c r="C25" s="16" t="s">
        <v>113</v>
      </c>
      <c r="D25" s="16" t="s">
        <v>114</v>
      </c>
      <c r="E25" s="16" t="s">
        <v>86</v>
      </c>
      <c r="F25" s="16" t="n">
        <v>2</v>
      </c>
      <c r="G25" s="17"/>
      <c r="H25" s="17"/>
      <c r="I25" s="17"/>
      <c r="J25" s="17"/>
      <c r="K25" s="17"/>
      <c r="L25" s="17"/>
      <c r="M25" s="17"/>
      <c r="N25" s="18"/>
      <c r="O25" s="18"/>
      <c r="P25" s="18"/>
      <c r="Q25" s="18"/>
    </row>
    <row r="26" customFormat="false" ht="15" hidden="false" customHeight="false" outlineLevel="0" collapsed="false">
      <c r="A26" s="16" t="n">
        <v>21</v>
      </c>
      <c r="B26" s="16" t="s">
        <v>115</v>
      </c>
      <c r="C26" s="16" t="s">
        <v>116</v>
      </c>
      <c r="D26" s="16" t="s">
        <v>117</v>
      </c>
      <c r="E26" s="16" t="s">
        <v>86</v>
      </c>
      <c r="F26" s="16" t="n">
        <v>6</v>
      </c>
      <c r="G26" s="17"/>
      <c r="H26" s="17"/>
      <c r="I26" s="17"/>
      <c r="J26" s="17"/>
      <c r="K26" s="17"/>
      <c r="L26" s="17"/>
      <c r="M26" s="17"/>
      <c r="N26" s="18"/>
      <c r="O26" s="18"/>
      <c r="P26" s="18"/>
      <c r="Q26" s="18"/>
    </row>
    <row r="27" customFormat="false" ht="35.05" hidden="false" customHeight="false" outlineLevel="0" collapsed="false">
      <c r="A27" s="16" t="n">
        <v>22</v>
      </c>
      <c r="B27" s="16" t="s">
        <v>118</v>
      </c>
      <c r="C27" s="16" t="s">
        <v>119</v>
      </c>
      <c r="D27" s="16" t="s">
        <v>120</v>
      </c>
      <c r="E27" s="16" t="s">
        <v>61</v>
      </c>
      <c r="F27" s="16" t="n">
        <v>11</v>
      </c>
      <c r="G27" s="17"/>
      <c r="H27" s="17"/>
      <c r="I27" s="17"/>
      <c r="J27" s="17"/>
      <c r="K27" s="17"/>
      <c r="L27" s="17"/>
      <c r="M27" s="17"/>
      <c r="N27" s="18"/>
      <c r="O27" s="18"/>
      <c r="P27" s="18"/>
      <c r="Q27" s="18"/>
    </row>
    <row r="28" customFormat="false" ht="35.05" hidden="false" customHeight="false" outlineLevel="0" collapsed="false">
      <c r="A28" s="16" t="n">
        <v>23</v>
      </c>
      <c r="B28" s="16" t="s">
        <v>121</v>
      </c>
      <c r="C28" s="16" t="s">
        <v>122</v>
      </c>
      <c r="D28" s="16" t="s">
        <v>123</v>
      </c>
      <c r="E28" s="16" t="s">
        <v>61</v>
      </c>
      <c r="F28" s="16" t="n">
        <v>4</v>
      </c>
      <c r="G28" s="17"/>
      <c r="H28" s="17"/>
      <c r="I28" s="17"/>
      <c r="J28" s="17"/>
      <c r="K28" s="17"/>
      <c r="L28" s="17"/>
      <c r="M28" s="17"/>
      <c r="N28" s="18"/>
      <c r="O28" s="18"/>
      <c r="P28" s="18"/>
      <c r="Q28" s="18"/>
    </row>
    <row r="29" customFormat="false" ht="35.05" hidden="false" customHeight="false" outlineLevel="0" collapsed="false">
      <c r="A29" s="16" t="n">
        <v>24</v>
      </c>
      <c r="B29" s="16" t="s">
        <v>124</v>
      </c>
      <c r="C29" s="16" t="s">
        <v>125</v>
      </c>
      <c r="D29" s="16" t="s">
        <v>126</v>
      </c>
      <c r="E29" s="16" t="s">
        <v>61</v>
      </c>
      <c r="F29" s="16" t="n">
        <v>9</v>
      </c>
      <c r="G29" s="17"/>
      <c r="H29" s="17"/>
      <c r="I29" s="17"/>
      <c r="J29" s="17"/>
      <c r="K29" s="17"/>
      <c r="L29" s="17"/>
      <c r="M29" s="17"/>
      <c r="N29" s="18"/>
      <c r="O29" s="18"/>
      <c r="P29" s="18"/>
      <c r="Q29" s="18"/>
    </row>
    <row r="30" customFormat="false" ht="35.05" hidden="false" customHeight="false" outlineLevel="0" collapsed="false">
      <c r="A30" s="16" t="n">
        <v>25</v>
      </c>
      <c r="B30" s="16" t="s">
        <v>127</v>
      </c>
      <c r="C30" s="16" t="s">
        <v>128</v>
      </c>
      <c r="D30" s="16" t="s">
        <v>129</v>
      </c>
      <c r="E30" s="16" t="s">
        <v>61</v>
      </c>
      <c r="F30" s="16" t="n">
        <v>1</v>
      </c>
      <c r="G30" s="17"/>
      <c r="H30" s="17"/>
      <c r="I30" s="17"/>
      <c r="J30" s="17"/>
      <c r="K30" s="17"/>
      <c r="L30" s="17"/>
      <c r="M30" s="17"/>
      <c r="N30" s="18"/>
      <c r="O30" s="18"/>
      <c r="P30" s="18"/>
      <c r="Q30" s="18"/>
    </row>
    <row r="31" customFormat="false" ht="15" hidden="false" customHeight="false" outlineLevel="0" collapsed="false">
      <c r="A31" s="16" t="n">
        <v>26</v>
      </c>
      <c r="B31" s="16" t="s">
        <v>130</v>
      </c>
      <c r="C31" s="16" t="s">
        <v>131</v>
      </c>
      <c r="D31" s="16" t="s">
        <v>132</v>
      </c>
      <c r="E31" s="16" t="s">
        <v>86</v>
      </c>
      <c r="F31" s="16" t="n">
        <v>22</v>
      </c>
      <c r="G31" s="17"/>
      <c r="H31" s="17"/>
      <c r="I31" s="17"/>
      <c r="J31" s="17"/>
      <c r="K31" s="17"/>
      <c r="L31" s="17"/>
      <c r="M31" s="17"/>
      <c r="N31" s="18"/>
      <c r="O31" s="18"/>
      <c r="P31" s="18"/>
      <c r="Q31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6:M31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1" min="7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0" t="s">
        <v>133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134</v>
      </c>
      <c r="H4" s="13" t="s">
        <v>135</v>
      </c>
      <c r="I4" s="13" t="s">
        <v>136</v>
      </c>
      <c r="J4" s="13" t="s">
        <v>137</v>
      </c>
      <c r="K4" s="13" t="s">
        <v>138</v>
      </c>
      <c r="L4" s="13" t="s">
        <v>45</v>
      </c>
      <c r="M4" s="13" t="s">
        <v>46</v>
      </c>
      <c r="N4" s="13" t="s">
        <v>47</v>
      </c>
      <c r="O4" s="13" t="s">
        <v>48</v>
      </c>
    </row>
    <row r="5" customFormat="false" ht="23.85" hidden="false" customHeight="false" outlineLevel="0" collapsed="false">
      <c r="A5" s="14" t="s">
        <v>49</v>
      </c>
      <c r="B5" s="14" t="s">
        <v>139</v>
      </c>
      <c r="C5" s="14" t="s">
        <v>140</v>
      </c>
      <c r="D5" s="14" t="s">
        <v>52</v>
      </c>
      <c r="E5" s="14" t="s">
        <v>53</v>
      </c>
      <c r="F5" s="14"/>
      <c r="G5" s="15" t="n">
        <v>1.384</v>
      </c>
      <c r="H5" s="15" t="n">
        <v>1.384</v>
      </c>
      <c r="I5" s="15" t="n">
        <v>0.562</v>
      </c>
      <c r="J5" s="14"/>
      <c r="K5" s="15" t="n">
        <v>0.296</v>
      </c>
      <c r="L5" s="14"/>
      <c r="M5" s="14"/>
      <c r="N5" s="14"/>
      <c r="O5" s="14"/>
    </row>
    <row r="6" customFormat="false" ht="35.05" hidden="false" customHeight="false" outlineLevel="0" collapsed="false">
      <c r="A6" s="16" t="n">
        <v>1</v>
      </c>
      <c r="B6" s="16" t="s">
        <v>141</v>
      </c>
      <c r="C6" s="16" t="s">
        <v>142</v>
      </c>
      <c r="D6" s="16" t="s">
        <v>143</v>
      </c>
      <c r="E6" s="16" t="s">
        <v>144</v>
      </c>
      <c r="F6" s="16" t="n">
        <v>3</v>
      </c>
      <c r="G6" s="17"/>
      <c r="H6" s="17"/>
      <c r="I6" s="17"/>
      <c r="J6" s="17"/>
      <c r="K6" s="17"/>
      <c r="L6" s="18"/>
      <c r="M6" s="18"/>
      <c r="N6" s="18"/>
      <c r="O6" s="18"/>
    </row>
    <row r="7" customFormat="false" ht="35.05" hidden="false" customHeight="false" outlineLevel="0" collapsed="false">
      <c r="A7" s="16" t="n">
        <v>2</v>
      </c>
      <c r="B7" s="16" t="s">
        <v>145</v>
      </c>
      <c r="C7" s="16" t="s">
        <v>146</v>
      </c>
      <c r="D7" s="16" t="s">
        <v>147</v>
      </c>
      <c r="E7" s="16" t="s">
        <v>144</v>
      </c>
      <c r="F7" s="16" t="n">
        <v>8</v>
      </c>
      <c r="G7" s="17"/>
      <c r="H7" s="17"/>
      <c r="I7" s="17"/>
      <c r="J7" s="17"/>
      <c r="K7" s="17"/>
      <c r="L7" s="18"/>
      <c r="M7" s="18"/>
      <c r="N7" s="18"/>
      <c r="O7" s="18"/>
    </row>
    <row r="8" customFormat="false" ht="35.05" hidden="false" customHeight="false" outlineLevel="0" collapsed="false">
      <c r="A8" s="16" t="n">
        <v>3</v>
      </c>
      <c r="B8" s="16" t="s">
        <v>139</v>
      </c>
      <c r="C8" s="16" t="s">
        <v>148</v>
      </c>
      <c r="D8" s="16" t="s">
        <v>149</v>
      </c>
      <c r="E8" s="16" t="s">
        <v>144</v>
      </c>
      <c r="F8" s="16" t="n">
        <v>4</v>
      </c>
      <c r="G8" s="17"/>
      <c r="H8" s="17"/>
      <c r="I8" s="17"/>
      <c r="J8" s="17"/>
      <c r="K8" s="17"/>
      <c r="L8" s="18"/>
      <c r="M8" s="18"/>
      <c r="N8" s="18"/>
      <c r="O8" s="18"/>
    </row>
    <row r="9" customFormat="false" ht="35.05" hidden="false" customHeight="false" outlineLevel="0" collapsed="false">
      <c r="A9" s="16" t="n">
        <v>4</v>
      </c>
      <c r="B9" s="16" t="s">
        <v>150</v>
      </c>
      <c r="C9" s="16" t="s">
        <v>151</v>
      </c>
      <c r="D9" s="16" t="s">
        <v>152</v>
      </c>
      <c r="E9" s="16" t="s">
        <v>144</v>
      </c>
      <c r="F9" s="16" t="n">
        <v>24</v>
      </c>
      <c r="G9" s="17"/>
      <c r="H9" s="17"/>
      <c r="I9" s="17"/>
      <c r="J9" s="17"/>
      <c r="K9" s="17"/>
      <c r="L9" s="18"/>
      <c r="M9" s="18"/>
      <c r="N9" s="18"/>
      <c r="O9" s="18"/>
    </row>
    <row r="10" customFormat="false" ht="35.05" hidden="false" customHeight="false" outlineLevel="0" collapsed="false">
      <c r="A10" s="16" t="n">
        <v>5</v>
      </c>
      <c r="B10" s="16" t="s">
        <v>153</v>
      </c>
      <c r="C10" s="16" t="s">
        <v>154</v>
      </c>
      <c r="D10" s="16" t="s">
        <v>155</v>
      </c>
      <c r="E10" s="16" t="s">
        <v>144</v>
      </c>
      <c r="F10" s="16" t="n">
        <v>7</v>
      </c>
      <c r="G10" s="17"/>
      <c r="H10" s="17"/>
      <c r="I10" s="17"/>
      <c r="J10" s="17"/>
      <c r="K10" s="17"/>
      <c r="L10" s="18"/>
      <c r="M10" s="18"/>
      <c r="N10" s="18"/>
      <c r="O10" s="18"/>
    </row>
    <row r="11" customFormat="false" ht="35.05" hidden="false" customHeight="false" outlineLevel="0" collapsed="false">
      <c r="A11" s="16" t="n">
        <v>6</v>
      </c>
      <c r="B11" s="16" t="s">
        <v>156</v>
      </c>
      <c r="C11" s="16" t="s">
        <v>157</v>
      </c>
      <c r="D11" s="16" t="s">
        <v>158</v>
      </c>
      <c r="E11" s="16" t="s">
        <v>61</v>
      </c>
      <c r="F11" s="16" t="n">
        <v>2</v>
      </c>
      <c r="G11" s="17"/>
      <c r="H11" s="17"/>
      <c r="I11" s="17"/>
      <c r="J11" s="17"/>
      <c r="K11" s="17"/>
      <c r="L11" s="18"/>
      <c r="M11" s="18"/>
      <c r="N11" s="18"/>
      <c r="O11" s="18"/>
    </row>
    <row r="12" customFormat="false" ht="35.05" hidden="false" customHeight="false" outlineLevel="0" collapsed="false">
      <c r="A12" s="16" t="n">
        <v>7</v>
      </c>
      <c r="B12" s="16" t="s">
        <v>159</v>
      </c>
      <c r="C12" s="16" t="s">
        <v>160</v>
      </c>
      <c r="D12" s="16" t="s">
        <v>161</v>
      </c>
      <c r="E12" s="16" t="s">
        <v>144</v>
      </c>
      <c r="F12" s="16" t="n">
        <v>11</v>
      </c>
      <c r="G12" s="17"/>
      <c r="H12" s="17"/>
      <c r="I12" s="17"/>
      <c r="J12" s="17"/>
      <c r="K12" s="17"/>
      <c r="L12" s="18"/>
      <c r="M12" s="18"/>
      <c r="N12" s="18"/>
      <c r="O12" s="18"/>
    </row>
    <row r="13" customFormat="false" ht="35.05" hidden="false" customHeight="false" outlineLevel="0" collapsed="false">
      <c r="A13" s="16" t="n">
        <v>8</v>
      </c>
      <c r="B13" s="16" t="s">
        <v>162</v>
      </c>
      <c r="C13" s="16" t="s">
        <v>163</v>
      </c>
      <c r="D13" s="16" t="s">
        <v>164</v>
      </c>
      <c r="E13" s="16" t="s">
        <v>144</v>
      </c>
      <c r="F13" s="16" t="n">
        <v>9</v>
      </c>
      <c r="G13" s="17"/>
      <c r="H13" s="17"/>
      <c r="I13" s="17"/>
      <c r="J13" s="17"/>
      <c r="K13" s="17"/>
      <c r="L13" s="18"/>
      <c r="M13" s="18"/>
      <c r="N13" s="18"/>
      <c r="O13" s="18"/>
    </row>
    <row r="14" customFormat="false" ht="35.05" hidden="false" customHeight="false" outlineLevel="0" collapsed="false">
      <c r="A14" s="16" t="n">
        <v>9</v>
      </c>
      <c r="B14" s="16" t="s">
        <v>165</v>
      </c>
      <c r="C14" s="16" t="s">
        <v>166</v>
      </c>
      <c r="D14" s="16" t="s">
        <v>167</v>
      </c>
      <c r="E14" s="16" t="s">
        <v>144</v>
      </c>
      <c r="F14" s="16" t="n">
        <v>3</v>
      </c>
      <c r="G14" s="17"/>
      <c r="H14" s="17"/>
      <c r="I14" s="17"/>
      <c r="J14" s="17"/>
      <c r="K14" s="17"/>
      <c r="L14" s="18"/>
      <c r="M14" s="18"/>
      <c r="N14" s="18"/>
      <c r="O14" s="18"/>
    </row>
    <row r="15" customFormat="false" ht="35.05" hidden="false" customHeight="false" outlineLevel="0" collapsed="false">
      <c r="A15" s="16" t="n">
        <v>10</v>
      </c>
      <c r="B15" s="16" t="s">
        <v>168</v>
      </c>
      <c r="C15" s="16" t="s">
        <v>169</v>
      </c>
      <c r="D15" s="16" t="s">
        <v>170</v>
      </c>
      <c r="E15" s="16" t="s">
        <v>144</v>
      </c>
      <c r="F15" s="16" t="n">
        <v>4</v>
      </c>
      <c r="G15" s="17"/>
      <c r="H15" s="17"/>
      <c r="I15" s="17"/>
      <c r="J15" s="17"/>
      <c r="K15" s="17"/>
      <c r="L15" s="18"/>
      <c r="M15" s="18"/>
      <c r="N15" s="18"/>
      <c r="O15" s="18"/>
    </row>
    <row r="16" customFormat="false" ht="35.05" hidden="false" customHeight="false" outlineLevel="0" collapsed="false">
      <c r="A16" s="16" t="n">
        <v>11</v>
      </c>
      <c r="B16" s="16" t="s">
        <v>171</v>
      </c>
      <c r="C16" s="16" t="s">
        <v>172</v>
      </c>
      <c r="D16" s="16" t="s">
        <v>173</v>
      </c>
      <c r="E16" s="16" t="s">
        <v>144</v>
      </c>
      <c r="F16" s="16" t="n">
        <v>6</v>
      </c>
      <c r="G16" s="17"/>
      <c r="H16" s="17"/>
      <c r="I16" s="17"/>
      <c r="J16" s="17"/>
      <c r="K16" s="17"/>
      <c r="L16" s="18"/>
      <c r="M16" s="18"/>
      <c r="N16" s="18"/>
      <c r="O16" s="18"/>
    </row>
    <row r="17" customFormat="false" ht="35.05" hidden="false" customHeight="false" outlineLevel="0" collapsed="false">
      <c r="A17" s="16" t="n">
        <v>12</v>
      </c>
      <c r="B17" s="16" t="s">
        <v>174</v>
      </c>
      <c r="C17" s="16" t="s">
        <v>175</v>
      </c>
      <c r="D17" s="16" t="s">
        <v>176</v>
      </c>
      <c r="E17" s="16" t="s">
        <v>144</v>
      </c>
      <c r="F17" s="16" t="n">
        <v>14</v>
      </c>
      <c r="G17" s="17"/>
      <c r="H17" s="17"/>
      <c r="I17" s="17"/>
      <c r="J17" s="17"/>
      <c r="K17" s="17"/>
      <c r="L17" s="18"/>
      <c r="M17" s="18"/>
      <c r="N17" s="18"/>
      <c r="O17" s="18"/>
    </row>
    <row r="18" customFormat="false" ht="35.05" hidden="false" customHeight="false" outlineLevel="0" collapsed="false">
      <c r="A18" s="16" t="n">
        <v>13</v>
      </c>
      <c r="B18" s="16" t="s">
        <v>177</v>
      </c>
      <c r="C18" s="16" t="s">
        <v>178</v>
      </c>
      <c r="D18" s="16" t="s">
        <v>179</v>
      </c>
      <c r="E18" s="16" t="s">
        <v>144</v>
      </c>
      <c r="F18" s="16" t="n">
        <v>14</v>
      </c>
      <c r="G18" s="17"/>
      <c r="H18" s="17"/>
      <c r="I18" s="17"/>
      <c r="J18" s="17"/>
      <c r="K18" s="17"/>
      <c r="L18" s="18"/>
      <c r="M18" s="18"/>
      <c r="N18" s="18"/>
      <c r="O18" s="18"/>
    </row>
    <row r="19" customFormat="false" ht="35.05" hidden="false" customHeight="false" outlineLevel="0" collapsed="false">
      <c r="A19" s="16" t="n">
        <v>14</v>
      </c>
      <c r="B19" s="16" t="s">
        <v>180</v>
      </c>
      <c r="C19" s="16" t="s">
        <v>181</v>
      </c>
      <c r="D19" s="16" t="s">
        <v>182</v>
      </c>
      <c r="E19" s="16" t="s">
        <v>144</v>
      </c>
      <c r="F19" s="16" t="n">
        <v>4</v>
      </c>
      <c r="G19" s="17"/>
      <c r="H19" s="17"/>
      <c r="I19" s="17"/>
      <c r="J19" s="17"/>
      <c r="K19" s="17"/>
      <c r="L19" s="18"/>
      <c r="M19" s="18"/>
      <c r="N19" s="18"/>
      <c r="O19" s="18"/>
    </row>
    <row r="20" customFormat="false" ht="23.85" hidden="false" customHeight="false" outlineLevel="0" collapsed="false">
      <c r="A20" s="16" t="n">
        <v>15</v>
      </c>
      <c r="B20" s="16" t="s">
        <v>183</v>
      </c>
      <c r="C20" s="16" t="s">
        <v>184</v>
      </c>
      <c r="D20" s="16" t="s">
        <v>185</v>
      </c>
      <c r="E20" s="16" t="s">
        <v>86</v>
      </c>
      <c r="F20" s="16" t="n">
        <v>2</v>
      </c>
      <c r="G20" s="17"/>
      <c r="H20" s="17"/>
      <c r="I20" s="17"/>
      <c r="J20" s="17"/>
      <c r="K20" s="17"/>
      <c r="L20" s="18"/>
      <c r="M20" s="18"/>
      <c r="N20" s="18"/>
      <c r="O20" s="18"/>
    </row>
    <row r="21" customFormat="false" ht="23.85" hidden="false" customHeight="false" outlineLevel="0" collapsed="false">
      <c r="A21" s="16" t="n">
        <v>16</v>
      </c>
      <c r="B21" s="16" t="s">
        <v>186</v>
      </c>
      <c r="C21" s="16" t="s">
        <v>187</v>
      </c>
      <c r="D21" s="16" t="s">
        <v>188</v>
      </c>
      <c r="E21" s="16" t="s">
        <v>86</v>
      </c>
      <c r="F21" s="16" t="n">
        <v>7</v>
      </c>
      <c r="G21" s="17"/>
      <c r="H21" s="17"/>
      <c r="I21" s="17"/>
      <c r="J21" s="17"/>
      <c r="K21" s="17"/>
      <c r="L21" s="18"/>
      <c r="M21" s="18"/>
      <c r="N21" s="18"/>
      <c r="O21" s="18"/>
    </row>
    <row r="22" customFormat="false" ht="35.05" hidden="false" customHeight="false" outlineLevel="0" collapsed="false">
      <c r="A22" s="16" t="n">
        <v>17</v>
      </c>
      <c r="B22" s="16" t="s">
        <v>189</v>
      </c>
      <c r="C22" s="16" t="s">
        <v>190</v>
      </c>
      <c r="D22" s="16" t="s">
        <v>191</v>
      </c>
      <c r="E22" s="16" t="s">
        <v>144</v>
      </c>
      <c r="F22" s="16" t="n">
        <v>13</v>
      </c>
      <c r="G22" s="17"/>
      <c r="H22" s="17"/>
      <c r="I22" s="17"/>
      <c r="J22" s="17"/>
      <c r="K22" s="17"/>
      <c r="L22" s="18"/>
      <c r="M22" s="18"/>
      <c r="N22" s="18"/>
      <c r="O22" s="18"/>
    </row>
    <row r="23" customFormat="false" ht="35.05" hidden="false" customHeight="false" outlineLevel="0" collapsed="false">
      <c r="A23" s="16" t="n">
        <v>18</v>
      </c>
      <c r="B23" s="16" t="s">
        <v>192</v>
      </c>
      <c r="C23" s="16" t="s">
        <v>193</v>
      </c>
      <c r="D23" s="16" t="s">
        <v>194</v>
      </c>
      <c r="E23" s="16" t="s">
        <v>144</v>
      </c>
      <c r="F23" s="16" t="n">
        <v>9</v>
      </c>
      <c r="G23" s="17"/>
      <c r="H23" s="17"/>
      <c r="I23" s="17"/>
      <c r="J23" s="17"/>
      <c r="K23" s="17"/>
      <c r="L23" s="18"/>
      <c r="M23" s="18"/>
      <c r="N23" s="18"/>
      <c r="O23" s="18"/>
    </row>
    <row r="24" customFormat="false" ht="35.05" hidden="false" customHeight="false" outlineLevel="0" collapsed="false">
      <c r="A24" s="16" t="n">
        <v>19</v>
      </c>
      <c r="B24" s="16" t="s">
        <v>195</v>
      </c>
      <c r="C24" s="16" t="s">
        <v>196</v>
      </c>
      <c r="D24" s="16" t="s">
        <v>197</v>
      </c>
      <c r="E24" s="16" t="s">
        <v>144</v>
      </c>
      <c r="F24" s="16" t="n">
        <v>10</v>
      </c>
      <c r="G24" s="17"/>
      <c r="H24" s="17"/>
      <c r="I24" s="17"/>
      <c r="J24" s="17"/>
      <c r="K24" s="17"/>
      <c r="L24" s="18"/>
      <c r="M24" s="18"/>
      <c r="N24" s="18"/>
      <c r="O24" s="18"/>
    </row>
    <row r="25" customFormat="false" ht="35.05" hidden="false" customHeight="false" outlineLevel="0" collapsed="false">
      <c r="A25" s="16" t="n">
        <v>20</v>
      </c>
      <c r="B25" s="16" t="s">
        <v>198</v>
      </c>
      <c r="C25" s="16" t="s">
        <v>199</v>
      </c>
      <c r="D25" s="16" t="s">
        <v>200</v>
      </c>
      <c r="E25" s="16" t="s">
        <v>144</v>
      </c>
      <c r="F25" s="16" t="n">
        <v>4</v>
      </c>
      <c r="G25" s="17"/>
      <c r="H25" s="17"/>
      <c r="I25" s="17"/>
      <c r="J25" s="17"/>
      <c r="K25" s="17"/>
      <c r="L25" s="18"/>
      <c r="M25" s="18"/>
      <c r="N25" s="18"/>
      <c r="O25" s="18"/>
    </row>
    <row r="26" customFormat="false" ht="35.05" hidden="false" customHeight="false" outlineLevel="0" collapsed="false">
      <c r="A26" s="16" t="n">
        <v>21</v>
      </c>
      <c r="B26" s="16" t="s">
        <v>201</v>
      </c>
      <c r="C26" s="16" t="s">
        <v>202</v>
      </c>
      <c r="D26" s="16" t="s">
        <v>203</v>
      </c>
      <c r="E26" s="16" t="s">
        <v>144</v>
      </c>
      <c r="F26" s="16" t="n">
        <v>4</v>
      </c>
      <c r="G26" s="17"/>
      <c r="H26" s="17"/>
      <c r="I26" s="17"/>
      <c r="J26" s="17"/>
      <c r="K26" s="17"/>
      <c r="L26" s="18"/>
      <c r="M26" s="18"/>
      <c r="N26" s="18"/>
      <c r="O26" s="18"/>
    </row>
    <row r="27" customFormat="false" ht="23.85" hidden="false" customHeight="false" outlineLevel="0" collapsed="false">
      <c r="A27" s="16" t="n">
        <v>22</v>
      </c>
      <c r="B27" s="16" t="s">
        <v>204</v>
      </c>
      <c r="C27" s="16" t="s">
        <v>205</v>
      </c>
      <c r="D27" s="16" t="s">
        <v>206</v>
      </c>
      <c r="E27" s="16" t="s">
        <v>86</v>
      </c>
      <c r="F27" s="16" t="n">
        <v>6</v>
      </c>
      <c r="G27" s="17"/>
      <c r="H27" s="17"/>
      <c r="I27" s="17"/>
      <c r="J27" s="17"/>
      <c r="K27" s="17"/>
      <c r="L27" s="18"/>
      <c r="M27" s="18"/>
      <c r="N27" s="18"/>
      <c r="O27" s="18"/>
    </row>
    <row r="28" customFormat="false" ht="35.05" hidden="false" customHeight="false" outlineLevel="0" collapsed="false">
      <c r="A28" s="16" t="n">
        <v>23</v>
      </c>
      <c r="B28" s="16" t="s">
        <v>207</v>
      </c>
      <c r="C28" s="16" t="s">
        <v>208</v>
      </c>
      <c r="D28" s="16" t="s">
        <v>209</v>
      </c>
      <c r="E28" s="16" t="s">
        <v>144</v>
      </c>
      <c r="F28" s="16" t="n">
        <v>14</v>
      </c>
      <c r="G28" s="17"/>
      <c r="H28" s="17"/>
      <c r="I28" s="17"/>
      <c r="J28" s="17"/>
      <c r="K28" s="17"/>
      <c r="L28" s="18"/>
      <c r="M28" s="18"/>
      <c r="N28" s="18"/>
      <c r="O28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6:K28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1" min="7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0" t="s">
        <v>210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211</v>
      </c>
      <c r="H4" s="13" t="s">
        <v>212</v>
      </c>
      <c r="I4" s="13" t="s">
        <v>136</v>
      </c>
      <c r="J4" s="13" t="s">
        <v>137</v>
      </c>
      <c r="K4" s="13" t="s">
        <v>138</v>
      </c>
      <c r="L4" s="13" t="s">
        <v>45</v>
      </c>
      <c r="M4" s="13" t="s">
        <v>46</v>
      </c>
      <c r="N4" s="13" t="s">
        <v>47</v>
      </c>
      <c r="O4" s="13" t="s">
        <v>48</v>
      </c>
    </row>
    <row r="5" customFormat="false" ht="35.05" hidden="false" customHeight="false" outlineLevel="0" collapsed="false">
      <c r="A5" s="16" t="n">
        <v>1</v>
      </c>
      <c r="B5" s="16" t="s">
        <v>213</v>
      </c>
      <c r="C5" s="16" t="s">
        <v>214</v>
      </c>
      <c r="D5" s="16" t="s">
        <v>215</v>
      </c>
      <c r="E5" s="16" t="s">
        <v>144</v>
      </c>
      <c r="F5" s="16" t="n">
        <v>5</v>
      </c>
      <c r="G5" s="17"/>
      <c r="H5" s="17"/>
      <c r="I5" s="17"/>
      <c r="J5" s="17"/>
      <c r="K5" s="17"/>
      <c r="L5" s="18"/>
      <c r="M5" s="18"/>
      <c r="N5" s="18"/>
      <c r="O5" s="18"/>
    </row>
    <row r="6" customFormat="false" ht="35.05" hidden="false" customHeight="false" outlineLevel="0" collapsed="false">
      <c r="A6" s="16" t="n">
        <v>2</v>
      </c>
      <c r="B6" s="16" t="s">
        <v>216</v>
      </c>
      <c r="C6" s="16" t="s">
        <v>217</v>
      </c>
      <c r="D6" s="16" t="s">
        <v>218</v>
      </c>
      <c r="E6" s="16" t="s">
        <v>144</v>
      </c>
      <c r="F6" s="16" t="n">
        <v>5</v>
      </c>
      <c r="G6" s="17"/>
      <c r="H6" s="17"/>
      <c r="I6" s="17"/>
      <c r="J6" s="17"/>
      <c r="K6" s="17"/>
      <c r="L6" s="18"/>
      <c r="M6" s="18"/>
      <c r="N6" s="18"/>
      <c r="O6" s="18"/>
    </row>
    <row r="7" customFormat="false" ht="35.05" hidden="false" customHeight="false" outlineLevel="0" collapsed="false">
      <c r="A7" s="16" t="n">
        <v>3</v>
      </c>
      <c r="B7" s="16" t="s">
        <v>219</v>
      </c>
      <c r="C7" s="16" t="s">
        <v>220</v>
      </c>
      <c r="D7" s="16" t="s">
        <v>221</v>
      </c>
      <c r="E7" s="16" t="s">
        <v>144</v>
      </c>
      <c r="F7" s="16" t="n">
        <v>2</v>
      </c>
      <c r="G7" s="17"/>
      <c r="H7" s="17"/>
      <c r="I7" s="17"/>
      <c r="J7" s="17"/>
      <c r="K7" s="17"/>
      <c r="L7" s="18"/>
      <c r="M7" s="18"/>
      <c r="N7" s="18"/>
      <c r="O7" s="18"/>
    </row>
    <row r="8" customFormat="false" ht="35.05" hidden="false" customHeight="false" outlineLevel="0" collapsed="false">
      <c r="A8" s="16" t="n">
        <v>4</v>
      </c>
      <c r="B8" s="16" t="s">
        <v>222</v>
      </c>
      <c r="C8" s="16" t="s">
        <v>223</v>
      </c>
      <c r="D8" s="16" t="s">
        <v>224</v>
      </c>
      <c r="E8" s="16" t="s">
        <v>144</v>
      </c>
      <c r="F8" s="16" t="n">
        <v>4</v>
      </c>
      <c r="G8" s="17"/>
      <c r="H8" s="17"/>
      <c r="I8" s="17"/>
      <c r="J8" s="17"/>
      <c r="K8" s="17"/>
      <c r="L8" s="18"/>
      <c r="M8" s="18"/>
      <c r="N8" s="18"/>
      <c r="O8" s="18"/>
    </row>
    <row r="9" customFormat="false" ht="35.05" hidden="false" customHeight="false" outlineLevel="0" collapsed="false">
      <c r="A9" s="16" t="n">
        <v>5</v>
      </c>
      <c r="B9" s="16" t="s">
        <v>225</v>
      </c>
      <c r="C9" s="16" t="s">
        <v>226</v>
      </c>
      <c r="D9" s="16" t="s">
        <v>227</v>
      </c>
      <c r="E9" s="16" t="s">
        <v>144</v>
      </c>
      <c r="F9" s="16" t="n">
        <v>3</v>
      </c>
      <c r="G9" s="17"/>
      <c r="H9" s="17"/>
      <c r="I9" s="17"/>
      <c r="J9" s="17"/>
      <c r="K9" s="17"/>
      <c r="L9" s="18"/>
      <c r="M9" s="18"/>
      <c r="N9" s="18"/>
      <c r="O9" s="18"/>
    </row>
    <row r="10" customFormat="false" ht="35.05" hidden="false" customHeight="false" outlineLevel="0" collapsed="false">
      <c r="A10" s="16" t="n">
        <v>6</v>
      </c>
      <c r="B10" s="16" t="s">
        <v>228</v>
      </c>
      <c r="C10" s="16" t="s">
        <v>229</v>
      </c>
      <c r="D10" s="16" t="s">
        <v>230</v>
      </c>
      <c r="E10" s="16" t="s">
        <v>144</v>
      </c>
      <c r="F10" s="16" t="n">
        <v>1</v>
      </c>
      <c r="G10" s="17"/>
      <c r="H10" s="17"/>
      <c r="I10" s="17"/>
      <c r="J10" s="17"/>
      <c r="K10" s="17"/>
      <c r="L10" s="18"/>
      <c r="M10" s="18"/>
      <c r="N10" s="18"/>
      <c r="O10" s="18"/>
    </row>
    <row r="11" customFormat="false" ht="35.05" hidden="false" customHeight="false" outlineLevel="0" collapsed="false">
      <c r="A11" s="16" t="n">
        <v>7</v>
      </c>
      <c r="B11" s="16" t="s">
        <v>231</v>
      </c>
      <c r="C11" s="16" t="s">
        <v>232</v>
      </c>
      <c r="D11" s="16" t="s">
        <v>233</v>
      </c>
      <c r="E11" s="16" t="s">
        <v>144</v>
      </c>
      <c r="F11" s="16" t="n">
        <v>7</v>
      </c>
      <c r="G11" s="17"/>
      <c r="H11" s="17"/>
      <c r="I11" s="17"/>
      <c r="J11" s="17"/>
      <c r="K11" s="17"/>
      <c r="L11" s="18"/>
      <c r="M11" s="18"/>
      <c r="N11" s="18"/>
      <c r="O11" s="18"/>
    </row>
    <row r="12" customFormat="false" ht="35.05" hidden="false" customHeight="false" outlineLevel="0" collapsed="false">
      <c r="A12" s="16" t="n">
        <v>8</v>
      </c>
      <c r="B12" s="16" t="s">
        <v>234</v>
      </c>
      <c r="C12" s="16" t="s">
        <v>235</v>
      </c>
      <c r="D12" s="16" t="s">
        <v>236</v>
      </c>
      <c r="E12" s="16" t="s">
        <v>144</v>
      </c>
      <c r="F12" s="16" t="n">
        <v>1</v>
      </c>
      <c r="G12" s="17"/>
      <c r="H12" s="17"/>
      <c r="I12" s="17"/>
      <c r="J12" s="17"/>
      <c r="K12" s="17"/>
      <c r="L12" s="18"/>
      <c r="M12" s="18"/>
      <c r="N12" s="18"/>
      <c r="O12" s="18"/>
    </row>
    <row r="13" customFormat="false" ht="35.05" hidden="false" customHeight="false" outlineLevel="0" collapsed="false">
      <c r="A13" s="16" t="n">
        <v>9</v>
      </c>
      <c r="B13" s="16" t="s">
        <v>237</v>
      </c>
      <c r="C13" s="16" t="s">
        <v>238</v>
      </c>
      <c r="D13" s="16" t="s">
        <v>239</v>
      </c>
      <c r="E13" s="16" t="s">
        <v>144</v>
      </c>
      <c r="F13" s="16" t="n">
        <v>9</v>
      </c>
      <c r="G13" s="17"/>
      <c r="H13" s="17"/>
      <c r="I13" s="17"/>
      <c r="J13" s="17"/>
      <c r="K13" s="17"/>
      <c r="L13" s="18"/>
      <c r="M13" s="18"/>
      <c r="N13" s="18"/>
      <c r="O13" s="18"/>
    </row>
    <row r="14" customFormat="false" ht="35.05" hidden="false" customHeight="false" outlineLevel="0" collapsed="false">
      <c r="A14" s="16" t="n">
        <v>10</v>
      </c>
      <c r="B14" s="16" t="s">
        <v>240</v>
      </c>
      <c r="C14" s="16" t="s">
        <v>241</v>
      </c>
      <c r="D14" s="16" t="s">
        <v>242</v>
      </c>
      <c r="E14" s="16" t="s">
        <v>144</v>
      </c>
      <c r="F14" s="16" t="n">
        <v>9</v>
      </c>
      <c r="G14" s="17"/>
      <c r="H14" s="17"/>
      <c r="I14" s="17"/>
      <c r="J14" s="17"/>
      <c r="K14" s="17"/>
      <c r="L14" s="18"/>
      <c r="M14" s="18"/>
      <c r="N14" s="18"/>
      <c r="O14" s="18"/>
    </row>
    <row r="15" customFormat="false" ht="35.05" hidden="false" customHeight="false" outlineLevel="0" collapsed="false">
      <c r="A15" s="16" t="n">
        <v>11</v>
      </c>
      <c r="B15" s="16" t="s">
        <v>243</v>
      </c>
      <c r="C15" s="16" t="s">
        <v>244</v>
      </c>
      <c r="D15" s="16" t="s">
        <v>245</v>
      </c>
      <c r="E15" s="16" t="s">
        <v>144</v>
      </c>
      <c r="F15" s="16" t="n">
        <v>6</v>
      </c>
      <c r="G15" s="17"/>
      <c r="H15" s="17"/>
      <c r="I15" s="17"/>
      <c r="J15" s="17"/>
      <c r="K15" s="17"/>
      <c r="L15" s="18"/>
      <c r="M15" s="18"/>
      <c r="N15" s="18"/>
      <c r="O15" s="18"/>
    </row>
    <row r="16" customFormat="false" ht="35.05" hidden="false" customHeight="false" outlineLevel="0" collapsed="false">
      <c r="A16" s="16" t="n">
        <v>12</v>
      </c>
      <c r="B16" s="16" t="s">
        <v>246</v>
      </c>
      <c r="C16" s="16" t="s">
        <v>247</v>
      </c>
      <c r="D16" s="16" t="s">
        <v>248</v>
      </c>
      <c r="E16" s="16" t="s">
        <v>61</v>
      </c>
      <c r="F16" s="16" t="n">
        <v>5</v>
      </c>
      <c r="G16" s="17"/>
      <c r="H16" s="17"/>
      <c r="I16" s="17"/>
      <c r="J16" s="17"/>
      <c r="K16" s="17"/>
      <c r="L16" s="18"/>
      <c r="M16" s="18"/>
      <c r="N16" s="18"/>
      <c r="O16" s="18"/>
    </row>
    <row r="17" customFormat="false" ht="35.05" hidden="false" customHeight="false" outlineLevel="0" collapsed="false">
      <c r="A17" s="16" t="n">
        <v>13</v>
      </c>
      <c r="B17" s="16" t="s">
        <v>249</v>
      </c>
      <c r="C17" s="16" t="s">
        <v>250</v>
      </c>
      <c r="D17" s="16" t="s">
        <v>251</v>
      </c>
      <c r="E17" s="16" t="s">
        <v>144</v>
      </c>
      <c r="F17" s="16" t="n">
        <v>4</v>
      </c>
      <c r="G17" s="17"/>
      <c r="H17" s="17"/>
      <c r="I17" s="17"/>
      <c r="J17" s="17"/>
      <c r="K17" s="17"/>
      <c r="L17" s="18"/>
      <c r="M17" s="18"/>
      <c r="N17" s="18"/>
      <c r="O17" s="18"/>
    </row>
    <row r="18" customFormat="false" ht="35.05" hidden="false" customHeight="false" outlineLevel="0" collapsed="false">
      <c r="A18" s="16" t="n">
        <v>14</v>
      </c>
      <c r="B18" s="16" t="s">
        <v>252</v>
      </c>
      <c r="C18" s="16" t="s">
        <v>253</v>
      </c>
      <c r="D18" s="16" t="s">
        <v>254</v>
      </c>
      <c r="E18" s="16" t="s">
        <v>144</v>
      </c>
      <c r="F18" s="16" t="n">
        <v>1</v>
      </c>
      <c r="G18" s="17"/>
      <c r="H18" s="17"/>
      <c r="I18" s="17"/>
      <c r="J18" s="17"/>
      <c r="K18" s="17"/>
      <c r="L18" s="18"/>
      <c r="M18" s="18"/>
      <c r="N18" s="18"/>
      <c r="O18" s="18"/>
    </row>
    <row r="19" customFormat="false" ht="35.05" hidden="false" customHeight="false" outlineLevel="0" collapsed="false">
      <c r="A19" s="16" t="n">
        <v>15</v>
      </c>
      <c r="B19" s="16" t="s">
        <v>255</v>
      </c>
      <c r="C19" s="16" t="s">
        <v>256</v>
      </c>
      <c r="D19" s="16" t="s">
        <v>257</v>
      </c>
      <c r="E19" s="16" t="s">
        <v>144</v>
      </c>
      <c r="F19" s="16" t="n">
        <v>9</v>
      </c>
      <c r="G19" s="17"/>
      <c r="H19" s="17"/>
      <c r="I19" s="17"/>
      <c r="J19" s="17"/>
      <c r="K19" s="17"/>
      <c r="L19" s="18"/>
      <c r="M19" s="18"/>
      <c r="N19" s="18"/>
      <c r="O19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5:K19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4" min="7" style="0" width="14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30"/>
  </cols>
  <sheetData>
    <row r="1" customFormat="false" ht="17.35" hidden="false" customHeight="false" outlineLevel="0" collapsed="false">
      <c r="A1" s="10" t="s">
        <v>258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259</v>
      </c>
      <c r="H4" s="13" t="s">
        <v>260</v>
      </c>
      <c r="I4" s="13" t="s">
        <v>261</v>
      </c>
      <c r="J4" s="13" t="s">
        <v>262</v>
      </c>
      <c r="K4" s="13" t="s">
        <v>263</v>
      </c>
      <c r="L4" s="13" t="s">
        <v>264</v>
      </c>
      <c r="M4" s="13" t="s">
        <v>265</v>
      </c>
      <c r="N4" s="13" t="s">
        <v>266</v>
      </c>
      <c r="O4" s="13" t="s">
        <v>45</v>
      </c>
      <c r="P4" s="13" t="s">
        <v>46</v>
      </c>
      <c r="Q4" s="13" t="s">
        <v>47</v>
      </c>
      <c r="R4" s="13" t="s">
        <v>48</v>
      </c>
    </row>
    <row r="5" customFormat="false" ht="23.85" hidden="false" customHeight="false" outlineLevel="0" collapsed="false">
      <c r="A5" s="14" t="s">
        <v>49</v>
      </c>
      <c r="B5" s="14" t="s">
        <v>267</v>
      </c>
      <c r="C5" s="14" t="s">
        <v>268</v>
      </c>
      <c r="D5" s="14" t="s">
        <v>52</v>
      </c>
      <c r="E5" s="14" t="s">
        <v>53</v>
      </c>
      <c r="F5" s="14"/>
      <c r="G5" s="15" t="n">
        <v>3.94</v>
      </c>
      <c r="H5" s="15" t="n">
        <v>2.727</v>
      </c>
      <c r="I5" s="14"/>
      <c r="J5" s="14" t="s">
        <v>269</v>
      </c>
      <c r="K5" s="15" t="n">
        <v>1.312</v>
      </c>
      <c r="L5" s="14"/>
      <c r="M5" s="15" t="n">
        <v>0.938</v>
      </c>
      <c r="N5" s="15" t="n">
        <v>0.938</v>
      </c>
      <c r="O5" s="14"/>
      <c r="P5" s="14"/>
      <c r="Q5" s="14"/>
      <c r="R5" s="14"/>
    </row>
    <row r="6" customFormat="false" ht="35.05" hidden="false" customHeight="false" outlineLevel="0" collapsed="false">
      <c r="A6" s="16" t="n">
        <v>1</v>
      </c>
      <c r="B6" s="16" t="s">
        <v>270</v>
      </c>
      <c r="C6" s="16" t="s">
        <v>271</v>
      </c>
      <c r="D6" s="16" t="s">
        <v>272</v>
      </c>
      <c r="E6" s="16" t="s">
        <v>144</v>
      </c>
      <c r="F6" s="16" t="n">
        <v>7</v>
      </c>
      <c r="G6" s="17"/>
      <c r="H6" s="17"/>
      <c r="I6" s="17"/>
      <c r="J6" s="18"/>
      <c r="K6" s="17"/>
      <c r="L6" s="17"/>
      <c r="M6" s="17"/>
      <c r="N6" s="17"/>
      <c r="O6" s="18"/>
      <c r="P6" s="18"/>
      <c r="Q6" s="18"/>
      <c r="R6" s="18"/>
    </row>
    <row r="7" customFormat="false" ht="35.05" hidden="false" customHeight="false" outlineLevel="0" collapsed="false">
      <c r="A7" s="16" t="n">
        <v>2</v>
      </c>
      <c r="B7" s="16" t="s">
        <v>273</v>
      </c>
      <c r="C7" s="16" t="s">
        <v>274</v>
      </c>
      <c r="D7" s="16" t="s">
        <v>275</v>
      </c>
      <c r="E7" s="16" t="s">
        <v>144</v>
      </c>
      <c r="F7" s="16" t="n">
        <v>7</v>
      </c>
      <c r="G7" s="17"/>
      <c r="H7" s="17"/>
      <c r="I7" s="17"/>
      <c r="J7" s="18"/>
      <c r="K7" s="17"/>
      <c r="L7" s="17"/>
      <c r="M7" s="17"/>
      <c r="N7" s="17"/>
      <c r="O7" s="18"/>
      <c r="P7" s="18"/>
      <c r="Q7" s="18"/>
      <c r="R7" s="18"/>
    </row>
    <row r="8" customFormat="false" ht="35.05" hidden="false" customHeight="false" outlineLevel="0" collapsed="false">
      <c r="A8" s="16" t="n">
        <v>3</v>
      </c>
      <c r="B8" s="16" t="s">
        <v>276</v>
      </c>
      <c r="C8" s="16" t="s">
        <v>277</v>
      </c>
      <c r="D8" s="16" t="s">
        <v>278</v>
      </c>
      <c r="E8" s="16" t="s">
        <v>144</v>
      </c>
      <c r="F8" s="16" t="n">
        <v>6</v>
      </c>
      <c r="G8" s="17"/>
      <c r="H8" s="17"/>
      <c r="I8" s="17"/>
      <c r="J8" s="18"/>
      <c r="K8" s="17"/>
      <c r="L8" s="17"/>
      <c r="M8" s="17"/>
      <c r="N8" s="17"/>
      <c r="O8" s="18"/>
      <c r="P8" s="18"/>
      <c r="Q8" s="18"/>
      <c r="R8" s="18"/>
    </row>
    <row r="9" customFormat="false" ht="35.05" hidden="false" customHeight="false" outlineLevel="0" collapsed="false">
      <c r="A9" s="16" t="n">
        <v>4</v>
      </c>
      <c r="B9" s="16" t="s">
        <v>279</v>
      </c>
      <c r="C9" s="16" t="s">
        <v>280</v>
      </c>
      <c r="D9" s="16" t="s">
        <v>281</v>
      </c>
      <c r="E9" s="16" t="s">
        <v>144</v>
      </c>
      <c r="F9" s="16" t="n">
        <v>1</v>
      </c>
      <c r="G9" s="17"/>
      <c r="H9" s="17"/>
      <c r="I9" s="17"/>
      <c r="J9" s="18"/>
      <c r="K9" s="17"/>
      <c r="L9" s="17"/>
      <c r="M9" s="17"/>
      <c r="N9" s="17"/>
      <c r="O9" s="18"/>
      <c r="P9" s="18"/>
      <c r="Q9" s="18"/>
      <c r="R9" s="18"/>
    </row>
    <row r="10" customFormat="false" ht="35.05" hidden="false" customHeight="false" outlineLevel="0" collapsed="false">
      <c r="A10" s="16" t="n">
        <v>5</v>
      </c>
      <c r="B10" s="16" t="s">
        <v>282</v>
      </c>
      <c r="C10" s="16" t="s">
        <v>283</v>
      </c>
      <c r="D10" s="16" t="s">
        <v>284</v>
      </c>
      <c r="E10" s="16" t="s">
        <v>144</v>
      </c>
      <c r="F10" s="16" t="n">
        <v>1</v>
      </c>
      <c r="G10" s="17"/>
      <c r="H10" s="17"/>
      <c r="I10" s="17"/>
      <c r="J10" s="18"/>
      <c r="K10" s="17"/>
      <c r="L10" s="17"/>
      <c r="M10" s="17"/>
      <c r="N10" s="17"/>
      <c r="O10" s="18"/>
      <c r="P10" s="18"/>
      <c r="Q10" s="18"/>
      <c r="R10" s="18"/>
    </row>
    <row r="11" customFormat="false" ht="35.05" hidden="false" customHeight="false" outlineLevel="0" collapsed="false">
      <c r="A11" s="16" t="n">
        <v>6</v>
      </c>
      <c r="B11" s="16" t="s">
        <v>285</v>
      </c>
      <c r="C11" s="16" t="s">
        <v>286</v>
      </c>
      <c r="D11" s="16" t="s">
        <v>287</v>
      </c>
      <c r="E11" s="16" t="s">
        <v>61</v>
      </c>
      <c r="F11" s="16" t="n">
        <v>1</v>
      </c>
      <c r="G11" s="17"/>
      <c r="H11" s="17"/>
      <c r="I11" s="17"/>
      <c r="J11" s="18"/>
      <c r="K11" s="17"/>
      <c r="L11" s="17"/>
      <c r="M11" s="17"/>
      <c r="N11" s="17"/>
      <c r="O11" s="18"/>
      <c r="P11" s="18"/>
      <c r="Q11" s="18"/>
      <c r="R11" s="18"/>
    </row>
    <row r="12" customFormat="false" ht="35.05" hidden="false" customHeight="false" outlineLevel="0" collapsed="false">
      <c r="A12" s="16" t="n">
        <v>7</v>
      </c>
      <c r="B12" s="16" t="s">
        <v>288</v>
      </c>
      <c r="C12" s="16" t="s">
        <v>289</v>
      </c>
      <c r="D12" s="16" t="s">
        <v>290</v>
      </c>
      <c r="E12" s="16" t="s">
        <v>144</v>
      </c>
      <c r="F12" s="16" t="n">
        <v>5</v>
      </c>
      <c r="G12" s="17"/>
      <c r="H12" s="17"/>
      <c r="I12" s="17"/>
      <c r="J12" s="18"/>
      <c r="K12" s="17"/>
      <c r="L12" s="17"/>
      <c r="M12" s="17"/>
      <c r="N12" s="17"/>
      <c r="O12" s="18"/>
      <c r="P12" s="18"/>
      <c r="Q12" s="18"/>
      <c r="R12" s="18"/>
    </row>
    <row r="13" customFormat="false" ht="15" hidden="false" customHeight="false" outlineLevel="0" collapsed="false">
      <c r="A13" s="16" t="n">
        <v>8</v>
      </c>
      <c r="B13" s="16" t="s">
        <v>291</v>
      </c>
      <c r="C13" s="16" t="s">
        <v>292</v>
      </c>
      <c r="D13" s="16" t="s">
        <v>293</v>
      </c>
      <c r="E13" s="16" t="s">
        <v>86</v>
      </c>
      <c r="F13" s="16" t="n">
        <v>1</v>
      </c>
      <c r="G13" s="17"/>
      <c r="H13" s="17"/>
      <c r="I13" s="17"/>
      <c r="J13" s="18"/>
      <c r="K13" s="17"/>
      <c r="L13" s="17"/>
      <c r="M13" s="17"/>
      <c r="N13" s="17"/>
      <c r="O13" s="18"/>
      <c r="P13" s="18"/>
      <c r="Q13" s="18"/>
      <c r="R13" s="18"/>
    </row>
    <row r="14" customFormat="false" ht="35.05" hidden="false" customHeight="false" outlineLevel="0" collapsed="false">
      <c r="A14" s="16" t="n">
        <v>9</v>
      </c>
      <c r="B14" s="16" t="s">
        <v>294</v>
      </c>
      <c r="C14" s="16" t="s">
        <v>295</v>
      </c>
      <c r="D14" s="16" t="s">
        <v>296</v>
      </c>
      <c r="E14" s="16" t="s">
        <v>144</v>
      </c>
      <c r="F14" s="16" t="n">
        <v>3</v>
      </c>
      <c r="G14" s="17"/>
      <c r="H14" s="17"/>
      <c r="I14" s="17"/>
      <c r="J14" s="18"/>
      <c r="K14" s="17"/>
      <c r="L14" s="17"/>
      <c r="M14" s="17"/>
      <c r="N14" s="17"/>
      <c r="O14" s="18"/>
      <c r="P14" s="18"/>
      <c r="Q14" s="18"/>
      <c r="R14" s="18"/>
    </row>
    <row r="15" customFormat="false" ht="35.05" hidden="false" customHeight="false" outlineLevel="0" collapsed="false">
      <c r="A15" s="16" t="n">
        <v>10</v>
      </c>
      <c r="B15" s="16" t="s">
        <v>297</v>
      </c>
      <c r="C15" s="16" t="s">
        <v>298</v>
      </c>
      <c r="D15" s="16" t="s">
        <v>299</v>
      </c>
      <c r="E15" s="16" t="s">
        <v>61</v>
      </c>
      <c r="F15" s="16" t="n">
        <v>1</v>
      </c>
      <c r="G15" s="17"/>
      <c r="H15" s="17"/>
      <c r="I15" s="17"/>
      <c r="J15" s="18"/>
      <c r="K15" s="17"/>
      <c r="L15" s="17"/>
      <c r="M15" s="17"/>
      <c r="N15" s="17"/>
      <c r="O15" s="18"/>
      <c r="P15" s="18"/>
      <c r="Q15" s="18"/>
      <c r="R15" s="18"/>
    </row>
    <row r="16" customFormat="false" ht="35.05" hidden="false" customHeight="false" outlineLevel="0" collapsed="false">
      <c r="A16" s="16" t="n">
        <v>11</v>
      </c>
      <c r="B16" s="16" t="s">
        <v>267</v>
      </c>
      <c r="C16" s="16" t="s">
        <v>300</v>
      </c>
      <c r="D16" s="16" t="s">
        <v>301</v>
      </c>
      <c r="E16" s="16" t="s">
        <v>61</v>
      </c>
      <c r="F16" s="16" t="n">
        <v>2</v>
      </c>
      <c r="G16" s="17"/>
      <c r="H16" s="17"/>
      <c r="I16" s="17"/>
      <c r="J16" s="18"/>
      <c r="K16" s="17"/>
      <c r="L16" s="17"/>
      <c r="M16" s="17"/>
      <c r="N16" s="17"/>
      <c r="O16" s="18"/>
      <c r="P16" s="18"/>
      <c r="Q16" s="18"/>
      <c r="R16" s="18"/>
    </row>
    <row r="17" customFormat="false" ht="35.05" hidden="false" customHeight="false" outlineLevel="0" collapsed="false">
      <c r="A17" s="16" t="n">
        <v>12</v>
      </c>
      <c r="B17" s="16" t="s">
        <v>302</v>
      </c>
      <c r="C17" s="16" t="s">
        <v>303</v>
      </c>
      <c r="D17" s="16" t="s">
        <v>304</v>
      </c>
      <c r="E17" s="16" t="s">
        <v>144</v>
      </c>
      <c r="F17" s="16" t="n">
        <v>5</v>
      </c>
      <c r="G17" s="17"/>
      <c r="H17" s="17"/>
      <c r="I17" s="17"/>
      <c r="J17" s="18"/>
      <c r="K17" s="17"/>
      <c r="L17" s="17"/>
      <c r="M17" s="17"/>
      <c r="N17" s="17"/>
      <c r="O17" s="18"/>
      <c r="P17" s="18"/>
      <c r="Q17" s="18"/>
      <c r="R17" s="18"/>
    </row>
    <row r="18" customFormat="false" ht="35.05" hidden="false" customHeight="false" outlineLevel="0" collapsed="false">
      <c r="A18" s="16" t="n">
        <v>13</v>
      </c>
      <c r="B18" s="16" t="s">
        <v>305</v>
      </c>
      <c r="C18" s="16" t="s">
        <v>306</v>
      </c>
      <c r="D18" s="16" t="s">
        <v>307</v>
      </c>
      <c r="E18" s="16" t="s">
        <v>144</v>
      </c>
      <c r="F18" s="16" t="n">
        <v>7</v>
      </c>
      <c r="G18" s="17"/>
      <c r="H18" s="17"/>
      <c r="I18" s="17"/>
      <c r="J18" s="18"/>
      <c r="K18" s="17"/>
      <c r="L18" s="17"/>
      <c r="M18" s="17"/>
      <c r="N18" s="17"/>
      <c r="O18" s="18"/>
      <c r="P18" s="18"/>
      <c r="Q18" s="18"/>
      <c r="R18" s="18"/>
    </row>
    <row r="19" customFormat="false" ht="35.05" hidden="false" customHeight="false" outlineLevel="0" collapsed="false">
      <c r="A19" s="16" t="n">
        <v>14</v>
      </c>
      <c r="B19" s="16" t="s">
        <v>308</v>
      </c>
      <c r="C19" s="16" t="s">
        <v>309</v>
      </c>
      <c r="D19" s="16" t="s">
        <v>310</v>
      </c>
      <c r="E19" s="16" t="s">
        <v>144</v>
      </c>
      <c r="F19" s="16" t="n">
        <v>8</v>
      </c>
      <c r="G19" s="17"/>
      <c r="H19" s="17"/>
      <c r="I19" s="17"/>
      <c r="J19" s="18"/>
      <c r="K19" s="17"/>
      <c r="L19" s="17"/>
      <c r="M19" s="17"/>
      <c r="N19" s="17"/>
      <c r="O19" s="18"/>
      <c r="P19" s="18"/>
      <c r="Q19" s="18"/>
      <c r="R19" s="18"/>
    </row>
    <row r="20" customFormat="false" ht="35.05" hidden="false" customHeight="false" outlineLevel="0" collapsed="false">
      <c r="A20" s="16" t="n">
        <v>15</v>
      </c>
      <c r="B20" s="16" t="s">
        <v>311</v>
      </c>
      <c r="C20" s="16" t="s">
        <v>312</v>
      </c>
      <c r="D20" s="16" t="s">
        <v>313</v>
      </c>
      <c r="E20" s="16" t="s">
        <v>144</v>
      </c>
      <c r="F20" s="16" t="n">
        <v>6</v>
      </c>
      <c r="G20" s="17"/>
      <c r="H20" s="17"/>
      <c r="I20" s="17"/>
      <c r="J20" s="18"/>
      <c r="K20" s="17"/>
      <c r="L20" s="17"/>
      <c r="M20" s="17"/>
      <c r="N20" s="17"/>
      <c r="O20" s="18"/>
      <c r="P20" s="18"/>
      <c r="Q20" s="18"/>
      <c r="R20" s="18"/>
    </row>
    <row r="21" customFormat="false" ht="35.05" hidden="false" customHeight="false" outlineLevel="0" collapsed="false">
      <c r="A21" s="16" t="n">
        <v>16</v>
      </c>
      <c r="B21" s="16" t="s">
        <v>314</v>
      </c>
      <c r="C21" s="16" t="s">
        <v>315</v>
      </c>
      <c r="D21" s="16" t="s">
        <v>316</v>
      </c>
      <c r="E21" s="16" t="s">
        <v>144</v>
      </c>
      <c r="F21" s="16" t="n">
        <v>6</v>
      </c>
      <c r="G21" s="17"/>
      <c r="H21" s="17"/>
      <c r="I21" s="17"/>
      <c r="J21" s="18"/>
      <c r="K21" s="17"/>
      <c r="L21" s="17"/>
      <c r="M21" s="17"/>
      <c r="N21" s="17"/>
      <c r="O21" s="18"/>
      <c r="P21" s="18"/>
      <c r="Q21" s="18"/>
      <c r="R21" s="18"/>
    </row>
    <row r="22" customFormat="false" ht="35.05" hidden="false" customHeight="false" outlineLevel="0" collapsed="false">
      <c r="A22" s="16" t="n">
        <v>17</v>
      </c>
      <c r="B22" s="16" t="s">
        <v>317</v>
      </c>
      <c r="C22" s="16" t="s">
        <v>318</v>
      </c>
      <c r="D22" s="16" t="s">
        <v>319</v>
      </c>
      <c r="E22" s="16" t="s">
        <v>144</v>
      </c>
      <c r="F22" s="16" t="n">
        <v>9</v>
      </c>
      <c r="G22" s="17"/>
      <c r="H22" s="17"/>
      <c r="I22" s="17"/>
      <c r="J22" s="18"/>
      <c r="K22" s="17"/>
      <c r="L22" s="17"/>
      <c r="M22" s="17"/>
      <c r="N22" s="17"/>
      <c r="O22" s="18"/>
      <c r="P22" s="18"/>
      <c r="Q22" s="18"/>
      <c r="R22" s="18"/>
    </row>
    <row r="23" customFormat="false" ht="35.05" hidden="false" customHeight="false" outlineLevel="0" collapsed="false">
      <c r="A23" s="16" t="n">
        <v>18</v>
      </c>
      <c r="B23" s="16" t="s">
        <v>320</v>
      </c>
      <c r="C23" s="16" t="s">
        <v>321</v>
      </c>
      <c r="D23" s="16" t="s">
        <v>322</v>
      </c>
      <c r="E23" s="16" t="s">
        <v>61</v>
      </c>
      <c r="F23" s="16" t="n">
        <v>1</v>
      </c>
      <c r="G23" s="17"/>
      <c r="H23" s="17"/>
      <c r="I23" s="17"/>
      <c r="J23" s="18"/>
      <c r="K23" s="17"/>
      <c r="L23" s="17"/>
      <c r="M23" s="17"/>
      <c r="N23" s="17"/>
      <c r="O23" s="18"/>
      <c r="P23" s="18"/>
      <c r="Q23" s="18"/>
      <c r="R23" s="18"/>
    </row>
    <row r="24" customFormat="false" ht="35.05" hidden="false" customHeight="false" outlineLevel="0" collapsed="false">
      <c r="A24" s="16" t="n">
        <v>19</v>
      </c>
      <c r="B24" s="16" t="s">
        <v>323</v>
      </c>
      <c r="C24" s="16" t="s">
        <v>324</v>
      </c>
      <c r="D24" s="16" t="s">
        <v>325</v>
      </c>
      <c r="E24" s="16" t="s">
        <v>144</v>
      </c>
      <c r="F24" s="16" t="n">
        <v>2</v>
      </c>
      <c r="G24" s="17"/>
      <c r="H24" s="17"/>
      <c r="I24" s="17"/>
      <c r="J24" s="18"/>
      <c r="K24" s="17"/>
      <c r="L24" s="17"/>
      <c r="M24" s="17"/>
      <c r="N24" s="17"/>
      <c r="O24" s="18"/>
      <c r="P24" s="18"/>
      <c r="Q24" s="18"/>
      <c r="R24" s="18"/>
    </row>
    <row r="25" customFormat="false" ht="35.05" hidden="false" customHeight="false" outlineLevel="0" collapsed="false">
      <c r="A25" s="16" t="n">
        <v>20</v>
      </c>
      <c r="B25" s="16" t="s">
        <v>326</v>
      </c>
      <c r="C25" s="16" t="s">
        <v>327</v>
      </c>
      <c r="D25" s="16" t="s">
        <v>328</v>
      </c>
      <c r="E25" s="16" t="s">
        <v>144</v>
      </c>
      <c r="F25" s="16" t="n">
        <v>6</v>
      </c>
      <c r="G25" s="17"/>
      <c r="H25" s="17"/>
      <c r="I25" s="17"/>
      <c r="J25" s="18"/>
      <c r="K25" s="17"/>
      <c r="L25" s="17"/>
      <c r="M25" s="17"/>
      <c r="N25" s="17"/>
      <c r="O25" s="18"/>
      <c r="P25" s="18"/>
      <c r="Q25" s="18"/>
      <c r="R25" s="18"/>
    </row>
    <row r="26" customFormat="false" ht="35.05" hidden="false" customHeight="false" outlineLevel="0" collapsed="false">
      <c r="A26" s="16" t="n">
        <v>21</v>
      </c>
      <c r="B26" s="16" t="s">
        <v>329</v>
      </c>
      <c r="C26" s="16" t="s">
        <v>330</v>
      </c>
      <c r="D26" s="16" t="s">
        <v>331</v>
      </c>
      <c r="E26" s="16" t="s">
        <v>144</v>
      </c>
      <c r="F26" s="16" t="n">
        <v>3</v>
      </c>
      <c r="G26" s="17"/>
      <c r="H26" s="17"/>
      <c r="I26" s="17"/>
      <c r="J26" s="18"/>
      <c r="K26" s="17"/>
      <c r="L26" s="17"/>
      <c r="M26" s="17"/>
      <c r="N26" s="17"/>
      <c r="O26" s="18"/>
      <c r="P26" s="18"/>
      <c r="Q26" s="18"/>
      <c r="R26" s="18"/>
    </row>
    <row r="27" customFormat="false" ht="35.05" hidden="false" customHeight="false" outlineLevel="0" collapsed="false">
      <c r="A27" s="16" t="n">
        <v>22</v>
      </c>
      <c r="B27" s="16" t="s">
        <v>332</v>
      </c>
      <c r="C27" s="16" t="s">
        <v>333</v>
      </c>
      <c r="D27" s="16" t="s">
        <v>334</v>
      </c>
      <c r="E27" s="16" t="s">
        <v>144</v>
      </c>
      <c r="F27" s="16" t="n">
        <v>1</v>
      </c>
      <c r="G27" s="17"/>
      <c r="H27" s="17"/>
      <c r="I27" s="17"/>
      <c r="J27" s="18"/>
      <c r="K27" s="17"/>
      <c r="L27" s="17"/>
      <c r="M27" s="17"/>
      <c r="N27" s="17"/>
      <c r="O27" s="18"/>
      <c r="P27" s="18"/>
      <c r="Q27" s="18"/>
      <c r="R27" s="18"/>
    </row>
    <row r="28" customFormat="false" ht="23.85" hidden="false" customHeight="false" outlineLevel="0" collapsed="false">
      <c r="A28" s="16" t="n">
        <v>23</v>
      </c>
      <c r="B28" s="16" t="s">
        <v>335</v>
      </c>
      <c r="C28" s="16" t="s">
        <v>336</v>
      </c>
      <c r="D28" s="16" t="s">
        <v>337</v>
      </c>
      <c r="E28" s="16" t="s">
        <v>86</v>
      </c>
      <c r="F28" s="16" t="n">
        <v>4</v>
      </c>
      <c r="G28" s="17"/>
      <c r="H28" s="17"/>
      <c r="I28" s="17"/>
      <c r="J28" s="18"/>
      <c r="K28" s="17"/>
      <c r="L28" s="17"/>
      <c r="M28" s="17"/>
      <c r="N28" s="17"/>
      <c r="O28" s="18"/>
      <c r="P28" s="18"/>
      <c r="Q28" s="18"/>
      <c r="R28" s="18"/>
    </row>
    <row r="29" customFormat="false" ht="23.85" hidden="false" customHeight="false" outlineLevel="0" collapsed="false">
      <c r="A29" s="16" t="n">
        <v>24</v>
      </c>
      <c r="B29" s="16" t="s">
        <v>338</v>
      </c>
      <c r="C29" s="16" t="s">
        <v>339</v>
      </c>
      <c r="D29" s="16" t="s">
        <v>340</v>
      </c>
      <c r="E29" s="16" t="s">
        <v>86</v>
      </c>
      <c r="F29" s="16" t="n">
        <v>4</v>
      </c>
      <c r="G29" s="17"/>
      <c r="H29" s="17"/>
      <c r="I29" s="17"/>
      <c r="J29" s="18"/>
      <c r="K29" s="17"/>
      <c r="L29" s="17"/>
      <c r="M29" s="17"/>
      <c r="N29" s="17"/>
      <c r="O29" s="18"/>
      <c r="P29" s="18"/>
      <c r="Q29" s="18"/>
      <c r="R29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6:I29 K6:N29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0" t="s">
        <v>341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38</v>
      </c>
      <c r="H4" s="13" t="s">
        <v>342</v>
      </c>
      <c r="I4" s="13" t="s">
        <v>343</v>
      </c>
      <c r="J4" s="13" t="s">
        <v>344</v>
      </c>
      <c r="K4" s="13" t="s">
        <v>45</v>
      </c>
      <c r="L4" s="13" t="s">
        <v>46</v>
      </c>
      <c r="M4" s="13" t="s">
        <v>47</v>
      </c>
      <c r="N4" s="13" t="s">
        <v>48</v>
      </c>
    </row>
    <row r="5" customFormat="false" ht="23.85" hidden="false" customHeight="false" outlineLevel="0" collapsed="false">
      <c r="A5" s="14" t="s">
        <v>49</v>
      </c>
      <c r="B5" s="14" t="s">
        <v>345</v>
      </c>
      <c r="C5" s="14" t="s">
        <v>346</v>
      </c>
      <c r="D5" s="14" t="s">
        <v>52</v>
      </c>
      <c r="E5" s="14" t="s">
        <v>53</v>
      </c>
      <c r="F5" s="14"/>
      <c r="G5" s="15" t="n">
        <v>0.56</v>
      </c>
      <c r="H5" s="15" t="n">
        <v>0.654</v>
      </c>
      <c r="I5" s="14"/>
      <c r="J5" s="15" t="n">
        <v>0.506</v>
      </c>
      <c r="K5" s="14"/>
      <c r="L5" s="14"/>
      <c r="M5" s="14"/>
      <c r="N5" s="14"/>
    </row>
    <row r="6" customFormat="false" ht="15" hidden="false" customHeight="false" outlineLevel="0" collapsed="false">
      <c r="A6" s="16" t="n">
        <v>1</v>
      </c>
      <c r="B6" s="16" t="s">
        <v>347</v>
      </c>
      <c r="C6" s="16" t="s">
        <v>348</v>
      </c>
      <c r="D6" s="16" t="s">
        <v>349</v>
      </c>
      <c r="E6" s="16" t="s">
        <v>86</v>
      </c>
      <c r="F6" s="16" t="n">
        <v>13</v>
      </c>
      <c r="G6" s="17"/>
      <c r="H6" s="17"/>
      <c r="I6" s="17"/>
      <c r="J6" s="17"/>
      <c r="K6" s="18"/>
      <c r="L6" s="18"/>
      <c r="M6" s="18"/>
      <c r="N6" s="18"/>
    </row>
    <row r="7" customFormat="false" ht="15" hidden="false" customHeight="false" outlineLevel="0" collapsed="false">
      <c r="A7" s="16" t="n">
        <v>2</v>
      </c>
      <c r="B7" s="16" t="s">
        <v>350</v>
      </c>
      <c r="C7" s="16" t="s">
        <v>351</v>
      </c>
      <c r="D7" s="16" t="s">
        <v>352</v>
      </c>
      <c r="E7" s="16" t="s">
        <v>86</v>
      </c>
      <c r="F7" s="16" t="n">
        <v>12</v>
      </c>
      <c r="G7" s="17"/>
      <c r="H7" s="17"/>
      <c r="I7" s="17"/>
      <c r="J7" s="17"/>
      <c r="K7" s="18"/>
      <c r="L7" s="18"/>
      <c r="M7" s="18"/>
      <c r="N7" s="18"/>
    </row>
    <row r="8" customFormat="false" ht="15" hidden="false" customHeight="false" outlineLevel="0" collapsed="false">
      <c r="A8" s="16" t="n">
        <v>3</v>
      </c>
      <c r="B8" s="16" t="s">
        <v>353</v>
      </c>
      <c r="C8" s="16" t="s">
        <v>354</v>
      </c>
      <c r="D8" s="16" t="s">
        <v>355</v>
      </c>
      <c r="E8" s="16" t="s">
        <v>86</v>
      </c>
      <c r="F8" s="16" t="n">
        <v>1</v>
      </c>
      <c r="G8" s="17"/>
      <c r="H8" s="17"/>
      <c r="I8" s="17"/>
      <c r="J8" s="17"/>
      <c r="K8" s="18"/>
      <c r="L8" s="18"/>
      <c r="M8" s="18"/>
      <c r="N8" s="18"/>
    </row>
    <row r="9" customFormat="false" ht="15" hidden="false" customHeight="false" outlineLevel="0" collapsed="false">
      <c r="A9" s="16" t="n">
        <v>4</v>
      </c>
      <c r="B9" s="16" t="s">
        <v>356</v>
      </c>
      <c r="C9" s="16" t="s">
        <v>357</v>
      </c>
      <c r="D9" s="16" t="s">
        <v>358</v>
      </c>
      <c r="E9" s="16" t="s">
        <v>86</v>
      </c>
      <c r="F9" s="16" t="n">
        <v>2</v>
      </c>
      <c r="G9" s="17"/>
      <c r="H9" s="17"/>
      <c r="I9" s="17"/>
      <c r="J9" s="17"/>
      <c r="K9" s="18"/>
      <c r="L9" s="18"/>
      <c r="M9" s="18"/>
      <c r="N9" s="18"/>
    </row>
    <row r="10" customFormat="false" ht="35.05" hidden="false" customHeight="false" outlineLevel="0" collapsed="false">
      <c r="A10" s="16" t="n">
        <v>5</v>
      </c>
      <c r="B10" s="16" t="s">
        <v>359</v>
      </c>
      <c r="C10" s="16" t="s">
        <v>360</v>
      </c>
      <c r="D10" s="16" t="s">
        <v>361</v>
      </c>
      <c r="E10" s="16" t="s">
        <v>61</v>
      </c>
      <c r="F10" s="16" t="n">
        <v>1</v>
      </c>
      <c r="G10" s="17"/>
      <c r="H10" s="17"/>
      <c r="I10" s="17"/>
      <c r="J10" s="17"/>
      <c r="K10" s="18"/>
      <c r="L10" s="18"/>
      <c r="M10" s="18"/>
      <c r="N10" s="18"/>
    </row>
    <row r="11" customFormat="false" ht="35.05" hidden="false" customHeight="false" outlineLevel="0" collapsed="false">
      <c r="A11" s="16" t="n">
        <v>6</v>
      </c>
      <c r="B11" s="16" t="s">
        <v>362</v>
      </c>
      <c r="C11" s="16" t="s">
        <v>363</v>
      </c>
      <c r="D11" s="16" t="s">
        <v>364</v>
      </c>
      <c r="E11" s="16" t="s">
        <v>61</v>
      </c>
      <c r="F11" s="16" t="n">
        <v>13</v>
      </c>
      <c r="G11" s="17"/>
      <c r="H11" s="17"/>
      <c r="I11" s="17"/>
      <c r="J11" s="17"/>
      <c r="K11" s="18"/>
      <c r="L11" s="18"/>
      <c r="M11" s="18"/>
      <c r="N11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6:J11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12" min="7" style="0" width="14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0" t="s">
        <v>365</v>
      </c>
    </row>
    <row r="2" customFormat="false" ht="15" hidden="false" customHeight="false" outlineLevel="0" collapsed="false">
      <c r="A2" s="11" t="s">
        <v>31</v>
      </c>
    </row>
    <row r="4" customFormat="false" ht="57.7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3" t="s">
        <v>366</v>
      </c>
      <c r="H4" s="13" t="s">
        <v>367</v>
      </c>
      <c r="I4" s="13" t="s">
        <v>368</v>
      </c>
      <c r="J4" s="13" t="s">
        <v>369</v>
      </c>
      <c r="K4" s="13" t="s">
        <v>370</v>
      </c>
      <c r="L4" s="13" t="s">
        <v>371</v>
      </c>
      <c r="M4" s="13" t="s">
        <v>45</v>
      </c>
      <c r="N4" s="13" t="s">
        <v>46</v>
      </c>
      <c r="O4" s="13" t="s">
        <v>47</v>
      </c>
      <c r="P4" s="13" t="s">
        <v>48</v>
      </c>
    </row>
    <row r="5" customFormat="false" ht="35.05" hidden="false" customHeight="false" outlineLevel="0" collapsed="false">
      <c r="A5" s="16" t="n">
        <v>1</v>
      </c>
      <c r="B5" s="16" t="s">
        <v>372</v>
      </c>
      <c r="C5" s="16" t="s">
        <v>373</v>
      </c>
      <c r="D5" s="16" t="s">
        <v>374</v>
      </c>
      <c r="E5" s="16" t="s">
        <v>61</v>
      </c>
      <c r="F5" s="16" t="n">
        <v>3</v>
      </c>
      <c r="G5" s="17"/>
      <c r="H5" s="17"/>
      <c r="I5" s="17"/>
      <c r="J5" s="17"/>
      <c r="K5" s="17"/>
      <c r="L5" s="17"/>
      <c r="M5" s="18"/>
      <c r="N5" s="18"/>
      <c r="O5" s="18"/>
      <c r="P5" s="18"/>
    </row>
    <row r="6" customFormat="false" ht="35.05" hidden="false" customHeight="false" outlineLevel="0" collapsed="false">
      <c r="A6" s="16" t="n">
        <v>2</v>
      </c>
      <c r="B6" s="16" t="s">
        <v>375</v>
      </c>
      <c r="C6" s="16" t="s">
        <v>376</v>
      </c>
      <c r="D6" s="16" t="s">
        <v>377</v>
      </c>
      <c r="E6" s="16" t="s">
        <v>144</v>
      </c>
      <c r="F6" s="16" t="n">
        <v>19</v>
      </c>
      <c r="G6" s="17"/>
      <c r="H6" s="17"/>
      <c r="I6" s="17"/>
      <c r="J6" s="17"/>
      <c r="K6" s="17"/>
      <c r="L6" s="17"/>
      <c r="M6" s="18"/>
      <c r="N6" s="18"/>
      <c r="O6" s="18"/>
      <c r="P6" s="18"/>
    </row>
    <row r="7" customFormat="false" ht="35.05" hidden="false" customHeight="false" outlineLevel="0" collapsed="false">
      <c r="A7" s="16" t="n">
        <v>3</v>
      </c>
      <c r="B7" s="16" t="s">
        <v>378</v>
      </c>
      <c r="C7" s="16" t="s">
        <v>379</v>
      </c>
      <c r="D7" s="16" t="s">
        <v>380</v>
      </c>
      <c r="E7" s="16" t="s">
        <v>144</v>
      </c>
      <c r="F7" s="16" t="n">
        <v>25</v>
      </c>
      <c r="G7" s="17"/>
      <c r="H7" s="17"/>
      <c r="I7" s="17"/>
      <c r="J7" s="17"/>
      <c r="K7" s="17"/>
      <c r="L7" s="17"/>
      <c r="M7" s="18"/>
      <c r="N7" s="18"/>
      <c r="O7" s="18"/>
      <c r="P7" s="18"/>
    </row>
    <row r="8" customFormat="false" ht="15" hidden="false" customHeight="false" outlineLevel="0" collapsed="false">
      <c r="A8" s="16" t="n">
        <v>4</v>
      </c>
      <c r="B8" s="16" t="s">
        <v>381</v>
      </c>
      <c r="C8" s="16" t="s">
        <v>382</v>
      </c>
      <c r="D8" s="16" t="s">
        <v>383</v>
      </c>
      <c r="E8" s="16" t="s">
        <v>86</v>
      </c>
      <c r="F8" s="16" t="n">
        <v>7</v>
      </c>
      <c r="G8" s="17"/>
      <c r="H8" s="17"/>
      <c r="I8" s="17"/>
      <c r="J8" s="17"/>
      <c r="K8" s="17"/>
      <c r="L8" s="17"/>
      <c r="M8" s="18"/>
      <c r="N8" s="18"/>
      <c r="O8" s="18"/>
      <c r="P8" s="18"/>
    </row>
    <row r="9" customFormat="false" ht="15" hidden="false" customHeight="false" outlineLevel="0" collapsed="false">
      <c r="A9" s="16" t="n">
        <v>5</v>
      </c>
      <c r="B9" s="16" t="s">
        <v>384</v>
      </c>
      <c r="C9" s="16" t="s">
        <v>385</v>
      </c>
      <c r="D9" s="16" t="s">
        <v>386</v>
      </c>
      <c r="E9" s="16" t="s">
        <v>86</v>
      </c>
      <c r="F9" s="16" t="n">
        <v>13</v>
      </c>
      <c r="G9" s="17"/>
      <c r="H9" s="17"/>
      <c r="I9" s="17"/>
      <c r="J9" s="17"/>
      <c r="K9" s="17"/>
      <c r="L9" s="17"/>
      <c r="M9" s="18"/>
      <c r="N9" s="18"/>
      <c r="O9" s="18"/>
      <c r="P9" s="18"/>
    </row>
    <row r="10" customFormat="false" ht="23.85" hidden="false" customHeight="false" outlineLevel="0" collapsed="false">
      <c r="A10" s="16" t="n">
        <v>6</v>
      </c>
      <c r="B10" s="16" t="s">
        <v>387</v>
      </c>
      <c r="C10" s="16" t="s">
        <v>388</v>
      </c>
      <c r="D10" s="16" t="s">
        <v>389</v>
      </c>
      <c r="E10" s="16" t="s">
        <v>86</v>
      </c>
      <c r="F10" s="16" t="n">
        <v>19</v>
      </c>
      <c r="G10" s="17"/>
      <c r="H10" s="17"/>
      <c r="I10" s="17"/>
      <c r="J10" s="17"/>
      <c r="K10" s="17"/>
      <c r="L10" s="17"/>
      <c r="M10" s="18"/>
      <c r="N10" s="18"/>
      <c r="O10" s="18"/>
      <c r="P10" s="18"/>
    </row>
    <row r="11" customFormat="false" ht="23.85" hidden="false" customHeight="false" outlineLevel="0" collapsed="false">
      <c r="A11" s="16" t="n">
        <v>7</v>
      </c>
      <c r="B11" s="16" t="s">
        <v>390</v>
      </c>
      <c r="C11" s="16" t="s">
        <v>391</v>
      </c>
      <c r="D11" s="16" t="s">
        <v>392</v>
      </c>
      <c r="E11" s="16" t="s">
        <v>86</v>
      </c>
      <c r="F11" s="16" t="n">
        <v>22</v>
      </c>
      <c r="G11" s="17"/>
      <c r="H11" s="17"/>
      <c r="I11" s="17"/>
      <c r="J11" s="17"/>
      <c r="K11" s="17"/>
      <c r="L11" s="17"/>
      <c r="M11" s="18"/>
      <c r="N11" s="18"/>
      <c r="O11" s="18"/>
      <c r="P11" s="18"/>
    </row>
    <row r="12" customFormat="false" ht="15" hidden="false" customHeight="false" outlineLevel="0" collapsed="false">
      <c r="A12" s="16" t="n">
        <v>8</v>
      </c>
      <c r="B12" s="16" t="s">
        <v>393</v>
      </c>
      <c r="C12" s="16" t="s">
        <v>394</v>
      </c>
      <c r="D12" s="16" t="s">
        <v>395</v>
      </c>
      <c r="E12" s="16" t="s">
        <v>86</v>
      </c>
      <c r="F12" s="16" t="n">
        <v>6</v>
      </c>
      <c r="G12" s="17"/>
      <c r="H12" s="17"/>
      <c r="I12" s="17"/>
      <c r="J12" s="17"/>
      <c r="K12" s="17"/>
      <c r="L12" s="17"/>
      <c r="M12" s="18"/>
      <c r="N12" s="18"/>
      <c r="O12" s="18"/>
      <c r="P12" s="18"/>
    </row>
  </sheetData>
  <dataValidations count="1">
    <dataValidation allowBlank="true" error="Enter a number in inches, e.g. 1.125 (leave blank if not on this part)." errorStyle="stop" errorTitle="Inches please" operator="between" showDropDown="false" showErrorMessage="true" showInputMessage="false" sqref="G5:L12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0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2026-09-24T15:44:51Z</dcterms:created>
  <dc:creator>openpyxl</dc:creator>
  <dc:description/>
  <dc:language>en-US</dc:language>
  <cp:lastModifiedBy/>
  <dcterms:modified xsi:type="dcterms:W3CDTF">2026-09-24T15:44:51Z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